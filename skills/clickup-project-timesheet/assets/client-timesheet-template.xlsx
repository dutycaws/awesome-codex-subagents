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8d8916628449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ient timesheet" sheetId="1" r:id="Rdf75ce9297434a95"/>
    <x:sheet xmlns:r="http://schemas.openxmlformats.org/officeDocument/2006/relationships" name="SOW caps" sheetId="2" r:id="R7f9c411f2cee4a52"/>
    <x:sheet xmlns:r="http://schemas.openxmlformats.org/officeDocument/2006/relationships" name="Client detail" sheetId="3" r:id="R5e67f3d1755d41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$ #,##0.00;[Red]($ #,##0.00);$ &quot;-&quot;"/>
    <x:numFmt numFmtId="201" formatCode="0.##;[Red](0.##);0"/>
    <x:numFmt numFmtId="202" formatCode="mmm d, yyyy"/>
  </x:numFmts>
  <x:fonts count="5">
    <x:font>
      <x:sz val="11"/>
      <x:name val="Carlito"/>
    </x:font>
    <x:font>
      <x:sz val="11"/>
      <x:color rgb="FF253449"/>
      <x:name val="Arial"/>
    </x:font>
    <x:font>
      <x:sz val="16"/>
      <x:color rgb="FF253449"/>
      <x:name val="Arial"/>
    </x:font>
    <x:font>
      <x:b/>
      <x:sz val="11"/>
      <x:color rgb="FFFFFFFF"/>
      <x:name val="Arial"/>
    </x:font>
    <x:font>
      <x:b/>
      <x:sz val="11"/>
      <x:color rgb="FF253449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253E58"/>
      </x:patternFill>
    </x:fill>
    <x:fill>
      <x:patternFill patternType="solid">
        <x:fgColor rgb="FFE8EEF4"/>
      </x:patternFill>
    </x:fill>
  </x:fills>
  <x:borders count="1">
    <x:border/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200" fontId="1" fillId="2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1" fontId="1" fillId="2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2" fontId="1" fillId="2" borderId="0" xfId="0" applyNumberFormat="1" applyFont="1" applyFill="1" applyBorder="1"/>
    <x:xf numFmtId="200" fontId="1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/>
    <x:xf numFmtId="201" fontId="1" fillId="4" borderId="0" xfId="0" applyNumberFormat="1" applyFont="1" applyFill="1" applyBorder="1"/>
    <x:xf numFmtId="200" fontId="1" fillId="4" borderId="0" xfId="0" applyNumberFormat="1" applyFont="1" applyFill="1" applyBorder="1"/>
    <x:xf numFmtId="0" fontId="4" fillId="4" borderId="0" xfId="0" applyNumberFormat="1" applyFont="1" applyFill="1" applyBorder="1"/>
    <x:xf numFmtId="201" fontId="4" fillId="4" borderId="0" xfId="0" applyNumberFormat="1" applyFont="1" applyFill="1" applyBorder="1"/>
    <x:xf numFmtId="200" fontId="4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f81bb90be04e9c" /><Relationship Type="http://schemas.openxmlformats.org/officeDocument/2006/relationships/theme" Target="/xl/theme/theme1.xml" Id="Ra92091db89684272" /><Relationship Type="http://schemas.openxmlformats.org/officeDocument/2006/relationships/sharedStrings" Target="/xl/sharedStrings.xml" Id="R1521d73d0c4c4edd" /><Relationship Type="http://schemas.openxmlformats.org/officeDocument/2006/relationships/worksheet" Target="/xl/worksheets/sheet1.xml" Id="Rdf75ce9297434a95" /><Relationship Type="http://schemas.openxmlformats.org/officeDocument/2006/relationships/worksheet" Target="/xl/worksheets/sheet2.xml" Id="R7f9c411f2cee4a52" /><Relationship Type="http://schemas.openxmlformats.org/officeDocument/2006/relationships/worksheet" Target="/xl/worksheets/sheet3.xml" Id="R5e67f3d1755d41b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6" hidden="0" customWidth="1"/>
    <x:col min="3" max="3" width="20" hidden="0" customWidth="1"/>
    <x:col min="4" max="4" width="4" hidden="0" customWidth="1"/>
    <x:col min="5" max="5" width="51" hidden="0" customWidth="1"/>
    <x:col min="6" max="6" width="16" hidden="0" customWidth="1"/>
    <x:col min="7" max="7" width="22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</x:row>
    <x:row r="2" ht="23" customHeight="1">
      <x:c r="A2" s="2" t="str">
        <x:v>Project Battlestar timesheet</x:v>
      </x:c>
      <x:c r="B2" s="1"/>
      <x:c r="C2" s="1"/>
      <x:c r="D2" s="1"/>
      <x:c r="E2" s="1"/>
      <x:c r="F2" s="1"/>
      <x:c r="G2" s="1"/>
    </x:row>
    <x:row r="3" ht="23" customHeight="1">
      <x:c r="A3" s="1" t="str">
        <x:v>Period start</x:v>
      </x:c>
      <x:c r="B3" s="12"/>
      <x:c r="C3" s="1"/>
      <x:c r="D3" s="1"/>
      <x:c r="E3" s="1" t="str">
        <x:v>Period end (exclusive)</x:v>
      </x:c>
      <x:c r="F3" s="12"/>
      <x:c r="G3" s="1"/>
    </x:row>
    <x:row r="4" ht="23" customHeight="1">
      <x:c r="A4" s="1" t="str">
        <x:v>America/Chicago</x:v>
      </x:c>
      <x:c r="B4" s="1"/>
      <x:c r="C4" s="1"/>
      <x:c r="D4" s="1"/>
      <x:c r="E4" s="1" t="str">
        <x:v>Project costs include SOW cap discounts.</x:v>
      </x:c>
      <x:c r="F4" s="1"/>
      <x:c r="G4" s="1"/>
    </x:row>
    <x:row r="5" ht="23" customHeight="1">
      <x:c r="A5" s="1"/>
      <x:c r="B5" s="1"/>
      <x:c r="C5" s="1"/>
      <x:c r="D5" s="1"/>
      <x:c r="E5" s="1"/>
      <x:c r="F5" s="1"/>
      <x:c r="G5" s="1"/>
    </x:row>
    <x:row r="6" ht="34" customHeight="1">
      <x:c r="A6" s="7" t="str">
        <x:v>Contractor</x:v>
      </x:c>
      <x:c r="B6" s="7" t="str">
        <x:v>Hours Logged</x:v>
      </x:c>
      <x:c r="C6" s="7" t="str">
        <x:v>Dollars</x:v>
      </x:c>
      <x:c r="D6" s="1"/>
      <x:c r="E6" s="7" t="str">
        <x:v>Project Name</x:v>
      </x:c>
      <x:c r="F6" s="7" t="str">
        <x:v>Hours</x:v>
      </x:c>
      <x:c r="G6" s="7" t="str">
        <x:v>Project Cost</x:v>
      </x:c>
    </x:row>
    <x:row r="7" ht="23" customHeight="1">
      <x:c r="A7" s="1" t="str">
        <x:v>Jan V</x:v>
      </x:c>
      <x:c r="B7" s="10" t="n">
        <x:f>SUMIFS('Client detail'!$X$7:$X$506,'Client detail'!$A$7:$A$506,"battlestar",'Client detail'!$C$7:$C$506,"U-replace-1")</x:f>
        <x:v>0</x:v>
      </x:c>
      <x:c r="C7" s="8" t="n">
        <x:f>ROUND(SUMIFS('Client detail'!$O$7:$O$506,'Client detail'!$A$7:$A$506,"battlestar",'Client detail'!$C$7:$C$506,"U-replace-1"),2)</x:f>
        <x:v>0</x:v>
      </x:c>
      <x:c r="D7" s="1"/>
      <x:c r="E7" s="1" t="str">
        <x:v>BS1 Salesforce</x:v>
      </x:c>
      <x:c r="F7" s="10" t="n">
        <x:f>SUMIFS('Client detail'!$X$7:$X$506,'Client detail'!$A$7:$A$506,"battlestar",'Client detail'!$J$7:$J$506,"client-1")</x:f>
        <x:v>0</x:v>
      </x:c>
      <x:c r="G7" s="8" t="n">
        <x:f>IF(ISNUMBER($G$20),ROUND(SUMIFS('Client detail'!$V$7:$V$506,'Client detail'!$A$7:$A$506,"battlestar",'Client detail'!$J$7:$J$506,"client-1"),2),"")</x:f>
        <x:v>0</x:v>
      </x:c>
    </x:row>
    <x:row r="8" ht="23" customHeight="1">
      <x:c r="A8" s="1" t="str">
        <x:v>Ryan M</x:v>
      </x:c>
      <x:c r="B8" s="10" t="n">
        <x:f>SUMIFS('Client detail'!$X$7:$X$506,'Client detail'!$A$7:$A$506,"battlestar",'Client detail'!$C$7:$C$506,"U-replace-2")</x:f>
        <x:v>0</x:v>
      </x:c>
      <x:c r="C8" s="8" t="n">
        <x:f>ROUND(SUMIFS('Client detail'!$O$7:$O$506,'Client detail'!$A$7:$A$506,"battlestar",'Client detail'!$C$7:$C$506,"U-replace-2"),2)</x:f>
        <x:v>0</x:v>
      </x:c>
      <x:c r="D8" s="1"/>
      <x:c r="E8" s="1" t="str">
        <x:v>BS1 Phone System (Zoom)</x:v>
      </x:c>
      <x:c r="F8" s="10" t="n">
        <x:f>SUMIFS('Client detail'!$X$7:$X$506,'Client detail'!$A$7:$A$506,"battlestar",'Client detail'!$J$7:$J$506,"client-2")</x:f>
        <x:v>0</x:v>
      </x:c>
      <x:c r="G8" s="8" t="n">
        <x:f>IF(ISNUMBER($G$20),ROUND(SUMIFS('Client detail'!$V$7:$V$506,'Client detail'!$A$7:$A$506,"battlestar",'Client detail'!$J$7:$J$506,"client-2"),2),"")</x:f>
        <x:v>0</x:v>
      </x:c>
    </x:row>
    <x:row r="9" ht="23" customHeight="1">
      <x:c r="A9" s="1" t="str">
        <x:v>Seth R</x:v>
      </x:c>
      <x:c r="B9" s="10" t="n">
        <x:f>SUMIFS('Client detail'!$X$7:$X$506,'Client detail'!$A$7:$A$506,"battlestar",'Client detail'!$C$7:$C$506,"U-replace-3")</x:f>
        <x:v>0</x:v>
      </x:c>
      <x:c r="C9" s="8" t="n">
        <x:f>ROUND(SUMIFS('Client detail'!$O$7:$O$506,'Client detail'!$A$7:$A$506,"battlestar",'Client detail'!$C$7:$C$506,"U-replace-3"),2)</x:f>
        <x:v>0</x:v>
      </x:c>
      <x:c r="D9" s="1"/>
      <x:c r="E9" s="1" t="str">
        <x:v>BS1 Phone/Email Migration</x:v>
      </x:c>
      <x:c r="F9" s="10" t="n">
        <x:f>SUMIFS('Client detail'!$X$7:$X$506,'Client detail'!$A$7:$A$506,"battlestar",'Client detail'!$J$7:$J$506,"client-3")</x:f>
        <x:v>0</x:v>
      </x:c>
      <x:c r="G9" s="8" t="n">
        <x:f>IF(ISNUMBER($G$20),ROUND(SUMIFS('Client detail'!$V$7:$V$506,'Client detail'!$A$7:$A$506,"battlestar",'Client detail'!$J$7:$J$506,"client-3"),2),"")</x:f>
        <x:v>0</x:v>
      </x:c>
    </x:row>
    <x:row r="10" ht="23" customHeight="1">
      <x:c r="A10" s="1" t="str">
        <x:v>Travis B</x:v>
      </x:c>
      <x:c r="B10" s="10" t="n">
        <x:f>SUMIFS('Client detail'!$X$7:$X$506,'Client detail'!$A$7:$A$506,"battlestar",'Client detail'!$C$7:$C$506,"U-replace-4")</x:f>
        <x:v>0</x:v>
      </x:c>
      <x:c r="C10" s="8" t="n">
        <x:f>ROUND(SUMIFS('Client detail'!$O$7:$O$506,'Client detail'!$A$7:$A$506,"battlestar",'Client detail'!$C$7:$C$506,"U-replace-4"),2)</x:f>
        <x:v>0</x:v>
      </x:c>
      <x:c r="D10" s="1"/>
      <x:c r="E10" s="1" t="str">
        <x:v>BS1 Dentist Portal</x:v>
      </x:c>
      <x:c r="F10" s="10" t="n">
        <x:f>SUMIFS('Client detail'!$X$7:$X$506,'Client detail'!$A$7:$A$506,"battlestar",'Client detail'!$J$7:$J$506,"client-4")</x:f>
        <x:v>0</x:v>
      </x:c>
      <x:c r="G10" s="8" t="n">
        <x:f>IF(ISNUMBER($G$20),ROUND(SUMIFS('Client detail'!$V$7:$V$506,'Client detail'!$A$7:$A$506,"battlestar",'Client detail'!$J$7:$J$506,"client-4"),2),"")</x:f>
        <x:v>0</x:v>
      </x:c>
    </x:row>
    <x:row r="11" ht="23" customHeight="1">
      <x:c r="A11" s="1" t="str">
        <x:v>Cody W</x:v>
      </x:c>
      <x:c r="B11" s="10" t="n">
        <x:f>SUMIFS('Client detail'!$X$7:$X$506,'Client detail'!$A$7:$A$506,"battlestar",'Client detail'!$C$7:$C$506,"U-replace-5")</x:f>
        <x:v>0</x:v>
      </x:c>
      <x:c r="C11" s="8" t="n">
        <x:f>ROUND(SUMIFS('Client detail'!$O$7:$O$506,'Client detail'!$A$7:$A$506,"battlestar",'Client detail'!$C$7:$C$506,"U-replace-5"),2)</x:f>
        <x:v>0</x:v>
      </x:c>
      <x:c r="D11" s="1"/>
      <x:c r="E11" s="1" t="str">
        <x:v>BS1 Order Entry Development</x:v>
      </x:c>
      <x:c r="F11" s="10" t="n">
        <x:f>SUMIFS('Client detail'!$X$7:$X$506,'Client detail'!$A$7:$A$506,"battlestar",'Client detail'!$J$7:$J$506,"client-5")</x:f>
        <x:v>0</x:v>
      </x:c>
      <x:c r="G11" s="8" t="n">
        <x:f>IF(ISNUMBER($G$20),ROUND(SUMIFS('Client detail'!$V$7:$V$506,'Client detail'!$A$7:$A$506,"battlestar",'Client detail'!$J$7:$J$506,"client-5"),2),"")</x:f>
        <x:v>0</x:v>
      </x:c>
    </x:row>
    <x:row r="12" ht="23" customHeight="1">
      <x:c r="A12" s="1" t="str">
        <x:v>Min H</x:v>
      </x:c>
      <x:c r="B12" s="10" t="n">
        <x:f>SUMIFS('Client detail'!$X$7:$X$506,'Client detail'!$A$7:$A$506,"battlestar",'Client detail'!$C$7:$C$506,"U-replace-6")</x:f>
        <x:v>0</x:v>
      </x:c>
      <x:c r="C12" s="8" t="n">
        <x:f>ROUND(SUMIFS('Client detail'!$O$7:$O$506,'Client detail'!$A$7:$A$506,"battlestar",'Client detail'!$C$7:$C$506,"U-replace-6"),2)</x:f>
        <x:v>0</x:v>
      </x:c>
      <x:c r="D12" s="1"/>
      <x:c r="E12" s="1" t="str">
        <x:v>BS 8 MSP and Administration</x:v>
      </x:c>
      <x:c r="F12" s="10" t="n">
        <x:f>SUMIFS('Client detail'!$X$7:$X$506,'Client detail'!$A$7:$A$506,"battlestar",'Client detail'!$J$7:$J$506,"client-6")</x:f>
        <x:v>0</x:v>
      </x:c>
      <x:c r="G12" s="8" t="n">
        <x:f>IF(ISNUMBER($G$20),ROUND(SUMIFS('Client detail'!$V$7:$V$506,'Client detail'!$A$7:$A$506,"battlestar",'Client detail'!$J$7:$J$506,"client-6"),2),"")</x:f>
        <x:v>0</x:v>
      </x:c>
    </x:row>
    <x:row r="13" ht="23" customHeight="1">
      <x:c r="A13" s="1"/>
      <x:c r="B13" s="10"/>
      <x:c r="C13" s="8"/>
      <x:c r="D13" s="1"/>
      <x:c r="E13" s="1" t="str">
        <x:v>BS 10 Custom Sales and Marketing Reports</x:v>
      </x:c>
      <x:c r="F13" s="10" t="n">
        <x:f>SUMIFS('Client detail'!$X$7:$X$506,'Client detail'!$A$7:$A$506,"battlestar",'Client detail'!$J$7:$J$506,"client-7")</x:f>
        <x:v>0</x:v>
      </x:c>
      <x:c r="G13" s="8" t="n">
        <x:f>IF(ISNUMBER($G$20),ROUND(SUMIFS('Client detail'!$V$7:$V$506,'Client detail'!$A$7:$A$506,"battlestar",'Client detail'!$J$7:$J$506,"client-7"),2),"")</x:f>
        <x:v>0</x:v>
      </x:c>
    </x:row>
    <x:row r="14" ht="23" customHeight="1">
      <x:c r="A14" s="1"/>
      <x:c r="B14" s="10"/>
      <x:c r="C14" s="8"/>
      <x:c r="D14" s="1"/>
      <x:c r="E14" s="1" t="str">
        <x:v>BS 11 Historical Data Normalization</x:v>
      </x:c>
      <x:c r="F14" s="10" t="n">
        <x:f>SUMIFS('Client detail'!$X$7:$X$506,'Client detail'!$A$7:$A$506,"battlestar",'Client detail'!$J$7:$J$506,"client-8")</x:f>
        <x:v>0</x:v>
      </x:c>
      <x:c r="G14" s="8" t="n">
        <x:f>IF(ISNUMBER($G$20),ROUND(SUMIFS('Client detail'!$V$7:$V$506,'Client detail'!$A$7:$A$506,"battlestar",'Client detail'!$J$7:$J$506,"client-8"),2),"")</x:f>
        <x:v>0</x:v>
      </x:c>
    </x:row>
    <x:row r="15" ht="23" customHeight="1">
      <x:c r="A15" s="1"/>
      <x:c r="B15" s="10"/>
      <x:c r="C15" s="8"/>
      <x:c r="D15" s="1"/>
      <x:c r="E15" s="1" t="str">
        <x:v>BS 12 Marketing Website Maintenance</x:v>
      </x:c>
      <x:c r="F15" s="10" t="n">
        <x:f>SUMIFS('Client detail'!$X$7:$X$506,'Client detail'!$A$7:$A$506,"battlestar",'Client detail'!$J$7:$J$506,"client-9")</x:f>
        <x:v>0</x:v>
      </x:c>
      <x:c r="G15" s="8" t="n">
        <x:f>IF(ISNUMBER($G$20),ROUND(SUMIFS('Client detail'!$V$7:$V$506,'Client detail'!$A$7:$A$506,"battlestar",'Client detail'!$J$7:$J$506,"client-9"),2),"")</x:f>
        <x:v>0</x:v>
      </x:c>
    </x:row>
    <x:row r="16" ht="23" customHeight="1">
      <x:c r="A16" s="1"/>
      <x:c r="B16" s="10"/>
      <x:c r="C16" s="8"/>
      <x:c r="D16" s="1"/>
      <x:c r="E16" s="1" t="str">
        <x:v>BS 17 Kinder Krowns Pipeline Discovery</x:v>
      </x:c>
      <x:c r="F16" s="10" t="n">
        <x:f>SUMIFS('Client detail'!$X$7:$X$506,'Client detail'!$A$7:$A$506,"battlestar",'Client detail'!$J$7:$J$506,"client-10")</x:f>
        <x:v>0</x:v>
      </x:c>
      <x:c r="G16" s="8" t="n">
        <x:f>IF(ISNUMBER($G$20),ROUND(SUMIFS('Client detail'!$V$7:$V$506,'Client detail'!$A$7:$A$506,"battlestar",'Client detail'!$J$7:$J$506,"client-10"),2),"")</x:f>
        <x:v>0</x:v>
      </x:c>
    </x:row>
    <x:row r="17" ht="23" customHeight="1">
      <x:c r="A17" s="1"/>
      <x:c r="B17" s="10"/>
      <x:c r="C17" s="8"/>
      <x:c r="D17" s="1"/>
      <x:c r="E17" s="1" t="str">
        <x:v>Unallocated / other</x:v>
      </x:c>
      <x:c r="F17" s="10" t="n">
        <x:f>SUMIFS('Client detail'!$X$7:$X$506,'Client detail'!$A$7:$A$506,"battlestar")-SUM(F7:F16)</x:f>
        <x:v>0</x:v>
      </x:c>
      <x:c r="G17" s="8" t="n">
        <x:f>IF(ABS(F17)&lt;0.000000001,0,"")</x:f>
        <x:v>0</x:v>
      </x:c>
    </x:row>
    <x:row r="18" ht="23" customHeight="1">
      <x:c r="A18" s="1"/>
      <x:c r="B18" s="10"/>
      <x:c r="C18" s="8"/>
      <x:c r="D18" s="1"/>
      <x:c r="E18" s="1"/>
      <x:c r="F18" s="10"/>
      <x:c r="G18" s="8"/>
    </x:row>
    <x:row r="19" ht="23" customHeight="1">
      <x:c r="A19" s="17" t="str">
        <x:v>Sub Total</x:v>
      </x:c>
      <x:c r="B19" s="18" t="n">
        <x:f>SUMIFS('Client detail'!$X$7:$X$506,'Client detail'!$A$7:$A$506,"battlestar")</x:f>
        <x:v>0</x:v>
      </x:c>
      <x:c r="C19" s="19" t="n">
        <x:f>ROUND(SUMIFS('SOW caps'!$I$7:$I$36,'SOW caps'!$A$7:$A$36,"battlestar")+SUMIFS('Client detail'!$O$7:$O$506,'Client detail'!$A$7:$A$506,"battlestar",'Client detail'!$M$7:$M$506,"Needs allocation"),2)</x:f>
        <x:v>0</x:v>
      </x:c>
      <x:c r="D19" s="1"/>
      <x:c r="E19" s="17" t="str">
        <x:v>Net subtotal</x:v>
      </x:c>
      <x:c r="F19" s="18" t="n">
        <x:f>B19</x:f>
        <x:v>0</x:v>
      </x:c>
      <x:c r="G19" s="19" t="n">
        <x:f>IF(ISNUMBER(G20),SUM(G7:G17),"")</x:f>
        <x:v>0</x:v>
      </x:c>
    </x:row>
    <x:row r="20" ht="34" customHeight="1">
      <x:c r="A20" s="1" t="str">
        <x:v>Discount (absorbed)</x:v>
      </x:c>
      <x:c r="B20" s="10" t="n">
        <x:f>IF(ISNUMBER(B21),B19-B21,"")</x:f>
        <x:v>0</x:v>
      </x:c>
      <x:c r="C20" s="13" t="n">
        <x:f>G20</x:f>
        <x:v>0</x:v>
      </x:c>
      <x:c r="D20" s="1"/>
      <x:c r="E20" s="1" t="str">
        <x:v>Discount included</x:v>
      </x:c>
      <x:c r="F20" s="10"/>
      <x:c r="G20" s="13" t="n">
        <x:f>IF(AND(COUNTIFS('Client detail'!$A$7:$A$506,"battlestar",'Client detail'!$M$7:$M$506,"Invalid hours")=0,COUNTIFS('Client detail'!$A$7:$A$506,"battlestar",'Client detail'!$M$7:$M$506,"Needs allocation")=0,COUNTIFS('SOW caps'!$A$7:$A$36,"battlestar",'SOW caps'!$M$7:$M$36,"Confirm cap")+COUNTIFS('SOW caps'!$A$7:$A$36,"battlestar",'SOW caps'!$M$7:$M$36,"Confirm rate")+COUNTIFS('SOW caps'!$A$7:$A$36,"battlestar",'SOW caps'!$M$7:$M$36,"Invalid rate")+COUNTIFS('SOW caps'!$A$7:$A$36,"battlestar",'SOW caps'!$M$7:$M$36,"Duplicate SOW")=0,ABS(F17)&lt;0.000000001),ROUND(SUMIFS('SOW caps'!$J$7:$J$36,'SOW caps'!$A$7:$A$36,"battlestar"),2),"Review detail / caps")</x:f>
        <x:v>0</x:v>
      </x:c>
    </x:row>
    <x:row r="21" ht="23" customHeight="1">
      <x:c r="A21" s="17" t="str">
        <x:v>Total Hours*</x:v>
      </x:c>
      <x:c r="B21" s="18" t="n">
        <x:f>IF(ISNUMBER(G20),SUMIFS('SOW caps'!$L$7:$L$36,'SOW caps'!$A$7:$A$36,"battlestar"),"")</x:f>
        <x:v>0</x:v>
      </x:c>
      <x:c r="C21" s="19"/>
      <x:c r="D21" s="1"/>
      <x:c r="E21" s="17" t="str">
        <x:v>Total Cost</x:v>
      </x:c>
      <x:c r="F21" s="18"/>
      <x:c r="G21" s="19" t="n">
        <x:f>IF(ISNUMBER(G20),G19,"")</x:f>
        <x:v>0</x:v>
      </x:c>
    </x:row>
    <x:row r="22" ht="23" customHeight="1">
      <x:c r="A22" s="1"/>
      <x:c r="B22" s="1"/>
      <x:c r="C22" s="1"/>
      <x:c r="D22" s="1"/>
      <x:c r="E22" s="1"/>
      <x:c r="F22" s="1"/>
      <x:c r="G22" s="1"/>
    </x:row>
    <x:row r="23" ht="23" customHeight="1">
      <x:c r="A23" s="1"/>
      <x:c r="B23" s="1"/>
      <x:c r="C23" s="1"/>
      <x:c r="D23" s="1"/>
      <x:c r="E23" s="1"/>
      <x:c r="F23" s="1"/>
      <x:c r="G23" s="1"/>
    </x:row>
    <x:row r="24" ht="23" customHeight="1">
      <x:c r="A24" s="1" t="str">
        <x:v>*Charged hours after each SOW cap. Actual logged hours remain in Sub Total.</x:v>
      </x:c>
      <x:c r="B24" s="1"/>
      <x:c r="C24" s="1"/>
      <x:c r="D24" s="1"/>
      <x:c r="E24" s="1"/>
      <x:c r="F24" s="1"/>
      <x:c r="G24" s="1"/>
    </x:row>
    <x:row r="25" ht="23" customHeight="1">
      <x:c r="A25" s="1" t="str">
        <x:v>Edit hours only in Client detail. Shared SOW caps are allocated by hours; discounts are already included in project costs.</x:v>
      </x:c>
      <x:c r="B25" s="1"/>
      <x:c r="C25" s="1"/>
      <x:c r="D25" s="1"/>
      <x:c r="E25" s="1"/>
      <x:c r="F25" s="1"/>
      <x:c r="G25" s="1"/>
    </x:row>
    <x:row r="26" ht="23" customHeight="1">
      <x:c r="A26" s="1"/>
      <x:c r="B26" s="1"/>
      <x:c r="C26" s="1"/>
      <x:c r="D26" s="1"/>
      <x:c r="E26" s="1"/>
      <x:c r="F26" s="1"/>
      <x:c r="G26" s="1"/>
    </x:row>
    <x:row r="27" ht="23" customHeight="1">
      <x:c r="A27" s="1"/>
      <x:c r="B27" s="1"/>
      <x:c r="C27" s="1"/>
      <x:c r="D27" s="1"/>
      <x:c r="E27" s="1"/>
      <x:c r="F27" s="1"/>
      <x:c r="G27" s="1"/>
    </x:row>
    <x:row r="28" ht="23" customHeight="1">
      <x:c r="A28" s="1"/>
      <x:c r="B28" s="1"/>
      <x:c r="C28" s="1"/>
      <x:c r="D28" s="1"/>
      <x:c r="E28" s="1"/>
      <x:c r="F28" s="1"/>
      <x:c r="G28" s="1"/>
    </x:row>
    <x:row r="29" ht="23" customHeight="1">
      <x:c r="A29" s="1"/>
      <x:c r="B29" s="1"/>
      <x:c r="C29" s="1"/>
      <x:c r="D29" s="1"/>
      <x:c r="E29" s="1"/>
      <x:c r="F29" s="1"/>
      <x:c r="G29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18" hidden="0" customWidth="1"/>
    <x:col min="2" max="2" width="14" hidden="0" customWidth="1"/>
    <x:col min="3" max="3" width="42" hidden="0" customWidth="1"/>
    <x:col min="4" max="4" width="16" hidden="0" customWidth="1"/>
    <x:col min="5" max="5" width="16" hidden="0" customWidth="1"/>
    <x:col min="6" max="6" width="18" hidden="0" customWidth="1"/>
    <x:col min="7" max="7" width="45" hidden="0" customWidth="1"/>
    <x:col min="8" max="8" width="15" hidden="0" customWidth="1"/>
    <x:col min="9" max="9" width="19" hidden="0" customWidth="1"/>
    <x:col min="10" max="10" width="19" hidden="0" customWidth="1"/>
    <x:col min="11" max="11" width="19" hidden="0" customWidth="1"/>
    <x:col min="12" max="12" width="17" hidden="0" customWidth="1"/>
    <x:col min="13" max="13" width="27" hidden="0" customWidth="1"/>
    <x:col min="14" max="14" width="30" hidden="0" customWidth="1"/>
    <x:col min="15" max="15" width="22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 ht="23" customHeight="1">
      <x:c r="A2" s="2" t="str">
        <x:v>SOW caps and absorbed costs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</x:row>
    <x:row r="3" ht="23" customHeight="1">
      <x:c r="A3" s="1" t="str">
        <x:v>Default hourly rate</x:v>
      </x:c>
      <x:c r="B3" s="4" t="n">
        <x:v>245</x:v>
      </x:c>
      <x:c r="C3" s="1"/>
      <x:c r="D3" s="1" t="str">
        <x:v>Example cap (hours)</x:v>
      </x:c>
      <x:c r="E3" s="3" t="n">
        <x:v>297</x:v>
      </x:c>
      <x:c r="F3" s="1" t="str">
        <x:v>Reference only. Confirm each SOW cap below.</x:v>
      </x:c>
      <x:c r="G3" s="1"/>
      <x:c r="H3" s="1"/>
      <x:c r="I3" s="1"/>
      <x:c r="J3" s="1"/>
      <x:c r="K3" s="1"/>
      <x:c r="L3" s="1"/>
      <x:c r="M3" s="1"/>
      <x:c r="N3" s="1"/>
      <x:c r="O3" s="1"/>
    </x:row>
    <x:row r="4" ht="23" customHeight="1">
      <x:c r="A4" s="1" t="str">
        <x:v>Caps apply separately to each SOW for this reporting period. Amber cells are editable.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</x:row>
    <x:row r="5" ht="23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</x:row>
    <x:row r="6" ht="34" customHeight="1">
      <x:c r="A6" s="7" t="str">
        <x:v>Project key</x:v>
      </x:c>
      <x:c r="B6" s="7" t="str">
        <x:v>SOW ID</x:v>
      </x:c>
      <x:c r="C6" s="7" t="str">
        <x:v>SOW name</x:v>
      </x:c>
      <x:c r="D6" s="7" t="str">
        <x:v>Rate override</x:v>
      </x:c>
      <x:c r="E6" s="7" t="str">
        <x:v>Rate / hour</x:v>
      </x:c>
      <x:c r="F6" s="7" t="str">
        <x:v>Cap hours / period</x:v>
      </x:c>
      <x:c r="G6" s="7" t="str">
        <x:v>Cap evidence / agreement</x:v>
      </x:c>
      <x:c r="H6" s="7" t="str">
        <x:v>Hours logged</x:v>
      </x:c>
      <x:c r="I6" s="7" t="str">
        <x:v>Gross cost</x:v>
      </x:c>
      <x:c r="J6" s="7" t="str">
        <x:v>Discount (absorbed)</x:v>
      </x:c>
      <x:c r="K6" s="7" t="str">
        <x:v>Net cost</x:v>
      </x:c>
      <x:c r="L6" s="7" t="str">
        <x:v>Charged hours</x:v>
      </x:c>
      <x:c r="M6" s="7" t="str">
        <x:v>Status</x:v>
      </x:c>
      <x:c r="N6" s="7" t="str">
        <x:v>SOW key</x:v>
      </x:c>
      <x:c r="O6" s="7" t="str">
        <x:v>Net cost / logged hour</x:v>
      </x:c>
    </x:row>
    <x:row r="7" ht="23" customHeight="1">
      <x:c r="A7" s="3" t="str">
        <x:v>battlestar</x:v>
      </x:c>
      <x:c r="B7" s="3" t="str">
        <x:v>BS1</x:v>
      </x:c>
      <x:c r="C7" s="3" t="str">
        <x:v>BS1 Phase 1</x:v>
      </x:c>
      <x:c r="D7" s="4"/>
      <x:c r="E7" s="8" t="n">
        <x:f>IF(B7="","",IF(ISNUMBER(D7),D7,IF(D7="",IF(ISNUMBER($B$3),$B$3,""),D7)))</x:f>
        <x:v>245</x:v>
      </x:c>
      <x:c r="F7" s="9"/>
      <x:c r="G7" s="3" t="str"/>
      <x:c r="H7" s="10" t="n">
        <x:f>IF(B7="","",SUMIFS('Client detail'!$X$7:$X$506,'Client detail'!$A$7:$A$506,A7,'Client detail'!$K$7:$K$506,B7,'Client detail'!$M$7:$M$506,"Mapped"))</x:f>
        <x:v>0</x:v>
      </x:c>
      <x:c r="I7" s="8" t="n">
        <x:f>IF(B7="","",IF(AND(ISNUMBER(E7),E7&gt;=0),ROUND(H7*E7,2),""))</x:f>
        <x:v>0</x:v>
      </x:c>
      <x:c r="J7" s="8" t="n">
        <x:f>IF(ISNUMBER(K7),ROUND(I7-K7,2),"")</x:f>
        <x:v>0</x:v>
      </x:c>
      <x:c r="K7" s="8" t="n">
        <x:f>IF(ISNUMBER(L7),ROUND(L7*E7,2),"")</x:f>
        <x:v>0</x:v>
      </x:c>
      <x:c r="L7" s="10" t="n">
        <x:f>IF(M7="No hours",0,IF(M7="Ready",MIN(H7,F7),""))</x:f>
        <x:v>0</x:v>
      </x:c>
      <x:c r="M7" s="1" t="str">
        <x:f>IF(B7="","",IF(COUNTIF($N$7:$N$36,N7)&lt;&gt;1,"Duplicate SOW",IF(H7=0,"No hours",IF(NOT(ISNUMBER(E7)),"Confirm rate",IF(E7&lt;0,"Invalid rate",IF(OR(NOT(ISNUMBER(F7)),F7&lt;0,G7=""),"Confirm cap","Ready"))))))</x:f>
        <x:v>No hours</x:v>
      </x:c>
      <x:c r="N7" s="1" t="str">
        <x:f>IF(B7="","",A7&amp;"|"&amp;B7)</x:f>
        <x:v>battlestar|BS1</x:v>
      </x:c>
      <x:c r="O7" s="8" t="n">
        <x:f>IF(ISNUMBER(K7),IF(H7&gt;0,K7/H7,0),"")</x:f>
        <x:v>0</x:v>
      </x:c>
    </x:row>
    <x:row r="8" ht="23" customHeight="1">
      <x:c r="A8" s="3" t="str">
        <x:v>battlestar</x:v>
      </x:c>
      <x:c r="B8" s="3" t="str">
        <x:v>BS8</x:v>
      </x:c>
      <x:c r="C8" s="3" t="str">
        <x:v>BS 8 MSP and Administration</x:v>
      </x:c>
      <x:c r="D8" s="4"/>
      <x:c r="E8" s="8" t="n">
        <x:f>IF(B8="","",IF(ISNUMBER(D8),D8,IF(D8="",IF(ISNUMBER($B$3),$B$3,""),D8)))</x:f>
        <x:v>245</x:v>
      </x:c>
      <x:c r="F8" s="9"/>
      <x:c r="G8" s="3" t="str"/>
      <x:c r="H8" s="10" t="n">
        <x:f>IF(B8="","",SUMIFS('Client detail'!$X$7:$X$506,'Client detail'!$A$7:$A$506,A8,'Client detail'!$K$7:$K$506,B8,'Client detail'!$M$7:$M$506,"Mapped"))</x:f>
        <x:v>0</x:v>
      </x:c>
      <x:c r="I8" s="8" t="n">
        <x:f>IF(B8="","",IF(AND(ISNUMBER(E8),E8&gt;=0),ROUND(H8*E8,2),""))</x:f>
        <x:v>0</x:v>
      </x:c>
      <x:c r="J8" s="8" t="n">
        <x:f>IF(ISNUMBER(K8),ROUND(I8-K8,2),"")</x:f>
        <x:v>0</x:v>
      </x:c>
      <x:c r="K8" s="8" t="n">
        <x:f>IF(ISNUMBER(L8),ROUND(L8*E8,2),"")</x:f>
        <x:v>0</x:v>
      </x:c>
      <x:c r="L8" s="10" t="n">
        <x:f>IF(M8="No hours",0,IF(M8="Ready",MIN(H8,F8),""))</x:f>
        <x:v>0</x:v>
      </x:c>
      <x:c r="M8" s="1" t="str">
        <x:f>IF(B8="","",IF(COUNTIF($N$7:$N$36,N8)&lt;&gt;1,"Duplicate SOW",IF(H8=0,"No hours",IF(NOT(ISNUMBER(E8)),"Confirm rate",IF(E8&lt;0,"Invalid rate",IF(OR(NOT(ISNUMBER(F8)),F8&lt;0,G8=""),"Confirm cap","Ready"))))))</x:f>
        <x:v>No hours</x:v>
      </x:c>
      <x:c r="N8" s="1" t="str">
        <x:f>IF(B8="","",A8&amp;"|"&amp;B8)</x:f>
        <x:v>battlestar|BS8</x:v>
      </x:c>
      <x:c r="O8" s="8" t="n">
        <x:f>IF(ISNUMBER(K8),IF(H8&gt;0,K8/H8,0),"")</x:f>
        <x:v>0</x:v>
      </x:c>
    </x:row>
    <x:row r="9" ht="23" customHeight="1">
      <x:c r="A9" s="3" t="str">
        <x:v>battlestar</x:v>
      </x:c>
      <x:c r="B9" s="3" t="str">
        <x:v>BS10</x:v>
      </x:c>
      <x:c r="C9" s="3" t="str">
        <x:v>BS 10 Custom Sales and Marketing Reports</x:v>
      </x:c>
      <x:c r="D9" s="4"/>
      <x:c r="E9" s="8" t="n">
        <x:f>IF(B9="","",IF(ISNUMBER(D9),D9,IF(D9="",IF(ISNUMBER($B$3),$B$3,""),D9)))</x:f>
        <x:v>245</x:v>
      </x:c>
      <x:c r="F9" s="9"/>
      <x:c r="G9" s="3" t="str"/>
      <x:c r="H9" s="10" t="n">
        <x:f>IF(B9="","",SUMIFS('Client detail'!$X$7:$X$506,'Client detail'!$A$7:$A$506,A9,'Client detail'!$K$7:$K$506,B9,'Client detail'!$M$7:$M$506,"Mapped"))</x:f>
        <x:v>0</x:v>
      </x:c>
      <x:c r="I9" s="8" t="n">
        <x:f>IF(B9="","",IF(AND(ISNUMBER(E9),E9&gt;=0),ROUND(H9*E9,2),""))</x:f>
        <x:v>0</x:v>
      </x:c>
      <x:c r="J9" s="8" t="n">
        <x:f>IF(ISNUMBER(K9),ROUND(I9-K9,2),"")</x:f>
        <x:v>0</x:v>
      </x:c>
      <x:c r="K9" s="8" t="n">
        <x:f>IF(ISNUMBER(L9),ROUND(L9*E9,2),"")</x:f>
        <x:v>0</x:v>
      </x:c>
      <x:c r="L9" s="10" t="n">
        <x:f>IF(M9="No hours",0,IF(M9="Ready",MIN(H9,F9),""))</x:f>
        <x:v>0</x:v>
      </x:c>
      <x:c r="M9" s="1" t="str">
        <x:f>IF(B9="","",IF(COUNTIF($N$7:$N$36,N9)&lt;&gt;1,"Duplicate SOW",IF(H9=0,"No hours",IF(NOT(ISNUMBER(E9)),"Confirm rate",IF(E9&lt;0,"Invalid rate",IF(OR(NOT(ISNUMBER(F9)),F9&lt;0,G9=""),"Confirm cap","Ready"))))))</x:f>
        <x:v>No hours</x:v>
      </x:c>
      <x:c r="N9" s="1" t="str">
        <x:f>IF(B9="","",A9&amp;"|"&amp;B9)</x:f>
        <x:v>battlestar|BS10</x:v>
      </x:c>
      <x:c r="O9" s="8" t="n">
        <x:f>IF(ISNUMBER(K9),IF(H9&gt;0,K9/H9,0),"")</x:f>
        <x:v>0</x:v>
      </x:c>
    </x:row>
    <x:row r="10" ht="23" customHeight="1">
      <x:c r="A10" s="3" t="str">
        <x:v>battlestar</x:v>
      </x:c>
      <x:c r="B10" s="3" t="str">
        <x:v>BS11</x:v>
      </x:c>
      <x:c r="C10" s="3" t="str">
        <x:v>BS 11 Historical Data Normalization</x:v>
      </x:c>
      <x:c r="D10" s="4"/>
      <x:c r="E10" s="8" t="n">
        <x:f>IF(B10="","",IF(ISNUMBER(D10),D10,IF(D10="",IF(ISNUMBER($B$3),$B$3,""),D10)))</x:f>
        <x:v>245</x:v>
      </x:c>
      <x:c r="F10" s="9"/>
      <x:c r="G10" s="3" t="str"/>
      <x:c r="H10" s="10" t="n">
        <x:f>IF(B10="","",SUMIFS('Client detail'!$X$7:$X$506,'Client detail'!$A$7:$A$506,A10,'Client detail'!$K$7:$K$506,B10,'Client detail'!$M$7:$M$506,"Mapped"))</x:f>
        <x:v>0</x:v>
      </x:c>
      <x:c r="I10" s="8" t="n">
        <x:f>IF(B10="","",IF(AND(ISNUMBER(E10),E10&gt;=0),ROUND(H10*E10,2),""))</x:f>
        <x:v>0</x:v>
      </x:c>
      <x:c r="J10" s="8" t="n">
        <x:f>IF(ISNUMBER(K10),ROUND(I10-K10,2),"")</x:f>
        <x:v>0</x:v>
      </x:c>
      <x:c r="K10" s="8" t="n">
        <x:f>IF(ISNUMBER(L10),ROUND(L10*E10,2),"")</x:f>
        <x:v>0</x:v>
      </x:c>
      <x:c r="L10" s="10" t="n">
        <x:f>IF(M10="No hours",0,IF(M10="Ready",MIN(H10,F10),""))</x:f>
        <x:v>0</x:v>
      </x:c>
      <x:c r="M10" s="1" t="str">
        <x:f>IF(B10="","",IF(COUNTIF($N$7:$N$36,N10)&lt;&gt;1,"Duplicate SOW",IF(H10=0,"No hours",IF(NOT(ISNUMBER(E10)),"Confirm rate",IF(E10&lt;0,"Invalid rate",IF(OR(NOT(ISNUMBER(F10)),F10&lt;0,G10=""),"Confirm cap","Ready"))))))</x:f>
        <x:v>No hours</x:v>
      </x:c>
      <x:c r="N10" s="1" t="str">
        <x:f>IF(B10="","",A10&amp;"|"&amp;B10)</x:f>
        <x:v>battlestar|BS11</x:v>
      </x:c>
      <x:c r="O10" s="8" t="n">
        <x:f>IF(ISNUMBER(K10),IF(H10&gt;0,K10/H10,0),"")</x:f>
        <x:v>0</x:v>
      </x:c>
    </x:row>
    <x:row r="11" ht="23" customHeight="1">
      <x:c r="A11" s="3" t="str">
        <x:v>battlestar</x:v>
      </x:c>
      <x:c r="B11" s="3" t="str">
        <x:v>BS12</x:v>
      </x:c>
      <x:c r="C11" s="3" t="str">
        <x:v>BS 12 Marketing Website Maintenance</x:v>
      </x:c>
      <x:c r="D11" s="4"/>
      <x:c r="E11" s="8" t="n">
        <x:f>IF(B11="","",IF(ISNUMBER(D11),D11,IF(D11="",IF(ISNUMBER($B$3),$B$3,""),D11)))</x:f>
        <x:v>245</x:v>
      </x:c>
      <x:c r="F11" s="9"/>
      <x:c r="G11" s="3" t="str"/>
      <x:c r="H11" s="10" t="n">
        <x:f>IF(B11="","",SUMIFS('Client detail'!$X$7:$X$506,'Client detail'!$A$7:$A$506,A11,'Client detail'!$K$7:$K$506,B11,'Client detail'!$M$7:$M$506,"Mapped"))</x:f>
        <x:v>0</x:v>
      </x:c>
      <x:c r="I11" s="8" t="n">
        <x:f>IF(B11="","",IF(AND(ISNUMBER(E11),E11&gt;=0),ROUND(H11*E11,2),""))</x:f>
        <x:v>0</x:v>
      </x:c>
      <x:c r="J11" s="8" t="n">
        <x:f>IF(ISNUMBER(K11),ROUND(I11-K11,2),"")</x:f>
        <x:v>0</x:v>
      </x:c>
      <x:c r="K11" s="8" t="n">
        <x:f>IF(ISNUMBER(L11),ROUND(L11*E11,2),"")</x:f>
        <x:v>0</x:v>
      </x:c>
      <x:c r="L11" s="10" t="n">
        <x:f>IF(M11="No hours",0,IF(M11="Ready",MIN(H11,F11),""))</x:f>
        <x:v>0</x:v>
      </x:c>
      <x:c r="M11" s="1" t="str">
        <x:f>IF(B11="","",IF(COUNTIF($N$7:$N$36,N11)&lt;&gt;1,"Duplicate SOW",IF(H11=0,"No hours",IF(NOT(ISNUMBER(E11)),"Confirm rate",IF(E11&lt;0,"Invalid rate",IF(OR(NOT(ISNUMBER(F11)),F11&lt;0,G11=""),"Confirm cap","Ready"))))))</x:f>
        <x:v>No hours</x:v>
      </x:c>
      <x:c r="N11" s="1" t="str">
        <x:f>IF(B11="","",A11&amp;"|"&amp;B11)</x:f>
        <x:v>battlestar|BS12</x:v>
      </x:c>
      <x:c r="O11" s="8" t="n">
        <x:f>IF(ISNUMBER(K11),IF(H11&gt;0,K11/H11,0),"")</x:f>
        <x:v>0</x:v>
      </x:c>
    </x:row>
    <x:row r="12" ht="23" customHeight="1">
      <x:c r="A12" s="3" t="str">
        <x:v>battlestar</x:v>
      </x:c>
      <x:c r="B12" s="3" t="str">
        <x:v>BS17</x:v>
      </x:c>
      <x:c r="C12" s="3" t="str">
        <x:v>BS 17 Kinder Krowns Pipeline Discovery</x:v>
      </x:c>
      <x:c r="D12" s="4"/>
      <x:c r="E12" s="8" t="n">
        <x:f>IF(B12="","",IF(ISNUMBER(D12),D12,IF(D12="",IF(ISNUMBER($B$3),$B$3,""),D12)))</x:f>
        <x:v>245</x:v>
      </x:c>
      <x:c r="F12" s="9"/>
      <x:c r="G12" s="3" t="str"/>
      <x:c r="H12" s="10" t="n">
        <x:f>IF(B12="","",SUMIFS('Client detail'!$X$7:$X$506,'Client detail'!$A$7:$A$506,A12,'Client detail'!$K$7:$K$506,B12,'Client detail'!$M$7:$M$506,"Mapped"))</x:f>
        <x:v>0</x:v>
      </x:c>
      <x:c r="I12" s="8" t="n">
        <x:f>IF(B12="","",IF(AND(ISNUMBER(E12),E12&gt;=0),ROUND(H12*E12,2),""))</x:f>
        <x:v>0</x:v>
      </x:c>
      <x:c r="J12" s="8" t="n">
        <x:f>IF(ISNUMBER(K12),ROUND(I12-K12,2),"")</x:f>
        <x:v>0</x:v>
      </x:c>
      <x:c r="K12" s="8" t="n">
        <x:f>IF(ISNUMBER(L12),ROUND(L12*E12,2),"")</x:f>
        <x:v>0</x:v>
      </x:c>
      <x:c r="L12" s="10" t="n">
        <x:f>IF(M12="No hours",0,IF(M12="Ready",MIN(H12,F12),""))</x:f>
        <x:v>0</x:v>
      </x:c>
      <x:c r="M12" s="1" t="str">
        <x:f>IF(B12="","",IF(COUNTIF($N$7:$N$36,N12)&lt;&gt;1,"Duplicate SOW",IF(H12=0,"No hours",IF(NOT(ISNUMBER(E12)),"Confirm rate",IF(E12&lt;0,"Invalid rate",IF(OR(NOT(ISNUMBER(F12)),F12&lt;0,G12=""),"Confirm cap","Ready"))))))</x:f>
        <x:v>No hours</x:v>
      </x:c>
      <x:c r="N12" s="1" t="str">
        <x:f>IF(B12="","",A12&amp;"|"&amp;B12)</x:f>
        <x:v>battlestar|BS17</x:v>
      </x:c>
      <x:c r="O12" s="8" t="n">
        <x:f>IF(ISNUMBER(K12),IF(H12&gt;0,K12/H12,0),"")</x:f>
        <x:v>0</x:v>
      </x:c>
    </x:row>
    <x:row r="13" ht="23" customHeight="1">
      <x:c r="A13" s="3"/>
      <x:c r="B13" s="3"/>
      <x:c r="C13" s="3"/>
      <x:c r="D13" s="4"/>
      <x:c r="E13" s="8" t="str">
        <x:f>IF(B13="","",IF(ISNUMBER(D13),D13,IF(D13="",IF(ISNUMBER($B$3),$B$3,""),D13)))</x:f>
      </x:c>
      <x:c r="F13" s="9"/>
      <x:c r="G13" s="3"/>
      <x:c r="H13" s="10" t="str">
        <x:f>IF(B13="","",SUMIFS('Client detail'!$X$7:$X$506,'Client detail'!$A$7:$A$506,A13,'Client detail'!$K$7:$K$506,B13,'Client detail'!$M$7:$M$506,"Mapped"))</x:f>
      </x:c>
      <x:c r="I13" s="8" t="str">
        <x:f>IF(B13="","",IF(AND(ISNUMBER(E13),E13&gt;=0),ROUND(H13*E13,2),""))</x:f>
      </x:c>
      <x:c r="J13" s="8" t="str">
        <x:f>IF(ISNUMBER(K13),ROUND(I13-K13,2),"")</x:f>
      </x:c>
      <x:c r="K13" s="8" t="str">
        <x:f>IF(ISNUMBER(L13),ROUND(L13*E13,2),"")</x:f>
      </x:c>
      <x:c r="L13" s="10" t="str">
        <x:f>IF(M13="No hours",0,IF(M13="Ready",MIN(H13,F13),""))</x:f>
      </x:c>
      <x:c r="M13" s="1" t="str">
        <x:f>IF(B13="","",IF(COUNTIF($N$7:$N$36,N13)&lt;&gt;1,"Duplicate SOW",IF(H13=0,"No hours",IF(NOT(ISNUMBER(E13)),"Confirm rate",IF(E13&lt;0,"Invalid rate",IF(OR(NOT(ISNUMBER(F13)),F13&lt;0,G13=""),"Confirm cap","Ready"))))))</x:f>
      </x:c>
      <x:c r="N13" s="1" t="str">
        <x:f>IF(B13="","",A13&amp;"|"&amp;B13)</x:f>
      </x:c>
      <x:c r="O13" s="8" t="str">
        <x:f>IF(ISNUMBER(K13),IF(H13&gt;0,K13/H13,0),"")</x:f>
      </x:c>
    </x:row>
    <x:row r="14" ht="23" customHeight="1">
      <x:c r="A14" s="3"/>
      <x:c r="B14" s="3"/>
      <x:c r="C14" s="3"/>
      <x:c r="D14" s="4"/>
      <x:c r="E14" s="8" t="str">
        <x:f>IF(B14="","",IF(ISNUMBER(D14),D14,IF(D14="",IF(ISNUMBER($B$3),$B$3,""),D14)))</x:f>
      </x:c>
      <x:c r="F14" s="9"/>
      <x:c r="G14" s="3"/>
      <x:c r="H14" s="10" t="str">
        <x:f>IF(B14="","",SUMIFS('Client detail'!$X$7:$X$506,'Client detail'!$A$7:$A$506,A14,'Client detail'!$K$7:$K$506,B14,'Client detail'!$M$7:$M$506,"Mapped"))</x:f>
      </x:c>
      <x:c r="I14" s="8" t="str">
        <x:f>IF(B14="","",IF(AND(ISNUMBER(E14),E14&gt;=0),ROUND(H14*E14,2),""))</x:f>
      </x:c>
      <x:c r="J14" s="8" t="str">
        <x:f>IF(ISNUMBER(K14),ROUND(I14-K14,2),"")</x:f>
      </x:c>
      <x:c r="K14" s="8" t="str">
        <x:f>IF(ISNUMBER(L14),ROUND(L14*E14,2),"")</x:f>
      </x:c>
      <x:c r="L14" s="10" t="str">
        <x:f>IF(M14="No hours",0,IF(M14="Ready",MIN(H14,F14),""))</x:f>
      </x:c>
      <x:c r="M14" s="1" t="str">
        <x:f>IF(B14="","",IF(COUNTIF($N$7:$N$36,N14)&lt;&gt;1,"Duplicate SOW",IF(H14=0,"No hours",IF(NOT(ISNUMBER(E14)),"Confirm rate",IF(E14&lt;0,"Invalid rate",IF(OR(NOT(ISNUMBER(F14)),F14&lt;0,G14=""),"Confirm cap","Ready"))))))</x:f>
      </x:c>
      <x:c r="N14" s="1" t="str">
        <x:f>IF(B14="","",A14&amp;"|"&amp;B14)</x:f>
      </x:c>
      <x:c r="O14" s="8" t="str">
        <x:f>IF(ISNUMBER(K14),IF(H14&gt;0,K14/H14,0),"")</x:f>
      </x:c>
    </x:row>
    <x:row r="15" ht="23" customHeight="1">
      <x:c r="A15" s="3"/>
      <x:c r="B15" s="3"/>
      <x:c r="C15" s="3"/>
      <x:c r="D15" s="4"/>
      <x:c r="E15" s="8" t="str">
        <x:f>IF(B15="","",IF(ISNUMBER(D15),D15,IF(D15="",IF(ISNUMBER($B$3),$B$3,""),D15)))</x:f>
      </x:c>
      <x:c r="F15" s="9"/>
      <x:c r="G15" s="3"/>
      <x:c r="H15" s="10" t="str">
        <x:f>IF(B15="","",SUMIFS('Client detail'!$X$7:$X$506,'Client detail'!$A$7:$A$506,A15,'Client detail'!$K$7:$K$506,B15,'Client detail'!$M$7:$M$506,"Mapped"))</x:f>
      </x:c>
      <x:c r="I15" s="8" t="str">
        <x:f>IF(B15="","",IF(AND(ISNUMBER(E15),E15&gt;=0),ROUND(H15*E15,2),""))</x:f>
      </x:c>
      <x:c r="J15" s="8" t="str">
        <x:f>IF(ISNUMBER(K15),ROUND(I15-K15,2),"")</x:f>
      </x:c>
      <x:c r="K15" s="8" t="str">
        <x:f>IF(ISNUMBER(L15),ROUND(L15*E15,2),"")</x:f>
      </x:c>
      <x:c r="L15" s="10" t="str">
        <x:f>IF(M15="No hours",0,IF(M15="Ready",MIN(H15,F15),""))</x:f>
      </x:c>
      <x:c r="M15" s="1" t="str">
        <x:f>IF(B15="","",IF(COUNTIF($N$7:$N$36,N15)&lt;&gt;1,"Duplicate SOW",IF(H15=0,"No hours",IF(NOT(ISNUMBER(E15)),"Confirm rate",IF(E15&lt;0,"Invalid rate",IF(OR(NOT(ISNUMBER(F15)),F15&lt;0,G15=""),"Confirm cap","Ready"))))))</x:f>
      </x:c>
      <x:c r="N15" s="1" t="str">
        <x:f>IF(B15="","",A15&amp;"|"&amp;B15)</x:f>
      </x:c>
      <x:c r="O15" s="8" t="str">
        <x:f>IF(ISNUMBER(K15),IF(H15&gt;0,K15/H15,0),"")</x:f>
      </x:c>
    </x:row>
    <x:row r="16" ht="23" customHeight="1">
      <x:c r="A16" s="3"/>
      <x:c r="B16" s="3"/>
      <x:c r="C16" s="3"/>
      <x:c r="D16" s="4"/>
      <x:c r="E16" s="8" t="str">
        <x:f>IF(B16="","",IF(ISNUMBER(D16),D16,IF(D16="",IF(ISNUMBER($B$3),$B$3,""),D16)))</x:f>
      </x:c>
      <x:c r="F16" s="9"/>
      <x:c r="G16" s="3"/>
      <x:c r="H16" s="10" t="str">
        <x:f>IF(B16="","",SUMIFS('Client detail'!$X$7:$X$506,'Client detail'!$A$7:$A$506,A16,'Client detail'!$K$7:$K$506,B16,'Client detail'!$M$7:$M$506,"Mapped"))</x:f>
      </x:c>
      <x:c r="I16" s="8" t="str">
        <x:f>IF(B16="","",IF(AND(ISNUMBER(E16),E16&gt;=0),ROUND(H16*E16,2),""))</x:f>
      </x:c>
      <x:c r="J16" s="8" t="str">
        <x:f>IF(ISNUMBER(K16),ROUND(I16-K16,2),"")</x:f>
      </x:c>
      <x:c r="K16" s="8" t="str">
        <x:f>IF(ISNUMBER(L16),ROUND(L16*E16,2),"")</x:f>
      </x:c>
      <x:c r="L16" s="10" t="str">
        <x:f>IF(M16="No hours",0,IF(M16="Ready",MIN(H16,F16),""))</x:f>
      </x:c>
      <x:c r="M16" s="1" t="str">
        <x:f>IF(B16="","",IF(COUNTIF($N$7:$N$36,N16)&lt;&gt;1,"Duplicate SOW",IF(H16=0,"No hours",IF(NOT(ISNUMBER(E16)),"Confirm rate",IF(E16&lt;0,"Invalid rate",IF(OR(NOT(ISNUMBER(F16)),F16&lt;0,G16=""),"Confirm cap","Ready"))))))</x:f>
      </x:c>
      <x:c r="N16" s="1" t="str">
        <x:f>IF(B16="","",A16&amp;"|"&amp;B16)</x:f>
      </x:c>
      <x:c r="O16" s="8" t="str">
        <x:f>IF(ISNUMBER(K16),IF(H16&gt;0,K16/H16,0),"")</x:f>
      </x:c>
    </x:row>
    <x:row r="17" ht="23" customHeight="1">
      <x:c r="A17" s="3"/>
      <x:c r="B17" s="3"/>
      <x:c r="C17" s="3"/>
      <x:c r="D17" s="4"/>
      <x:c r="E17" s="8" t="str">
        <x:f>IF(B17="","",IF(ISNUMBER(D17),D17,IF(D17="",IF(ISNUMBER($B$3),$B$3,""),D17)))</x:f>
      </x:c>
      <x:c r="F17" s="9"/>
      <x:c r="G17" s="3"/>
      <x:c r="H17" s="10" t="str">
        <x:f>IF(B17="","",SUMIFS('Client detail'!$X$7:$X$506,'Client detail'!$A$7:$A$506,A17,'Client detail'!$K$7:$K$506,B17,'Client detail'!$M$7:$M$506,"Mapped"))</x:f>
      </x:c>
      <x:c r="I17" s="8" t="str">
        <x:f>IF(B17="","",IF(AND(ISNUMBER(E17),E17&gt;=0),ROUND(H17*E17,2),""))</x:f>
      </x:c>
      <x:c r="J17" s="8" t="str">
        <x:f>IF(ISNUMBER(K17),ROUND(I17-K17,2),"")</x:f>
      </x:c>
      <x:c r="K17" s="8" t="str">
        <x:f>IF(ISNUMBER(L17),ROUND(L17*E17,2),"")</x:f>
      </x:c>
      <x:c r="L17" s="10" t="str">
        <x:f>IF(M17="No hours",0,IF(M17="Ready",MIN(H17,F17),""))</x:f>
      </x:c>
      <x:c r="M17" s="1" t="str">
        <x:f>IF(B17="","",IF(COUNTIF($N$7:$N$36,N17)&lt;&gt;1,"Duplicate SOW",IF(H17=0,"No hours",IF(NOT(ISNUMBER(E17)),"Confirm rate",IF(E17&lt;0,"Invalid rate",IF(OR(NOT(ISNUMBER(F17)),F17&lt;0,G17=""),"Confirm cap","Ready"))))))</x:f>
      </x:c>
      <x:c r="N17" s="1" t="str">
        <x:f>IF(B17="","",A17&amp;"|"&amp;B17)</x:f>
      </x:c>
      <x:c r="O17" s="8" t="str">
        <x:f>IF(ISNUMBER(K17),IF(H17&gt;0,K17/H17,0),"")</x:f>
      </x:c>
    </x:row>
    <x:row r="18" ht="23" customHeight="1">
      <x:c r="A18" s="3"/>
      <x:c r="B18" s="3"/>
      <x:c r="C18" s="3"/>
      <x:c r="D18" s="4"/>
      <x:c r="E18" s="8" t="str">
        <x:f>IF(B18="","",IF(ISNUMBER(D18),D18,IF(D18="",IF(ISNUMBER($B$3),$B$3,""),D18)))</x:f>
      </x:c>
      <x:c r="F18" s="9"/>
      <x:c r="G18" s="3"/>
      <x:c r="H18" s="10" t="str">
        <x:f>IF(B18="","",SUMIFS('Client detail'!$X$7:$X$506,'Client detail'!$A$7:$A$506,A18,'Client detail'!$K$7:$K$506,B18,'Client detail'!$M$7:$M$506,"Mapped"))</x:f>
      </x:c>
      <x:c r="I18" s="8" t="str">
        <x:f>IF(B18="","",IF(AND(ISNUMBER(E18),E18&gt;=0),ROUND(H18*E18,2),""))</x:f>
      </x:c>
      <x:c r="J18" s="8" t="str">
        <x:f>IF(ISNUMBER(K18),ROUND(I18-K18,2),"")</x:f>
      </x:c>
      <x:c r="K18" s="8" t="str">
        <x:f>IF(ISNUMBER(L18),ROUND(L18*E18,2),"")</x:f>
      </x:c>
      <x:c r="L18" s="10" t="str">
        <x:f>IF(M18="No hours",0,IF(M18="Ready",MIN(H18,F18),""))</x:f>
      </x:c>
      <x:c r="M18" s="1" t="str">
        <x:f>IF(B18="","",IF(COUNTIF($N$7:$N$36,N18)&lt;&gt;1,"Duplicate SOW",IF(H18=0,"No hours",IF(NOT(ISNUMBER(E18)),"Confirm rate",IF(E18&lt;0,"Invalid rate",IF(OR(NOT(ISNUMBER(F18)),F18&lt;0,G18=""),"Confirm cap","Ready"))))))</x:f>
      </x:c>
      <x:c r="N18" s="1" t="str">
        <x:f>IF(B18="","",A18&amp;"|"&amp;B18)</x:f>
      </x:c>
      <x:c r="O18" s="8" t="str">
        <x:f>IF(ISNUMBER(K18),IF(H18&gt;0,K18/H18,0),"")</x:f>
      </x:c>
    </x:row>
    <x:row r="19" ht="23" customHeight="1">
      <x:c r="A19" s="3"/>
      <x:c r="B19" s="3"/>
      <x:c r="C19" s="3"/>
      <x:c r="D19" s="4"/>
      <x:c r="E19" s="8" t="str">
        <x:f>IF(B19="","",IF(ISNUMBER(D19),D19,IF(D19="",IF(ISNUMBER($B$3),$B$3,""),D19)))</x:f>
      </x:c>
      <x:c r="F19" s="9"/>
      <x:c r="G19" s="3"/>
      <x:c r="H19" s="10" t="str">
        <x:f>IF(B19="","",SUMIFS('Client detail'!$X$7:$X$506,'Client detail'!$A$7:$A$506,A19,'Client detail'!$K$7:$K$506,B19,'Client detail'!$M$7:$M$506,"Mapped"))</x:f>
      </x:c>
      <x:c r="I19" s="8" t="str">
        <x:f>IF(B19="","",IF(AND(ISNUMBER(E19),E19&gt;=0),ROUND(H19*E19,2),""))</x:f>
      </x:c>
      <x:c r="J19" s="8" t="str">
        <x:f>IF(ISNUMBER(K19),ROUND(I19-K19,2),"")</x:f>
      </x:c>
      <x:c r="K19" s="8" t="str">
        <x:f>IF(ISNUMBER(L19),ROUND(L19*E19,2),"")</x:f>
      </x:c>
      <x:c r="L19" s="10" t="str">
        <x:f>IF(M19="No hours",0,IF(M19="Ready",MIN(H19,F19),""))</x:f>
      </x:c>
      <x:c r="M19" s="1" t="str">
        <x:f>IF(B19="","",IF(COUNTIF($N$7:$N$36,N19)&lt;&gt;1,"Duplicate SOW",IF(H19=0,"No hours",IF(NOT(ISNUMBER(E19)),"Confirm rate",IF(E19&lt;0,"Invalid rate",IF(OR(NOT(ISNUMBER(F19)),F19&lt;0,G19=""),"Confirm cap","Ready"))))))</x:f>
      </x:c>
      <x:c r="N19" s="1" t="str">
        <x:f>IF(B19="","",A19&amp;"|"&amp;B19)</x:f>
      </x:c>
      <x:c r="O19" s="8" t="str">
        <x:f>IF(ISNUMBER(K19),IF(H19&gt;0,K19/H19,0),"")</x:f>
      </x:c>
    </x:row>
    <x:row r="20" ht="23" customHeight="1">
      <x:c r="A20" s="3"/>
      <x:c r="B20" s="3"/>
      <x:c r="C20" s="3"/>
      <x:c r="D20" s="4"/>
      <x:c r="E20" s="8" t="str">
        <x:f>IF(B20="","",IF(ISNUMBER(D20),D20,IF(D20="",IF(ISNUMBER($B$3),$B$3,""),D20)))</x:f>
      </x:c>
      <x:c r="F20" s="9"/>
      <x:c r="G20" s="3"/>
      <x:c r="H20" s="10" t="str">
        <x:f>IF(B20="","",SUMIFS('Client detail'!$X$7:$X$506,'Client detail'!$A$7:$A$506,A20,'Client detail'!$K$7:$K$506,B20,'Client detail'!$M$7:$M$506,"Mapped"))</x:f>
      </x:c>
      <x:c r="I20" s="8" t="str">
        <x:f>IF(B20="","",IF(AND(ISNUMBER(E20),E20&gt;=0),ROUND(H20*E20,2),""))</x:f>
      </x:c>
      <x:c r="J20" s="8" t="str">
        <x:f>IF(ISNUMBER(K20),ROUND(I20-K20,2),"")</x:f>
      </x:c>
      <x:c r="K20" s="8" t="str">
        <x:f>IF(ISNUMBER(L20),ROUND(L20*E20,2),"")</x:f>
      </x:c>
      <x:c r="L20" s="10" t="str">
        <x:f>IF(M20="No hours",0,IF(M20="Ready",MIN(H20,F20),""))</x:f>
      </x:c>
      <x:c r="M20" s="1" t="str">
        <x:f>IF(B20="","",IF(COUNTIF($N$7:$N$36,N20)&lt;&gt;1,"Duplicate SOW",IF(H20=0,"No hours",IF(NOT(ISNUMBER(E20)),"Confirm rate",IF(E20&lt;0,"Invalid rate",IF(OR(NOT(ISNUMBER(F20)),F20&lt;0,G20=""),"Confirm cap","Ready"))))))</x:f>
      </x:c>
      <x:c r="N20" s="1" t="str">
        <x:f>IF(B20="","",A20&amp;"|"&amp;B20)</x:f>
      </x:c>
      <x:c r="O20" s="8" t="str">
        <x:f>IF(ISNUMBER(K20),IF(H20&gt;0,K20/H20,0),"")</x:f>
      </x:c>
    </x:row>
    <x:row r="21" ht="23" customHeight="1">
      <x:c r="A21" s="3"/>
      <x:c r="B21" s="3"/>
      <x:c r="C21" s="3"/>
      <x:c r="D21" s="4"/>
      <x:c r="E21" s="8" t="str">
        <x:f>IF(B21="","",IF(ISNUMBER(D21),D21,IF(D21="",IF(ISNUMBER($B$3),$B$3,""),D21)))</x:f>
      </x:c>
      <x:c r="F21" s="9"/>
      <x:c r="G21" s="3"/>
      <x:c r="H21" s="10" t="str">
        <x:f>IF(B21="","",SUMIFS('Client detail'!$X$7:$X$506,'Client detail'!$A$7:$A$506,A21,'Client detail'!$K$7:$K$506,B21,'Client detail'!$M$7:$M$506,"Mapped"))</x:f>
      </x:c>
      <x:c r="I21" s="8" t="str">
        <x:f>IF(B21="","",IF(AND(ISNUMBER(E21),E21&gt;=0),ROUND(H21*E21,2),""))</x:f>
      </x:c>
      <x:c r="J21" s="8" t="str">
        <x:f>IF(ISNUMBER(K21),ROUND(I21-K21,2),"")</x:f>
      </x:c>
      <x:c r="K21" s="8" t="str">
        <x:f>IF(ISNUMBER(L21),ROUND(L21*E21,2),"")</x:f>
      </x:c>
      <x:c r="L21" s="10" t="str">
        <x:f>IF(M21="No hours",0,IF(M21="Ready",MIN(H21,F21),""))</x:f>
      </x:c>
      <x:c r="M21" s="1" t="str">
        <x:f>IF(B21="","",IF(COUNTIF($N$7:$N$36,N21)&lt;&gt;1,"Duplicate SOW",IF(H21=0,"No hours",IF(NOT(ISNUMBER(E21)),"Confirm rate",IF(E21&lt;0,"Invalid rate",IF(OR(NOT(ISNUMBER(F21)),F21&lt;0,G21=""),"Confirm cap","Ready"))))))</x:f>
      </x:c>
      <x:c r="N21" s="1" t="str">
        <x:f>IF(B21="","",A21&amp;"|"&amp;B21)</x:f>
      </x:c>
      <x:c r="O21" s="8" t="str">
        <x:f>IF(ISNUMBER(K21),IF(H21&gt;0,K21/H21,0),"")</x:f>
      </x:c>
    </x:row>
    <x:row r="22" ht="23" customHeight="1">
      <x:c r="A22" s="3"/>
      <x:c r="B22" s="3"/>
      <x:c r="C22" s="3"/>
      <x:c r="D22" s="4"/>
      <x:c r="E22" s="8" t="str">
        <x:f>IF(B22="","",IF(ISNUMBER(D22),D22,IF(D22="",IF(ISNUMBER($B$3),$B$3,""),D22)))</x:f>
      </x:c>
      <x:c r="F22" s="9"/>
      <x:c r="G22" s="3"/>
      <x:c r="H22" s="10" t="str">
        <x:f>IF(B22="","",SUMIFS('Client detail'!$X$7:$X$506,'Client detail'!$A$7:$A$506,A22,'Client detail'!$K$7:$K$506,B22,'Client detail'!$M$7:$M$506,"Mapped"))</x:f>
      </x:c>
      <x:c r="I22" s="8" t="str">
        <x:f>IF(B22="","",IF(AND(ISNUMBER(E22),E22&gt;=0),ROUND(H22*E22,2),""))</x:f>
      </x:c>
      <x:c r="J22" s="8" t="str">
        <x:f>IF(ISNUMBER(K22),ROUND(I22-K22,2),"")</x:f>
      </x:c>
      <x:c r="K22" s="8" t="str">
        <x:f>IF(ISNUMBER(L22),ROUND(L22*E22,2),"")</x:f>
      </x:c>
      <x:c r="L22" s="10" t="str">
        <x:f>IF(M22="No hours",0,IF(M22="Ready",MIN(H22,F22),""))</x:f>
      </x:c>
      <x:c r="M22" s="1" t="str">
        <x:f>IF(B22="","",IF(COUNTIF($N$7:$N$36,N22)&lt;&gt;1,"Duplicate SOW",IF(H22=0,"No hours",IF(NOT(ISNUMBER(E22)),"Confirm rate",IF(E22&lt;0,"Invalid rate",IF(OR(NOT(ISNUMBER(F22)),F22&lt;0,G22=""),"Confirm cap","Ready"))))))</x:f>
      </x:c>
      <x:c r="N22" s="1" t="str">
        <x:f>IF(B22="","",A22&amp;"|"&amp;B22)</x:f>
      </x:c>
      <x:c r="O22" s="8" t="str">
        <x:f>IF(ISNUMBER(K22),IF(H22&gt;0,K22/H22,0),"")</x:f>
      </x:c>
    </x:row>
    <x:row r="23" ht="23" customHeight="1">
      <x:c r="A23" s="3"/>
      <x:c r="B23" s="3"/>
      <x:c r="C23" s="3"/>
      <x:c r="D23" s="4"/>
      <x:c r="E23" s="8" t="str">
        <x:f>IF(B23="","",IF(ISNUMBER(D23),D23,IF(D23="",IF(ISNUMBER($B$3),$B$3,""),D23)))</x:f>
      </x:c>
      <x:c r="F23" s="9"/>
      <x:c r="G23" s="3"/>
      <x:c r="H23" s="10" t="str">
        <x:f>IF(B23="","",SUMIFS('Client detail'!$X$7:$X$506,'Client detail'!$A$7:$A$506,A23,'Client detail'!$K$7:$K$506,B23,'Client detail'!$M$7:$M$506,"Mapped"))</x:f>
      </x:c>
      <x:c r="I23" s="8" t="str">
        <x:f>IF(B23="","",IF(AND(ISNUMBER(E23),E23&gt;=0),ROUND(H23*E23,2),""))</x:f>
      </x:c>
      <x:c r="J23" s="8" t="str">
        <x:f>IF(ISNUMBER(K23),ROUND(I23-K23,2),"")</x:f>
      </x:c>
      <x:c r="K23" s="8" t="str">
        <x:f>IF(ISNUMBER(L23),ROUND(L23*E23,2),"")</x:f>
      </x:c>
      <x:c r="L23" s="10" t="str">
        <x:f>IF(M23="No hours",0,IF(M23="Ready",MIN(H23,F23),""))</x:f>
      </x:c>
      <x:c r="M23" s="1" t="str">
        <x:f>IF(B23="","",IF(COUNTIF($N$7:$N$36,N23)&lt;&gt;1,"Duplicate SOW",IF(H23=0,"No hours",IF(NOT(ISNUMBER(E23)),"Confirm rate",IF(E23&lt;0,"Invalid rate",IF(OR(NOT(ISNUMBER(F23)),F23&lt;0,G23=""),"Confirm cap","Ready"))))))</x:f>
      </x:c>
      <x:c r="N23" s="1" t="str">
        <x:f>IF(B23="","",A23&amp;"|"&amp;B23)</x:f>
      </x:c>
      <x:c r="O23" s="8" t="str">
        <x:f>IF(ISNUMBER(K23),IF(H23&gt;0,K23/H23,0),"")</x:f>
      </x:c>
    </x:row>
    <x:row r="24" ht="23" customHeight="1">
      <x:c r="A24" s="3"/>
      <x:c r="B24" s="3"/>
      <x:c r="C24" s="3"/>
      <x:c r="D24" s="4"/>
      <x:c r="E24" s="8" t="str">
        <x:f>IF(B24="","",IF(ISNUMBER(D24),D24,IF(D24="",IF(ISNUMBER($B$3),$B$3,""),D24)))</x:f>
      </x:c>
      <x:c r="F24" s="9"/>
      <x:c r="G24" s="3"/>
      <x:c r="H24" s="10" t="str">
        <x:f>IF(B24="","",SUMIFS('Client detail'!$X$7:$X$506,'Client detail'!$A$7:$A$506,A24,'Client detail'!$K$7:$K$506,B24,'Client detail'!$M$7:$M$506,"Mapped"))</x:f>
      </x:c>
      <x:c r="I24" s="8" t="str">
        <x:f>IF(B24="","",IF(AND(ISNUMBER(E24),E24&gt;=0),ROUND(H24*E24,2),""))</x:f>
      </x:c>
      <x:c r="J24" s="8" t="str">
        <x:f>IF(ISNUMBER(K24),ROUND(I24-K24,2),"")</x:f>
      </x:c>
      <x:c r="K24" s="8" t="str">
        <x:f>IF(ISNUMBER(L24),ROUND(L24*E24,2),"")</x:f>
      </x:c>
      <x:c r="L24" s="10" t="str">
        <x:f>IF(M24="No hours",0,IF(M24="Ready",MIN(H24,F24),""))</x:f>
      </x:c>
      <x:c r="M24" s="1" t="str">
        <x:f>IF(B24="","",IF(COUNTIF($N$7:$N$36,N24)&lt;&gt;1,"Duplicate SOW",IF(H24=0,"No hours",IF(NOT(ISNUMBER(E24)),"Confirm rate",IF(E24&lt;0,"Invalid rate",IF(OR(NOT(ISNUMBER(F24)),F24&lt;0,G24=""),"Confirm cap","Ready"))))))</x:f>
      </x:c>
      <x:c r="N24" s="1" t="str">
        <x:f>IF(B24="","",A24&amp;"|"&amp;B24)</x:f>
      </x:c>
      <x:c r="O24" s="8" t="str">
        <x:f>IF(ISNUMBER(K24),IF(H24&gt;0,K24/H24,0),"")</x:f>
      </x:c>
    </x:row>
    <x:row r="25" ht="23" customHeight="1">
      <x:c r="A25" s="3"/>
      <x:c r="B25" s="3"/>
      <x:c r="C25" s="3"/>
      <x:c r="D25" s="4"/>
      <x:c r="E25" s="8" t="str">
        <x:f>IF(B25="","",IF(ISNUMBER(D25),D25,IF(D25="",IF(ISNUMBER($B$3),$B$3,""),D25)))</x:f>
      </x:c>
      <x:c r="F25" s="9"/>
      <x:c r="G25" s="3"/>
      <x:c r="H25" s="10" t="str">
        <x:f>IF(B25="","",SUMIFS('Client detail'!$X$7:$X$506,'Client detail'!$A$7:$A$506,A25,'Client detail'!$K$7:$K$506,B25,'Client detail'!$M$7:$M$506,"Mapped"))</x:f>
      </x:c>
      <x:c r="I25" s="8" t="str">
        <x:f>IF(B25="","",IF(AND(ISNUMBER(E25),E25&gt;=0),ROUND(H25*E25,2),""))</x:f>
      </x:c>
      <x:c r="J25" s="8" t="str">
        <x:f>IF(ISNUMBER(K25),ROUND(I25-K25,2),"")</x:f>
      </x:c>
      <x:c r="K25" s="8" t="str">
        <x:f>IF(ISNUMBER(L25),ROUND(L25*E25,2),"")</x:f>
      </x:c>
      <x:c r="L25" s="10" t="str">
        <x:f>IF(M25="No hours",0,IF(M25="Ready",MIN(H25,F25),""))</x:f>
      </x:c>
      <x:c r="M25" s="1" t="str">
        <x:f>IF(B25="","",IF(COUNTIF($N$7:$N$36,N25)&lt;&gt;1,"Duplicate SOW",IF(H25=0,"No hours",IF(NOT(ISNUMBER(E25)),"Confirm rate",IF(E25&lt;0,"Invalid rate",IF(OR(NOT(ISNUMBER(F25)),F25&lt;0,G25=""),"Confirm cap","Ready"))))))</x:f>
      </x:c>
      <x:c r="N25" s="1" t="str">
        <x:f>IF(B25="","",A25&amp;"|"&amp;B25)</x:f>
      </x:c>
      <x:c r="O25" s="8" t="str">
        <x:f>IF(ISNUMBER(K25),IF(H25&gt;0,K25/H25,0),"")</x:f>
      </x:c>
    </x:row>
    <x:row r="26" ht="23" customHeight="1">
      <x:c r="A26" s="3"/>
      <x:c r="B26" s="3"/>
      <x:c r="C26" s="3"/>
      <x:c r="D26" s="4"/>
      <x:c r="E26" s="8" t="str">
        <x:f>IF(B26="","",IF(ISNUMBER(D26),D26,IF(D26="",IF(ISNUMBER($B$3),$B$3,""),D26)))</x:f>
      </x:c>
      <x:c r="F26" s="9"/>
      <x:c r="G26" s="3"/>
      <x:c r="H26" s="10" t="str">
        <x:f>IF(B26="","",SUMIFS('Client detail'!$X$7:$X$506,'Client detail'!$A$7:$A$506,A26,'Client detail'!$K$7:$K$506,B26,'Client detail'!$M$7:$M$506,"Mapped"))</x:f>
      </x:c>
      <x:c r="I26" s="8" t="str">
        <x:f>IF(B26="","",IF(AND(ISNUMBER(E26),E26&gt;=0),ROUND(H26*E26,2),""))</x:f>
      </x:c>
      <x:c r="J26" s="8" t="str">
        <x:f>IF(ISNUMBER(K26),ROUND(I26-K26,2),"")</x:f>
      </x:c>
      <x:c r="K26" s="8" t="str">
        <x:f>IF(ISNUMBER(L26),ROUND(L26*E26,2),"")</x:f>
      </x:c>
      <x:c r="L26" s="10" t="str">
        <x:f>IF(M26="No hours",0,IF(M26="Ready",MIN(H26,F26),""))</x:f>
      </x:c>
      <x:c r="M26" s="1" t="str">
        <x:f>IF(B26="","",IF(COUNTIF($N$7:$N$36,N26)&lt;&gt;1,"Duplicate SOW",IF(H26=0,"No hours",IF(NOT(ISNUMBER(E26)),"Confirm rate",IF(E26&lt;0,"Invalid rate",IF(OR(NOT(ISNUMBER(F26)),F26&lt;0,G26=""),"Confirm cap","Ready"))))))</x:f>
      </x:c>
      <x:c r="N26" s="1" t="str">
        <x:f>IF(B26="","",A26&amp;"|"&amp;B26)</x:f>
      </x:c>
      <x:c r="O26" s="8" t="str">
        <x:f>IF(ISNUMBER(K26),IF(H26&gt;0,K26/H26,0),"")</x:f>
      </x:c>
    </x:row>
    <x:row r="27" ht="23" customHeight="1">
      <x:c r="A27" s="3"/>
      <x:c r="B27" s="3"/>
      <x:c r="C27" s="3"/>
      <x:c r="D27" s="4"/>
      <x:c r="E27" s="8" t="str">
        <x:f>IF(B27="","",IF(ISNUMBER(D27),D27,IF(D27="",IF(ISNUMBER($B$3),$B$3,""),D27)))</x:f>
      </x:c>
      <x:c r="F27" s="9"/>
      <x:c r="G27" s="3"/>
      <x:c r="H27" s="10" t="str">
        <x:f>IF(B27="","",SUMIFS('Client detail'!$X$7:$X$506,'Client detail'!$A$7:$A$506,A27,'Client detail'!$K$7:$K$506,B27,'Client detail'!$M$7:$M$506,"Mapped"))</x:f>
      </x:c>
      <x:c r="I27" s="8" t="str">
        <x:f>IF(B27="","",IF(AND(ISNUMBER(E27),E27&gt;=0),ROUND(H27*E27,2),""))</x:f>
      </x:c>
      <x:c r="J27" s="8" t="str">
        <x:f>IF(ISNUMBER(K27),ROUND(I27-K27,2),"")</x:f>
      </x:c>
      <x:c r="K27" s="8" t="str">
        <x:f>IF(ISNUMBER(L27),ROUND(L27*E27,2),"")</x:f>
      </x:c>
      <x:c r="L27" s="10" t="str">
        <x:f>IF(M27="No hours",0,IF(M27="Ready",MIN(H27,F27),""))</x:f>
      </x:c>
      <x:c r="M27" s="1" t="str">
        <x:f>IF(B27="","",IF(COUNTIF($N$7:$N$36,N27)&lt;&gt;1,"Duplicate SOW",IF(H27=0,"No hours",IF(NOT(ISNUMBER(E27)),"Confirm rate",IF(E27&lt;0,"Invalid rate",IF(OR(NOT(ISNUMBER(F27)),F27&lt;0,G27=""),"Confirm cap","Ready"))))))</x:f>
      </x:c>
      <x:c r="N27" s="1" t="str">
        <x:f>IF(B27="","",A27&amp;"|"&amp;B27)</x:f>
      </x:c>
      <x:c r="O27" s="8" t="str">
        <x:f>IF(ISNUMBER(K27),IF(H27&gt;0,K27/H27,0),"")</x:f>
      </x:c>
    </x:row>
    <x:row r="28" ht="23" customHeight="1">
      <x:c r="A28" s="3"/>
      <x:c r="B28" s="3"/>
      <x:c r="C28" s="3"/>
      <x:c r="D28" s="4"/>
      <x:c r="E28" s="8" t="str">
        <x:f>IF(B28="","",IF(ISNUMBER(D28),D28,IF(D28="",IF(ISNUMBER($B$3),$B$3,""),D28)))</x:f>
      </x:c>
      <x:c r="F28" s="9"/>
      <x:c r="G28" s="3"/>
      <x:c r="H28" s="10" t="str">
        <x:f>IF(B28="","",SUMIFS('Client detail'!$X$7:$X$506,'Client detail'!$A$7:$A$506,A28,'Client detail'!$K$7:$K$506,B28,'Client detail'!$M$7:$M$506,"Mapped"))</x:f>
      </x:c>
      <x:c r="I28" s="8" t="str">
        <x:f>IF(B28="","",IF(AND(ISNUMBER(E28),E28&gt;=0),ROUND(H28*E28,2),""))</x:f>
      </x:c>
      <x:c r="J28" s="8" t="str">
        <x:f>IF(ISNUMBER(K28),ROUND(I28-K28,2),"")</x:f>
      </x:c>
      <x:c r="K28" s="8" t="str">
        <x:f>IF(ISNUMBER(L28),ROUND(L28*E28,2),"")</x:f>
      </x:c>
      <x:c r="L28" s="10" t="str">
        <x:f>IF(M28="No hours",0,IF(M28="Ready",MIN(H28,F28),""))</x:f>
      </x:c>
      <x:c r="M28" s="1" t="str">
        <x:f>IF(B28="","",IF(COUNTIF($N$7:$N$36,N28)&lt;&gt;1,"Duplicate SOW",IF(H28=0,"No hours",IF(NOT(ISNUMBER(E28)),"Confirm rate",IF(E28&lt;0,"Invalid rate",IF(OR(NOT(ISNUMBER(F28)),F28&lt;0,G28=""),"Confirm cap","Ready"))))))</x:f>
      </x:c>
      <x:c r="N28" s="1" t="str">
        <x:f>IF(B28="","",A28&amp;"|"&amp;B28)</x:f>
      </x:c>
      <x:c r="O28" s="8" t="str">
        <x:f>IF(ISNUMBER(K28),IF(H28&gt;0,K28/H28,0),"")</x:f>
      </x:c>
    </x:row>
    <x:row r="29" ht="23" customHeight="1">
      <x:c r="A29" s="3"/>
      <x:c r="B29" s="3"/>
      <x:c r="C29" s="3"/>
      <x:c r="D29" s="4"/>
      <x:c r="E29" s="8" t="str">
        <x:f>IF(B29="","",IF(ISNUMBER(D29),D29,IF(D29="",IF(ISNUMBER($B$3),$B$3,""),D29)))</x:f>
      </x:c>
      <x:c r="F29" s="9"/>
      <x:c r="G29" s="3"/>
      <x:c r="H29" s="10" t="str">
        <x:f>IF(B29="","",SUMIFS('Client detail'!$X$7:$X$506,'Client detail'!$A$7:$A$506,A29,'Client detail'!$K$7:$K$506,B29,'Client detail'!$M$7:$M$506,"Mapped"))</x:f>
      </x:c>
      <x:c r="I29" s="8" t="str">
        <x:f>IF(B29="","",IF(AND(ISNUMBER(E29),E29&gt;=0),ROUND(H29*E29,2),""))</x:f>
      </x:c>
      <x:c r="J29" s="8" t="str">
        <x:f>IF(ISNUMBER(K29),ROUND(I29-K29,2),"")</x:f>
      </x:c>
      <x:c r="K29" s="8" t="str">
        <x:f>IF(ISNUMBER(L29),ROUND(L29*E29,2),"")</x:f>
      </x:c>
      <x:c r="L29" s="10" t="str">
        <x:f>IF(M29="No hours",0,IF(M29="Ready",MIN(H29,F29),""))</x:f>
      </x:c>
      <x:c r="M29" s="1" t="str">
        <x:f>IF(B29="","",IF(COUNTIF($N$7:$N$36,N29)&lt;&gt;1,"Duplicate SOW",IF(H29=0,"No hours",IF(NOT(ISNUMBER(E29)),"Confirm rate",IF(E29&lt;0,"Invalid rate",IF(OR(NOT(ISNUMBER(F29)),F29&lt;0,G29=""),"Confirm cap","Ready"))))))</x:f>
      </x:c>
      <x:c r="N29" s="1" t="str">
        <x:f>IF(B29="","",A29&amp;"|"&amp;B29)</x:f>
      </x:c>
      <x:c r="O29" s="8" t="str">
        <x:f>IF(ISNUMBER(K29),IF(H29&gt;0,K29/H29,0),"")</x:f>
      </x:c>
    </x:row>
    <x:row r="30" ht="23" customHeight="1">
      <x:c r="A30" s="3"/>
      <x:c r="B30" s="3"/>
      <x:c r="C30" s="3"/>
      <x:c r="D30" s="4"/>
      <x:c r="E30" s="8" t="str">
        <x:f>IF(B30="","",IF(ISNUMBER(D30),D30,IF(D30="",IF(ISNUMBER($B$3),$B$3,""),D30)))</x:f>
      </x:c>
      <x:c r="F30" s="9"/>
      <x:c r="G30" s="3"/>
      <x:c r="H30" s="10" t="str">
        <x:f>IF(B30="","",SUMIFS('Client detail'!$X$7:$X$506,'Client detail'!$A$7:$A$506,A30,'Client detail'!$K$7:$K$506,B30,'Client detail'!$M$7:$M$506,"Mapped"))</x:f>
      </x:c>
      <x:c r="I30" s="8" t="str">
        <x:f>IF(B30="","",IF(AND(ISNUMBER(E30),E30&gt;=0),ROUND(H30*E30,2),""))</x:f>
      </x:c>
      <x:c r="J30" s="8" t="str">
        <x:f>IF(ISNUMBER(K30),ROUND(I30-K30,2),"")</x:f>
      </x:c>
      <x:c r="K30" s="8" t="str">
        <x:f>IF(ISNUMBER(L30),ROUND(L30*E30,2),"")</x:f>
      </x:c>
      <x:c r="L30" s="10" t="str">
        <x:f>IF(M30="No hours",0,IF(M30="Ready",MIN(H30,F30),""))</x:f>
      </x:c>
      <x:c r="M30" s="1" t="str">
        <x:f>IF(B30="","",IF(COUNTIF($N$7:$N$36,N30)&lt;&gt;1,"Duplicate SOW",IF(H30=0,"No hours",IF(NOT(ISNUMBER(E30)),"Confirm rate",IF(E30&lt;0,"Invalid rate",IF(OR(NOT(ISNUMBER(F30)),F30&lt;0,G30=""),"Confirm cap","Ready"))))))</x:f>
      </x:c>
      <x:c r="N30" s="1" t="str">
        <x:f>IF(B30="","",A30&amp;"|"&amp;B30)</x:f>
      </x:c>
      <x:c r="O30" s="8" t="str">
        <x:f>IF(ISNUMBER(K30),IF(H30&gt;0,K30/H30,0),"")</x:f>
      </x:c>
    </x:row>
    <x:row r="31" ht="23" customHeight="1">
      <x:c r="A31" s="3"/>
      <x:c r="B31" s="3"/>
      <x:c r="C31" s="3"/>
      <x:c r="D31" s="4"/>
      <x:c r="E31" s="8" t="str">
        <x:f>IF(B31="","",IF(ISNUMBER(D31),D31,IF(D31="",IF(ISNUMBER($B$3),$B$3,""),D31)))</x:f>
      </x:c>
      <x:c r="F31" s="9"/>
      <x:c r="G31" s="3"/>
      <x:c r="H31" s="10" t="str">
        <x:f>IF(B31="","",SUMIFS('Client detail'!$X$7:$X$506,'Client detail'!$A$7:$A$506,A31,'Client detail'!$K$7:$K$506,B31,'Client detail'!$M$7:$M$506,"Mapped"))</x:f>
      </x:c>
      <x:c r="I31" s="8" t="str">
        <x:f>IF(B31="","",IF(AND(ISNUMBER(E31),E31&gt;=0),ROUND(H31*E31,2),""))</x:f>
      </x:c>
      <x:c r="J31" s="8" t="str">
        <x:f>IF(ISNUMBER(K31),ROUND(I31-K31,2),"")</x:f>
      </x:c>
      <x:c r="K31" s="8" t="str">
        <x:f>IF(ISNUMBER(L31),ROUND(L31*E31,2),"")</x:f>
      </x:c>
      <x:c r="L31" s="10" t="str">
        <x:f>IF(M31="No hours",0,IF(M31="Ready",MIN(H31,F31),""))</x:f>
      </x:c>
      <x:c r="M31" s="1" t="str">
        <x:f>IF(B31="","",IF(COUNTIF($N$7:$N$36,N31)&lt;&gt;1,"Duplicate SOW",IF(H31=0,"No hours",IF(NOT(ISNUMBER(E31)),"Confirm rate",IF(E31&lt;0,"Invalid rate",IF(OR(NOT(ISNUMBER(F31)),F31&lt;0,G31=""),"Confirm cap","Ready"))))))</x:f>
      </x:c>
      <x:c r="N31" s="1" t="str">
        <x:f>IF(B31="","",A31&amp;"|"&amp;B31)</x:f>
      </x:c>
      <x:c r="O31" s="8" t="str">
        <x:f>IF(ISNUMBER(K31),IF(H31&gt;0,K31/H31,0),"")</x:f>
      </x:c>
    </x:row>
    <x:row r="32" ht="23" customHeight="1">
      <x:c r="A32" s="3"/>
      <x:c r="B32" s="3"/>
      <x:c r="C32" s="3"/>
      <x:c r="D32" s="4"/>
      <x:c r="E32" s="8" t="str">
        <x:f>IF(B32="","",IF(ISNUMBER(D32),D32,IF(D32="",IF(ISNUMBER($B$3),$B$3,""),D32)))</x:f>
      </x:c>
      <x:c r="F32" s="9"/>
      <x:c r="G32" s="3"/>
      <x:c r="H32" s="10" t="str">
        <x:f>IF(B32="","",SUMIFS('Client detail'!$X$7:$X$506,'Client detail'!$A$7:$A$506,A32,'Client detail'!$K$7:$K$506,B32,'Client detail'!$M$7:$M$506,"Mapped"))</x:f>
      </x:c>
      <x:c r="I32" s="8" t="str">
        <x:f>IF(B32="","",IF(AND(ISNUMBER(E32),E32&gt;=0),ROUND(H32*E32,2),""))</x:f>
      </x:c>
      <x:c r="J32" s="8" t="str">
        <x:f>IF(ISNUMBER(K32),ROUND(I32-K32,2),"")</x:f>
      </x:c>
      <x:c r="K32" s="8" t="str">
        <x:f>IF(ISNUMBER(L32),ROUND(L32*E32,2),"")</x:f>
      </x:c>
      <x:c r="L32" s="10" t="str">
        <x:f>IF(M32="No hours",0,IF(M32="Ready",MIN(H32,F32),""))</x:f>
      </x:c>
      <x:c r="M32" s="1" t="str">
        <x:f>IF(B32="","",IF(COUNTIF($N$7:$N$36,N32)&lt;&gt;1,"Duplicate SOW",IF(H32=0,"No hours",IF(NOT(ISNUMBER(E32)),"Confirm rate",IF(E32&lt;0,"Invalid rate",IF(OR(NOT(ISNUMBER(F32)),F32&lt;0,G32=""),"Confirm cap","Ready"))))))</x:f>
      </x:c>
      <x:c r="N32" s="1" t="str">
        <x:f>IF(B32="","",A32&amp;"|"&amp;B32)</x:f>
      </x:c>
      <x:c r="O32" s="8" t="str">
        <x:f>IF(ISNUMBER(K32),IF(H32&gt;0,K32/H32,0),"")</x:f>
      </x:c>
    </x:row>
    <x:row r="33" ht="23" customHeight="1">
      <x:c r="A33" s="3"/>
      <x:c r="B33" s="3"/>
      <x:c r="C33" s="3"/>
      <x:c r="D33" s="4"/>
      <x:c r="E33" s="8" t="str">
        <x:f>IF(B33="","",IF(ISNUMBER(D33),D33,IF(D33="",IF(ISNUMBER($B$3),$B$3,""),D33)))</x:f>
      </x:c>
      <x:c r="F33" s="9"/>
      <x:c r="G33" s="3"/>
      <x:c r="H33" s="10" t="str">
        <x:f>IF(B33="","",SUMIFS('Client detail'!$X$7:$X$506,'Client detail'!$A$7:$A$506,A33,'Client detail'!$K$7:$K$506,B33,'Client detail'!$M$7:$M$506,"Mapped"))</x:f>
      </x:c>
      <x:c r="I33" s="8" t="str">
        <x:f>IF(B33="","",IF(AND(ISNUMBER(E33),E33&gt;=0),ROUND(H33*E33,2),""))</x:f>
      </x:c>
      <x:c r="J33" s="8" t="str">
        <x:f>IF(ISNUMBER(K33),ROUND(I33-K33,2),"")</x:f>
      </x:c>
      <x:c r="K33" s="8" t="str">
        <x:f>IF(ISNUMBER(L33),ROUND(L33*E33,2),"")</x:f>
      </x:c>
      <x:c r="L33" s="10" t="str">
        <x:f>IF(M33="No hours",0,IF(M33="Ready",MIN(H33,F33),""))</x:f>
      </x:c>
      <x:c r="M33" s="1" t="str">
        <x:f>IF(B33="","",IF(COUNTIF($N$7:$N$36,N33)&lt;&gt;1,"Duplicate SOW",IF(H33=0,"No hours",IF(NOT(ISNUMBER(E33)),"Confirm rate",IF(E33&lt;0,"Invalid rate",IF(OR(NOT(ISNUMBER(F33)),F33&lt;0,G33=""),"Confirm cap","Ready"))))))</x:f>
      </x:c>
      <x:c r="N33" s="1" t="str">
        <x:f>IF(B33="","",A33&amp;"|"&amp;B33)</x:f>
      </x:c>
      <x:c r="O33" s="8" t="str">
        <x:f>IF(ISNUMBER(K33),IF(H33&gt;0,K33/H33,0),"")</x:f>
      </x:c>
    </x:row>
    <x:row r="34" ht="23" customHeight="1">
      <x:c r="A34" s="3"/>
      <x:c r="B34" s="3"/>
      <x:c r="C34" s="3"/>
      <x:c r="D34" s="4"/>
      <x:c r="E34" s="8" t="str">
        <x:f>IF(B34="","",IF(ISNUMBER(D34),D34,IF(D34="",IF(ISNUMBER($B$3),$B$3,""),D34)))</x:f>
      </x:c>
      <x:c r="F34" s="9"/>
      <x:c r="G34" s="3"/>
      <x:c r="H34" s="10" t="str">
        <x:f>IF(B34="","",SUMIFS('Client detail'!$X$7:$X$506,'Client detail'!$A$7:$A$506,A34,'Client detail'!$K$7:$K$506,B34,'Client detail'!$M$7:$M$506,"Mapped"))</x:f>
      </x:c>
      <x:c r="I34" s="8" t="str">
        <x:f>IF(B34="","",IF(AND(ISNUMBER(E34),E34&gt;=0),ROUND(H34*E34,2),""))</x:f>
      </x:c>
      <x:c r="J34" s="8" t="str">
        <x:f>IF(ISNUMBER(K34),ROUND(I34-K34,2),"")</x:f>
      </x:c>
      <x:c r="K34" s="8" t="str">
        <x:f>IF(ISNUMBER(L34),ROUND(L34*E34,2),"")</x:f>
      </x:c>
      <x:c r="L34" s="10" t="str">
        <x:f>IF(M34="No hours",0,IF(M34="Ready",MIN(H34,F34),""))</x:f>
      </x:c>
      <x:c r="M34" s="1" t="str">
        <x:f>IF(B34="","",IF(COUNTIF($N$7:$N$36,N34)&lt;&gt;1,"Duplicate SOW",IF(H34=0,"No hours",IF(NOT(ISNUMBER(E34)),"Confirm rate",IF(E34&lt;0,"Invalid rate",IF(OR(NOT(ISNUMBER(F34)),F34&lt;0,G34=""),"Confirm cap","Ready"))))))</x:f>
      </x:c>
      <x:c r="N34" s="1" t="str">
        <x:f>IF(B34="","",A34&amp;"|"&amp;B34)</x:f>
      </x:c>
      <x:c r="O34" s="8" t="str">
        <x:f>IF(ISNUMBER(K34),IF(H34&gt;0,K34/H34,0),"")</x:f>
      </x:c>
    </x:row>
    <x:row r="35" ht="23" customHeight="1">
      <x:c r="A35" s="3"/>
      <x:c r="B35" s="3"/>
      <x:c r="C35" s="3"/>
      <x:c r="D35" s="4"/>
      <x:c r="E35" s="8" t="str">
        <x:f>IF(B35="","",IF(ISNUMBER(D35),D35,IF(D35="",IF(ISNUMBER($B$3),$B$3,""),D35)))</x:f>
      </x:c>
      <x:c r="F35" s="9"/>
      <x:c r="G35" s="3"/>
      <x:c r="H35" s="10" t="str">
        <x:f>IF(B35="","",SUMIFS('Client detail'!$X$7:$X$506,'Client detail'!$A$7:$A$506,A35,'Client detail'!$K$7:$K$506,B35,'Client detail'!$M$7:$M$506,"Mapped"))</x:f>
      </x:c>
      <x:c r="I35" s="8" t="str">
        <x:f>IF(B35="","",IF(AND(ISNUMBER(E35),E35&gt;=0),ROUND(H35*E35,2),""))</x:f>
      </x:c>
      <x:c r="J35" s="8" t="str">
        <x:f>IF(ISNUMBER(K35),ROUND(I35-K35,2),"")</x:f>
      </x:c>
      <x:c r="K35" s="8" t="str">
        <x:f>IF(ISNUMBER(L35),ROUND(L35*E35,2),"")</x:f>
      </x:c>
      <x:c r="L35" s="10" t="str">
        <x:f>IF(M35="No hours",0,IF(M35="Ready",MIN(H35,F35),""))</x:f>
      </x:c>
      <x:c r="M35" s="1" t="str">
        <x:f>IF(B35="","",IF(COUNTIF($N$7:$N$36,N35)&lt;&gt;1,"Duplicate SOW",IF(H35=0,"No hours",IF(NOT(ISNUMBER(E35)),"Confirm rate",IF(E35&lt;0,"Invalid rate",IF(OR(NOT(ISNUMBER(F35)),F35&lt;0,G35=""),"Confirm cap","Ready"))))))</x:f>
      </x:c>
      <x:c r="N35" s="1" t="str">
        <x:f>IF(B35="","",A35&amp;"|"&amp;B35)</x:f>
      </x:c>
      <x:c r="O35" s="8" t="str">
        <x:f>IF(ISNUMBER(K35),IF(H35&gt;0,K35/H35,0),"")</x:f>
      </x:c>
    </x:row>
    <x:row r="36" ht="23" customHeight="1">
      <x:c r="A36" s="3"/>
      <x:c r="B36" s="3"/>
      <x:c r="C36" s="3"/>
      <x:c r="D36" s="4"/>
      <x:c r="E36" s="8" t="str">
        <x:f>IF(B36="","",IF(ISNUMBER(D36),D36,IF(D36="",IF(ISNUMBER($B$3),$B$3,""),D36)))</x:f>
      </x:c>
      <x:c r="F36" s="9"/>
      <x:c r="G36" s="3"/>
      <x:c r="H36" s="10" t="str">
        <x:f>IF(B36="","",SUMIFS('Client detail'!$X$7:$X$506,'Client detail'!$A$7:$A$506,A36,'Client detail'!$K$7:$K$506,B36,'Client detail'!$M$7:$M$506,"Mapped"))</x:f>
      </x:c>
      <x:c r="I36" s="8" t="str">
        <x:f>IF(B36="","",IF(AND(ISNUMBER(E36),E36&gt;=0),ROUND(H36*E36,2),""))</x:f>
      </x:c>
      <x:c r="J36" s="8" t="str">
        <x:f>IF(ISNUMBER(K36),ROUND(I36-K36,2),"")</x:f>
      </x:c>
      <x:c r="K36" s="8" t="str">
        <x:f>IF(ISNUMBER(L36),ROUND(L36*E36,2),"")</x:f>
      </x:c>
      <x:c r="L36" s="10" t="str">
        <x:f>IF(M36="No hours",0,IF(M36="Ready",MIN(H36,F36),""))</x:f>
      </x:c>
      <x:c r="M36" s="1" t="str">
        <x:f>IF(B36="","",IF(COUNTIF($N$7:$N$36,N36)&lt;&gt;1,"Duplicate SOW",IF(H36=0,"No hours",IF(NOT(ISNUMBER(E36)),"Confirm rate",IF(E36&lt;0,"Invalid rate",IF(OR(NOT(ISNUMBER(F36)),F36&lt;0,G36=""),"Confirm cap","Ready"))))))</x:f>
      </x:c>
      <x:c r="N36" s="1" t="str">
        <x:f>IF(B36="","",A36&amp;"|"&amp;B36)</x:f>
      </x:c>
      <x:c r="O36" s="8" t="str">
        <x:f>IF(ISNUMBER(K36),IF(H36&gt;0,K36/H36,0),"")</x:f>
      </x:c>
    </x:row>
    <x:row r="37" ht="23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</x:row>
    <x:row r="38" ht="23" customHeight="1">
      <x:c r="A38" s="1" t="str">
        <x:v>Charged hours = MIN(logged hours, cap). Discount = gross cost less net cost. Caps are never pooled.</x:v>
      </x:c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</x:row>
    <x:row r="39" ht="2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</x:row>
    <x:row r="41" ht="23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4" ySplit="6" topLeftCell="E7" activePane="bottomRight" state="frozen"/>
    </x:sheetView>
  </x:sheetViews>
  <x:sheetFormatPr defaultRowHeight="15"/>
  <x:cols>
    <x:col min="1" max="1" width="18" hidden="0" customWidth="1"/>
    <x:col min="2" max="2" width="27" hidden="0" customWidth="1"/>
    <x:col min="3" max="3" width="20" hidden="0" customWidth="1"/>
    <x:col min="4" max="4" width="25" hidden="0" customWidth="1"/>
    <x:col min="5" max="5" width="22" hidden="0" customWidth="1"/>
    <x:col min="6" max="6" width="39" hidden="0" customWidth="1"/>
    <x:col min="7" max="7" width="39" hidden="0" customWidth="1"/>
    <x:col min="8" max="8" width="43" hidden="0" customWidth="1"/>
    <x:col min="9" max="9" width="17" hidden="0" customWidth="1"/>
    <x:col min="10" max="10" width="24" hidden="0" customWidth="1"/>
    <x:col min="11" max="11" width="15" hidden="0" customWidth="1"/>
    <x:col min="12" max="12" width="44" hidden="0" customWidth="1"/>
    <x:col min="13" max="13" width="24" hidden="0" customWidth="1"/>
    <x:col min="14" max="14" width="15" hidden="0" customWidth="1"/>
    <x:col min="15" max="15" width="18" hidden="0" customWidth="1"/>
    <x:col min="16" max="16" width="18" hidden="0" customWidth="1"/>
    <x:col min="17" max="17" width="24" hidden="0" customWidth="1"/>
    <x:col min="18" max="18" width="20" hidden="0" customWidth="1"/>
    <x:col min="19" max="19" width="55" hidden="0" customWidth="1"/>
    <x:col min="20" max="20" width="40" hidden="0" customWidth="1"/>
    <x:col min="21" max="21" width="19" hidden="0" customWidth="1"/>
    <x:col min="22" max="22" width="19" hidden="0" customWidth="1"/>
    <x:col min="23" max="23" width="22" hidden="0" customWidth="1"/>
    <x:col min="24" max="24" width="18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</x:row>
    <x:row r="2" ht="23" customHeight="1">
      <x:c r="A2" s="2" t="str">
        <x:v>Client detail and hours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</x:row>
    <x:row r="3" ht="23" customHeight="1">
      <x:c r="A3" s="1" t="str">
        <x:v>Edit Hours logged (column I) here only. All contractor, project and SOW totals roll up from these rows.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</x:row>
    <x:row r="4" ht="23" customHeight="1">
      <x:c r="A4" s="1" t="str">
        <x:v>Source duration ms preserves the original time. Record hour-change reasons in T; costs recalculate from SOW caps.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</x:row>
    <x:row r="5" ht="23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</x:row>
    <x:row r="6" ht="34" customHeight="1">
      <x:c r="A6" s="7" t="str">
        <x:v>Project key</x:v>
      </x:c>
      <x:c r="B6" s="7" t="str">
        <x:v>Entry ID</x:v>
      </x:c>
      <x:c r="C6" s="7" t="str">
        <x:v>Contractor ID</x:v>
      </x:c>
      <x:c r="D6" s="7" t="str">
        <x:v>Contractor</x:v>
      </x:c>
      <x:c r="E6" s="7" t="str">
        <x:v>Task ID</x:v>
      </x:c>
      <x:c r="F6" s="7" t="str">
        <x:v>Code field ID</x:v>
      </x:c>
      <x:c r="G6" s="7" t="str">
        <x:v>Code option ID</x:v>
      </x:c>
      <x:c r="H6" s="7" t="str">
        <x:v>Project Code</x:v>
      </x:c>
      <x:c r="I6" s="7" t="str">
        <x:v>Hours logged</x:v>
      </x:c>
      <x:c r="J6" s="7" t="str">
        <x:v>Client project ID</x:v>
      </x:c>
      <x:c r="K6" s="7" t="str">
        <x:v>SOW ID</x:v>
      </x:c>
      <x:c r="L6" s="7" t="str">
        <x:v>Allocation evidence</x:v>
      </x:c>
      <x:c r="M6" s="7" t="str">
        <x:v>Allocation status</x:v>
      </x:c>
      <x:c r="N6" s="7" t="str">
        <x:v>Rate / hour</x:v>
      </x:c>
      <x:c r="O6" s="7" t="str">
        <x:v>Gross cost</x:v>
      </x:c>
      <x:c r="P6" s="7" t="str">
        <x:v>Source billable</x:v>
      </x:c>
      <x:c r="Q6" s="7" t="str">
        <x:v>Period status</x:v>
      </x:c>
      <x:c r="R6" s="7" t="str">
        <x:v>Source duration ms</x:v>
      </x:c>
      <x:c r="S6" s="7" t="str">
        <x:v>Task name</x:v>
      </x:c>
      <x:c r="T6" s="7" t="str">
        <x:v>Hour-change reason</x:v>
      </x:c>
      <x:c r="U6" s="7" t="str">
        <x:v>Net rate allocation</x:v>
      </x:c>
      <x:c r="V6" s="7" t="str">
        <x:v>Net project cost</x:v>
      </x:c>
      <x:c r="W6" s="7" t="str">
        <x:v>Hours check</x:v>
      </x:c>
      <x:c r="X6" s="7" t="str">
        <x:v>Included hours</x:v>
      </x:c>
    </x:row>
    <x:row r="7" ht="23" customHeight="1">
      <x:c r="A7" s="3"/>
      <x:c r="B7" s="3"/>
      <x:c r="C7" s="3"/>
      <x:c r="D7" s="3"/>
      <x:c r="E7" s="3"/>
      <x:c r="F7" s="3"/>
      <x:c r="G7" s="3"/>
      <x:c r="H7" s="3"/>
      <x:c r="I7" s="9"/>
      <x:c r="J7" s="3"/>
      <x:c r="K7" s="3"/>
      <x:c r="L7" s="3"/>
      <x:c r="M7" s="1" t="str">
        <x:f>IF(B7="","",IF(W7="Invalid hours","Invalid hours",IF(NOT(ISNUMBER(X7)),"Excluded",IF(AND(J7&lt;&gt;"",K7&lt;&gt;"",L7&lt;&gt;"",COUNTIF('SOW caps'!$N$7:$N$36,A7&amp;"|"&amp;K7)=1),"Mapped","Needs allocation"))))</x:f>
      </x:c>
      <x:c r="N7" s="8" t="str">
        <x:f>IF(B7="","",IF(M7="Mapped",_xlfn.XLOOKUP(A7&amp;"|"&amp;K7,'SOW caps'!$N$7:$N$36,'SOW caps'!$E$7:$E$36,""),IF(ISNUMBER('SOW caps'!$B$3),'SOW caps'!$B$3,"")))</x:f>
      </x:c>
      <x:c r="O7" s="8" t="str">
        <x:f>IF(AND(ISNUMBER(X7),ISNUMBER(N7),N7&gt;=0),X7*N7,"")</x:f>
      </x:c>
      <x:c r="P7" s="3"/>
      <x:c r="Q7" s="3"/>
      <x:c r="R7" s="3"/>
      <x:c r="S7" s="3"/>
      <x:c r="T7" s="3"/>
      <x:c r="U7" s="8" t="str">
        <x:f>IF(M7="Mapped",IF(OR(_xlfn.XLOOKUP(A7&amp;"|"&amp;K7,'SOW caps'!$N$7:$N$36,'SOW caps'!$M$7:$M$36,"")="Ready",_xlfn.XLOOKUP(A7&amp;"|"&amp;K7,'SOW caps'!$N$7:$N$36,'SOW caps'!$M$7:$M$36,"")="No hours"),_xlfn.XLOOKUP(A7&amp;"|"&amp;K7,'SOW caps'!$N$7:$N$36,'SOW caps'!$O$7:$O$36,""),""),"")</x:f>
      </x:c>
      <x:c r="V7" s="8" t="str">
        <x:f>IF(AND(ISNUMBER(U7),ISNUMBER(X7)),ROUND(SUMIFS($X$7:X7,$A$7:A7,A7,$K$7:K7,K7,$M$7:M7,"Mapped")*U7,2)-ROUND((SUMIFS($X$7:X7,$A$7:A7,A7,$K$7:K7,K7,$M$7:M7,"Mapped")-X7)*U7,2),"")</x:f>
      </x:c>
      <x:c r="W7" s="1" t="str">
        <x:f>IF(B7="","",IF(OR(NOT(ISNUMBER(I7)),I7&lt;0),"Invalid hours",IF(NOT(ISNUMBER(R7)),"Manual hours",IF(ROUND(I7*3600000,0)=R7,"Source hours","Adjusted hours"))))</x:f>
      </x:c>
      <x:c r="X7" s="10" t="str">
        <x:f>IF(B7="","",IF(AND(ISNUMBER(I7),I7&gt;=0,Q7="In period"),I7,""))</x:f>
      </x:c>
    </x:row>
    <x:row r="8" ht="23" customHeight="1">
      <x:c r="A8" s="3"/>
      <x:c r="B8" s="3"/>
      <x:c r="C8" s="3"/>
      <x:c r="D8" s="3"/>
      <x:c r="E8" s="3"/>
      <x:c r="F8" s="3"/>
      <x:c r="G8" s="3"/>
      <x:c r="H8" s="3"/>
      <x:c r="I8" s="9"/>
      <x:c r="J8" s="3"/>
      <x:c r="K8" s="3"/>
      <x:c r="L8" s="3"/>
      <x:c r="M8" s="1" t="str">
        <x:f>IF(B8="","",IF(W8="Invalid hours","Invalid hours",IF(NOT(ISNUMBER(X8)),"Excluded",IF(AND(J8&lt;&gt;"",K8&lt;&gt;"",L8&lt;&gt;"",COUNTIF('SOW caps'!$N$7:$N$36,A8&amp;"|"&amp;K8)=1),"Mapped","Needs allocation"))))</x:f>
      </x:c>
      <x:c r="N8" s="8" t="str">
        <x:f>IF(B8="","",IF(M8="Mapped",_xlfn.XLOOKUP(A8&amp;"|"&amp;K8,'SOW caps'!$N$7:$N$36,'SOW caps'!$E$7:$E$36,""),IF(ISNUMBER('SOW caps'!$B$3),'SOW caps'!$B$3,"")))</x:f>
      </x:c>
      <x:c r="O8" s="8" t="str">
        <x:f>IF(AND(ISNUMBER(X8),ISNUMBER(N8),N8&gt;=0),X8*N8,"")</x:f>
      </x:c>
      <x:c r="P8" s="3"/>
      <x:c r="Q8" s="3"/>
      <x:c r="R8" s="3"/>
      <x:c r="S8" s="3"/>
      <x:c r="T8" s="3"/>
      <x:c r="U8" s="8" t="str">
        <x:f>IF(M8="Mapped",IF(OR(_xlfn.XLOOKUP(A8&amp;"|"&amp;K8,'SOW caps'!$N$7:$N$36,'SOW caps'!$M$7:$M$36,"")="Ready",_xlfn.XLOOKUP(A8&amp;"|"&amp;K8,'SOW caps'!$N$7:$N$36,'SOW caps'!$M$7:$M$36,"")="No hours"),_xlfn.XLOOKUP(A8&amp;"|"&amp;K8,'SOW caps'!$N$7:$N$36,'SOW caps'!$O$7:$O$36,""),""),"")</x:f>
      </x:c>
      <x:c r="V8" s="8" t="str">
        <x:f>IF(AND(ISNUMBER(U8),ISNUMBER(X8)),ROUND(SUMIFS($X$7:X8,$A$7:A8,A8,$K$7:K8,K8,$M$7:M8,"Mapped")*U8,2)-ROUND((SUMIFS($X$7:X8,$A$7:A8,A8,$K$7:K8,K8,$M$7:M8,"Mapped")-X8)*U8,2),"")</x:f>
      </x:c>
      <x:c r="W8" s="1" t="str">
        <x:f>IF(B8="","",IF(OR(NOT(ISNUMBER(I8)),I8&lt;0),"Invalid hours",IF(NOT(ISNUMBER(R8)),"Manual hours",IF(ROUND(I8*3600000,0)=R8,"Source hours","Adjusted hours"))))</x:f>
      </x:c>
      <x:c r="X8" s="10" t="str">
        <x:f>IF(B8="","",IF(AND(ISNUMBER(I8),I8&gt;=0,Q8="In period"),I8,""))</x:f>
      </x:c>
    </x:row>
    <x:row r="9" ht="23" customHeight="1">
      <x:c r="A9" s="3"/>
      <x:c r="B9" s="3"/>
      <x:c r="C9" s="3"/>
      <x:c r="D9" s="3"/>
      <x:c r="E9" s="3"/>
      <x:c r="F9" s="3"/>
      <x:c r="G9" s="3"/>
      <x:c r="H9" s="3"/>
      <x:c r="I9" s="9"/>
      <x:c r="J9" s="3"/>
      <x:c r="K9" s="3"/>
      <x:c r="L9" s="3"/>
      <x:c r="M9" s="1" t="str">
        <x:f>IF(B9="","",IF(W9="Invalid hours","Invalid hours",IF(NOT(ISNUMBER(X9)),"Excluded",IF(AND(J9&lt;&gt;"",K9&lt;&gt;"",L9&lt;&gt;"",COUNTIF('SOW caps'!$N$7:$N$36,A9&amp;"|"&amp;K9)=1),"Mapped","Needs allocation"))))</x:f>
      </x:c>
      <x:c r="N9" s="8" t="str">
        <x:f>IF(B9="","",IF(M9="Mapped",_xlfn.XLOOKUP(A9&amp;"|"&amp;K9,'SOW caps'!$N$7:$N$36,'SOW caps'!$E$7:$E$36,""),IF(ISNUMBER('SOW caps'!$B$3),'SOW caps'!$B$3,"")))</x:f>
      </x:c>
      <x:c r="O9" s="8" t="str">
        <x:f>IF(AND(ISNUMBER(X9),ISNUMBER(N9),N9&gt;=0),X9*N9,"")</x:f>
      </x:c>
      <x:c r="P9" s="3"/>
      <x:c r="Q9" s="3"/>
      <x:c r="R9" s="3"/>
      <x:c r="S9" s="3"/>
      <x:c r="T9" s="3"/>
      <x:c r="U9" s="8" t="str">
        <x:f>IF(M9="Mapped",IF(OR(_xlfn.XLOOKUP(A9&amp;"|"&amp;K9,'SOW caps'!$N$7:$N$36,'SOW caps'!$M$7:$M$36,"")="Ready",_xlfn.XLOOKUP(A9&amp;"|"&amp;K9,'SOW caps'!$N$7:$N$36,'SOW caps'!$M$7:$M$36,"")="No hours"),_xlfn.XLOOKUP(A9&amp;"|"&amp;K9,'SOW caps'!$N$7:$N$36,'SOW caps'!$O$7:$O$36,""),""),"")</x:f>
      </x:c>
      <x:c r="V9" s="8" t="str">
        <x:f>IF(AND(ISNUMBER(U9),ISNUMBER(X9)),ROUND(SUMIFS($X$7:X9,$A$7:A9,A9,$K$7:K9,K9,$M$7:M9,"Mapped")*U9,2)-ROUND((SUMIFS($X$7:X9,$A$7:A9,A9,$K$7:K9,K9,$M$7:M9,"Mapped")-X9)*U9,2),"")</x:f>
      </x:c>
      <x:c r="W9" s="1" t="str">
        <x:f>IF(B9="","",IF(OR(NOT(ISNUMBER(I9)),I9&lt;0),"Invalid hours",IF(NOT(ISNUMBER(R9)),"Manual hours",IF(ROUND(I9*3600000,0)=R9,"Source hours","Adjusted hours"))))</x:f>
      </x:c>
      <x:c r="X9" s="10" t="str">
        <x:f>IF(B9="","",IF(AND(ISNUMBER(I9),I9&gt;=0,Q9="In period"),I9,""))</x:f>
      </x:c>
    </x:row>
    <x:row r="10" ht="23" customHeight="1">
      <x:c r="A10" s="3"/>
      <x:c r="B10" s="3"/>
      <x:c r="C10" s="3"/>
      <x:c r="D10" s="3"/>
      <x:c r="E10" s="3"/>
      <x:c r="F10" s="3"/>
      <x:c r="G10" s="3"/>
      <x:c r="H10" s="3"/>
      <x:c r="I10" s="9"/>
      <x:c r="J10" s="3"/>
      <x:c r="K10" s="3"/>
      <x:c r="L10" s="3"/>
      <x:c r="M10" s="1" t="str">
        <x:f>IF(B10="","",IF(W10="Invalid hours","Invalid hours",IF(NOT(ISNUMBER(X10)),"Excluded",IF(AND(J10&lt;&gt;"",K10&lt;&gt;"",L10&lt;&gt;"",COUNTIF('SOW caps'!$N$7:$N$36,A10&amp;"|"&amp;K10)=1),"Mapped","Needs allocation"))))</x:f>
      </x:c>
      <x:c r="N10" s="8" t="str">
        <x:f>IF(B10="","",IF(M10="Mapped",_xlfn.XLOOKUP(A10&amp;"|"&amp;K10,'SOW caps'!$N$7:$N$36,'SOW caps'!$E$7:$E$36,""),IF(ISNUMBER('SOW caps'!$B$3),'SOW caps'!$B$3,"")))</x:f>
      </x:c>
      <x:c r="O10" s="8" t="str">
        <x:f>IF(AND(ISNUMBER(X10),ISNUMBER(N10),N10&gt;=0),X10*N10,"")</x:f>
      </x:c>
      <x:c r="P10" s="3"/>
      <x:c r="Q10" s="3"/>
      <x:c r="R10" s="3"/>
      <x:c r="S10" s="3"/>
      <x:c r="T10" s="3"/>
      <x:c r="U10" s="8" t="str">
        <x:f>IF(M10="Mapped",IF(OR(_xlfn.XLOOKUP(A10&amp;"|"&amp;K10,'SOW caps'!$N$7:$N$36,'SOW caps'!$M$7:$M$36,"")="Ready",_xlfn.XLOOKUP(A10&amp;"|"&amp;K10,'SOW caps'!$N$7:$N$36,'SOW caps'!$M$7:$M$36,"")="No hours"),_xlfn.XLOOKUP(A10&amp;"|"&amp;K10,'SOW caps'!$N$7:$N$36,'SOW caps'!$O$7:$O$36,""),""),"")</x:f>
      </x:c>
      <x:c r="V10" s="8" t="str">
        <x:f>IF(AND(ISNUMBER(U10),ISNUMBER(X10)),ROUND(SUMIFS($X$7:X10,$A$7:A10,A10,$K$7:K10,K10,$M$7:M10,"Mapped")*U10,2)-ROUND((SUMIFS($X$7:X10,$A$7:A10,A10,$K$7:K10,K10,$M$7:M10,"Mapped")-X10)*U10,2),"")</x:f>
      </x:c>
      <x:c r="W10" s="1" t="str">
        <x:f>IF(B10="","",IF(OR(NOT(ISNUMBER(I10)),I10&lt;0),"Invalid hours",IF(NOT(ISNUMBER(R10)),"Manual hours",IF(ROUND(I10*3600000,0)=R10,"Source hours","Adjusted hours"))))</x:f>
      </x:c>
      <x:c r="X10" s="10" t="str">
        <x:f>IF(B10="","",IF(AND(ISNUMBER(I10),I10&gt;=0,Q10="In period"),I10,""))</x:f>
      </x:c>
    </x:row>
    <x:row r="11" ht="23" customHeight="1">
      <x:c r="A11" s="3"/>
      <x:c r="B11" s="3"/>
      <x:c r="C11" s="3"/>
      <x:c r="D11" s="3"/>
      <x:c r="E11" s="3"/>
      <x:c r="F11" s="3"/>
      <x:c r="G11" s="3"/>
      <x:c r="H11" s="3"/>
      <x:c r="I11" s="9"/>
      <x:c r="J11" s="3"/>
      <x:c r="K11" s="3"/>
      <x:c r="L11" s="3"/>
      <x:c r="M11" s="1" t="str">
        <x:f>IF(B11="","",IF(W11="Invalid hours","Invalid hours",IF(NOT(ISNUMBER(X11)),"Excluded",IF(AND(J11&lt;&gt;"",K11&lt;&gt;"",L11&lt;&gt;"",COUNTIF('SOW caps'!$N$7:$N$36,A11&amp;"|"&amp;K11)=1),"Mapped","Needs allocation"))))</x:f>
      </x:c>
      <x:c r="N11" s="8" t="str">
        <x:f>IF(B11="","",IF(M11="Mapped",_xlfn.XLOOKUP(A11&amp;"|"&amp;K11,'SOW caps'!$N$7:$N$36,'SOW caps'!$E$7:$E$36,""),IF(ISNUMBER('SOW caps'!$B$3),'SOW caps'!$B$3,"")))</x:f>
      </x:c>
      <x:c r="O11" s="8" t="str">
        <x:f>IF(AND(ISNUMBER(X11),ISNUMBER(N11),N11&gt;=0),X11*N11,"")</x:f>
      </x:c>
      <x:c r="P11" s="3"/>
      <x:c r="Q11" s="3"/>
      <x:c r="R11" s="3"/>
      <x:c r="S11" s="3"/>
      <x:c r="T11" s="3"/>
      <x:c r="U11" s="8" t="str">
        <x:f>IF(M11="Mapped",IF(OR(_xlfn.XLOOKUP(A11&amp;"|"&amp;K11,'SOW caps'!$N$7:$N$36,'SOW caps'!$M$7:$M$36,"")="Ready",_xlfn.XLOOKUP(A11&amp;"|"&amp;K11,'SOW caps'!$N$7:$N$36,'SOW caps'!$M$7:$M$36,"")="No hours"),_xlfn.XLOOKUP(A11&amp;"|"&amp;K11,'SOW caps'!$N$7:$N$36,'SOW caps'!$O$7:$O$36,""),""),"")</x:f>
      </x:c>
      <x:c r="V11" s="8" t="str">
        <x:f>IF(AND(ISNUMBER(U11),ISNUMBER(X11)),ROUND(SUMIFS($X$7:X11,$A$7:A11,A11,$K$7:K11,K11,$M$7:M11,"Mapped")*U11,2)-ROUND((SUMIFS($X$7:X11,$A$7:A11,A11,$K$7:K11,K11,$M$7:M11,"Mapped")-X11)*U11,2),"")</x:f>
      </x:c>
      <x:c r="W11" s="1" t="str">
        <x:f>IF(B11="","",IF(OR(NOT(ISNUMBER(I11)),I11&lt;0),"Invalid hours",IF(NOT(ISNUMBER(R11)),"Manual hours",IF(ROUND(I11*3600000,0)=R11,"Source hours","Adjusted hours"))))</x:f>
      </x:c>
      <x:c r="X11" s="10" t="str">
        <x:f>IF(B11="","",IF(AND(ISNUMBER(I11),I11&gt;=0,Q11="In period"),I11,""))</x:f>
      </x:c>
    </x:row>
    <x:row r="12" ht="23" customHeight="1">
      <x:c r="A12" s="3"/>
      <x:c r="B12" s="3"/>
      <x:c r="C12" s="3"/>
      <x:c r="D12" s="3"/>
      <x:c r="E12" s="3"/>
      <x:c r="F12" s="3"/>
      <x:c r="G12" s="3"/>
      <x:c r="H12" s="3"/>
      <x:c r="I12" s="9"/>
      <x:c r="J12" s="3"/>
      <x:c r="K12" s="3"/>
      <x:c r="L12" s="3"/>
      <x:c r="M12" s="1" t="str">
        <x:f>IF(B12="","",IF(W12="Invalid hours","Invalid hours",IF(NOT(ISNUMBER(X12)),"Excluded",IF(AND(J12&lt;&gt;"",K12&lt;&gt;"",L12&lt;&gt;"",COUNTIF('SOW caps'!$N$7:$N$36,A12&amp;"|"&amp;K12)=1),"Mapped","Needs allocation"))))</x:f>
      </x:c>
      <x:c r="N12" s="8" t="str">
        <x:f>IF(B12="","",IF(M12="Mapped",_xlfn.XLOOKUP(A12&amp;"|"&amp;K12,'SOW caps'!$N$7:$N$36,'SOW caps'!$E$7:$E$36,""),IF(ISNUMBER('SOW caps'!$B$3),'SOW caps'!$B$3,"")))</x:f>
      </x:c>
      <x:c r="O12" s="8" t="str">
        <x:f>IF(AND(ISNUMBER(X12),ISNUMBER(N12),N12&gt;=0),X12*N12,"")</x:f>
      </x:c>
      <x:c r="P12" s="3"/>
      <x:c r="Q12" s="3"/>
      <x:c r="R12" s="3"/>
      <x:c r="S12" s="3"/>
      <x:c r="T12" s="3"/>
      <x:c r="U12" s="8" t="str">
        <x:f>IF(M12="Mapped",IF(OR(_xlfn.XLOOKUP(A12&amp;"|"&amp;K12,'SOW caps'!$N$7:$N$36,'SOW caps'!$M$7:$M$36,"")="Ready",_xlfn.XLOOKUP(A12&amp;"|"&amp;K12,'SOW caps'!$N$7:$N$36,'SOW caps'!$M$7:$M$36,"")="No hours"),_xlfn.XLOOKUP(A12&amp;"|"&amp;K12,'SOW caps'!$N$7:$N$36,'SOW caps'!$O$7:$O$36,""),""),"")</x:f>
      </x:c>
      <x:c r="V12" s="8" t="str">
        <x:f>IF(AND(ISNUMBER(U12),ISNUMBER(X12)),ROUND(SUMIFS($X$7:X12,$A$7:A12,A12,$K$7:K12,K12,$M$7:M12,"Mapped")*U12,2)-ROUND((SUMIFS($X$7:X12,$A$7:A12,A12,$K$7:K12,K12,$M$7:M12,"Mapped")-X12)*U12,2),"")</x:f>
      </x:c>
      <x:c r="W12" s="1" t="str">
        <x:f>IF(B12="","",IF(OR(NOT(ISNUMBER(I12)),I12&lt;0),"Invalid hours",IF(NOT(ISNUMBER(R12)),"Manual hours",IF(ROUND(I12*3600000,0)=R12,"Source hours","Adjusted hours"))))</x:f>
      </x:c>
      <x:c r="X12" s="10" t="str">
        <x:f>IF(B12="","",IF(AND(ISNUMBER(I12),I12&gt;=0,Q12="In period"),I12,""))</x:f>
      </x:c>
    </x:row>
    <x:row r="13" ht="23" customHeight="1">
      <x:c r="A13" s="3"/>
      <x:c r="B13" s="3"/>
      <x:c r="C13" s="3"/>
      <x:c r="D13" s="3"/>
      <x:c r="E13" s="3"/>
      <x:c r="F13" s="3"/>
      <x:c r="G13" s="3"/>
      <x:c r="H13" s="3"/>
      <x:c r="I13" s="9"/>
      <x:c r="J13" s="3"/>
      <x:c r="K13" s="3"/>
      <x:c r="L13" s="3"/>
      <x:c r="M13" s="1" t="str">
        <x:f>IF(B13="","",IF(W13="Invalid hours","Invalid hours",IF(NOT(ISNUMBER(X13)),"Excluded",IF(AND(J13&lt;&gt;"",K13&lt;&gt;"",L13&lt;&gt;"",COUNTIF('SOW caps'!$N$7:$N$36,A13&amp;"|"&amp;K13)=1),"Mapped","Needs allocation"))))</x:f>
      </x:c>
      <x:c r="N13" s="8" t="str">
        <x:f>IF(B13="","",IF(M13="Mapped",_xlfn.XLOOKUP(A13&amp;"|"&amp;K13,'SOW caps'!$N$7:$N$36,'SOW caps'!$E$7:$E$36,""),IF(ISNUMBER('SOW caps'!$B$3),'SOW caps'!$B$3,"")))</x:f>
      </x:c>
      <x:c r="O13" s="8" t="str">
        <x:f>IF(AND(ISNUMBER(X13),ISNUMBER(N13),N13&gt;=0),X13*N13,"")</x:f>
      </x:c>
      <x:c r="P13" s="3"/>
      <x:c r="Q13" s="3"/>
      <x:c r="R13" s="3"/>
      <x:c r="S13" s="3"/>
      <x:c r="T13" s="3"/>
      <x:c r="U13" s="8" t="str">
        <x:f>IF(M13="Mapped",IF(OR(_xlfn.XLOOKUP(A13&amp;"|"&amp;K13,'SOW caps'!$N$7:$N$36,'SOW caps'!$M$7:$M$36,"")="Ready",_xlfn.XLOOKUP(A13&amp;"|"&amp;K13,'SOW caps'!$N$7:$N$36,'SOW caps'!$M$7:$M$36,"")="No hours"),_xlfn.XLOOKUP(A13&amp;"|"&amp;K13,'SOW caps'!$N$7:$N$36,'SOW caps'!$O$7:$O$36,""),""),"")</x:f>
      </x:c>
      <x:c r="V13" s="8" t="str">
        <x:f>IF(AND(ISNUMBER(U13),ISNUMBER(X13)),ROUND(SUMIFS($X$7:X13,$A$7:A13,A13,$K$7:K13,K13,$M$7:M13,"Mapped")*U13,2)-ROUND((SUMIFS($X$7:X13,$A$7:A13,A13,$K$7:K13,K13,$M$7:M13,"Mapped")-X13)*U13,2),"")</x:f>
      </x:c>
      <x:c r="W13" s="1" t="str">
        <x:f>IF(B13="","",IF(OR(NOT(ISNUMBER(I13)),I13&lt;0),"Invalid hours",IF(NOT(ISNUMBER(R13)),"Manual hours",IF(ROUND(I13*3600000,0)=R13,"Source hours","Adjusted hours"))))</x:f>
      </x:c>
      <x:c r="X13" s="10" t="str">
        <x:f>IF(B13="","",IF(AND(ISNUMBER(I13),I13&gt;=0,Q13="In period"),I13,""))</x:f>
      </x:c>
    </x:row>
    <x:row r="14" ht="23" customHeight="1">
      <x:c r="A14" s="3"/>
      <x:c r="B14" s="3"/>
      <x:c r="C14" s="3"/>
      <x:c r="D14" s="3"/>
      <x:c r="E14" s="3"/>
      <x:c r="F14" s="3"/>
      <x:c r="G14" s="3"/>
      <x:c r="H14" s="3"/>
      <x:c r="I14" s="9"/>
      <x:c r="J14" s="3"/>
      <x:c r="K14" s="3"/>
      <x:c r="L14" s="3"/>
      <x:c r="M14" s="1" t="str">
        <x:f>IF(B14="","",IF(W14="Invalid hours","Invalid hours",IF(NOT(ISNUMBER(X14)),"Excluded",IF(AND(J14&lt;&gt;"",K14&lt;&gt;"",L14&lt;&gt;"",COUNTIF('SOW caps'!$N$7:$N$36,A14&amp;"|"&amp;K14)=1),"Mapped","Needs allocation"))))</x:f>
      </x:c>
      <x:c r="N14" s="8" t="str">
        <x:f>IF(B14="","",IF(M14="Mapped",_xlfn.XLOOKUP(A14&amp;"|"&amp;K14,'SOW caps'!$N$7:$N$36,'SOW caps'!$E$7:$E$36,""),IF(ISNUMBER('SOW caps'!$B$3),'SOW caps'!$B$3,"")))</x:f>
      </x:c>
      <x:c r="O14" s="8" t="str">
        <x:f>IF(AND(ISNUMBER(X14),ISNUMBER(N14),N14&gt;=0),X14*N14,"")</x:f>
      </x:c>
      <x:c r="P14" s="3"/>
      <x:c r="Q14" s="3"/>
      <x:c r="R14" s="3"/>
      <x:c r="S14" s="3"/>
      <x:c r="T14" s="3"/>
      <x:c r="U14" s="8" t="str">
        <x:f>IF(M14="Mapped",IF(OR(_xlfn.XLOOKUP(A14&amp;"|"&amp;K14,'SOW caps'!$N$7:$N$36,'SOW caps'!$M$7:$M$36,"")="Ready",_xlfn.XLOOKUP(A14&amp;"|"&amp;K14,'SOW caps'!$N$7:$N$36,'SOW caps'!$M$7:$M$36,"")="No hours"),_xlfn.XLOOKUP(A14&amp;"|"&amp;K14,'SOW caps'!$N$7:$N$36,'SOW caps'!$O$7:$O$36,""),""),"")</x:f>
      </x:c>
      <x:c r="V14" s="8" t="str">
        <x:f>IF(AND(ISNUMBER(U14),ISNUMBER(X14)),ROUND(SUMIFS($X$7:X14,$A$7:A14,A14,$K$7:K14,K14,$M$7:M14,"Mapped")*U14,2)-ROUND((SUMIFS($X$7:X14,$A$7:A14,A14,$K$7:K14,K14,$M$7:M14,"Mapped")-X14)*U14,2),"")</x:f>
      </x:c>
      <x:c r="W14" s="1" t="str">
        <x:f>IF(B14="","",IF(OR(NOT(ISNUMBER(I14)),I14&lt;0),"Invalid hours",IF(NOT(ISNUMBER(R14)),"Manual hours",IF(ROUND(I14*3600000,0)=R14,"Source hours","Adjusted hours"))))</x:f>
      </x:c>
      <x:c r="X14" s="10" t="str">
        <x:f>IF(B14="","",IF(AND(ISNUMBER(I14),I14&gt;=0,Q14="In period"),I14,""))</x:f>
      </x:c>
    </x:row>
    <x:row r="15" ht="23" customHeight="1">
      <x:c r="A15" s="3"/>
      <x:c r="B15" s="3"/>
      <x:c r="C15" s="3"/>
      <x:c r="D15" s="3"/>
      <x:c r="E15" s="3"/>
      <x:c r="F15" s="3"/>
      <x:c r="G15" s="3"/>
      <x:c r="H15" s="3"/>
      <x:c r="I15" s="9"/>
      <x:c r="J15" s="3"/>
      <x:c r="K15" s="3"/>
      <x:c r="L15" s="3"/>
      <x:c r="M15" s="1" t="str">
        <x:f>IF(B15="","",IF(W15="Invalid hours","Invalid hours",IF(NOT(ISNUMBER(X15)),"Excluded",IF(AND(J15&lt;&gt;"",K15&lt;&gt;"",L15&lt;&gt;"",COUNTIF('SOW caps'!$N$7:$N$36,A15&amp;"|"&amp;K15)=1),"Mapped","Needs allocation"))))</x:f>
      </x:c>
      <x:c r="N15" s="8" t="str">
        <x:f>IF(B15="","",IF(M15="Mapped",_xlfn.XLOOKUP(A15&amp;"|"&amp;K15,'SOW caps'!$N$7:$N$36,'SOW caps'!$E$7:$E$36,""),IF(ISNUMBER('SOW caps'!$B$3),'SOW caps'!$B$3,"")))</x:f>
      </x:c>
      <x:c r="O15" s="8" t="str">
        <x:f>IF(AND(ISNUMBER(X15),ISNUMBER(N15),N15&gt;=0),X15*N15,"")</x:f>
      </x:c>
      <x:c r="P15" s="3"/>
      <x:c r="Q15" s="3"/>
      <x:c r="R15" s="3"/>
      <x:c r="S15" s="3"/>
      <x:c r="T15" s="3"/>
      <x:c r="U15" s="8" t="str">
        <x:f>IF(M15="Mapped",IF(OR(_xlfn.XLOOKUP(A15&amp;"|"&amp;K15,'SOW caps'!$N$7:$N$36,'SOW caps'!$M$7:$M$36,"")="Ready",_xlfn.XLOOKUP(A15&amp;"|"&amp;K15,'SOW caps'!$N$7:$N$36,'SOW caps'!$M$7:$M$36,"")="No hours"),_xlfn.XLOOKUP(A15&amp;"|"&amp;K15,'SOW caps'!$N$7:$N$36,'SOW caps'!$O$7:$O$36,""),""),"")</x:f>
      </x:c>
      <x:c r="V15" s="8" t="str">
        <x:f>IF(AND(ISNUMBER(U15),ISNUMBER(X15)),ROUND(SUMIFS($X$7:X15,$A$7:A15,A15,$K$7:K15,K15,$M$7:M15,"Mapped")*U15,2)-ROUND((SUMIFS($X$7:X15,$A$7:A15,A15,$K$7:K15,K15,$M$7:M15,"Mapped")-X15)*U15,2),"")</x:f>
      </x:c>
      <x:c r="W15" s="1" t="str">
        <x:f>IF(B15="","",IF(OR(NOT(ISNUMBER(I15)),I15&lt;0),"Invalid hours",IF(NOT(ISNUMBER(R15)),"Manual hours",IF(ROUND(I15*3600000,0)=R15,"Source hours","Adjusted hours"))))</x:f>
      </x:c>
      <x:c r="X15" s="10" t="str">
        <x:f>IF(B15="","",IF(AND(ISNUMBER(I15),I15&gt;=0,Q15="In period"),I15,""))</x:f>
      </x:c>
    </x:row>
    <x:row r="16" ht="23" customHeight="1">
      <x:c r="A16" s="3"/>
      <x:c r="B16" s="3"/>
      <x:c r="C16" s="3"/>
      <x:c r="D16" s="3"/>
      <x:c r="E16" s="3"/>
      <x:c r="F16" s="3"/>
      <x:c r="G16" s="3"/>
      <x:c r="H16" s="3"/>
      <x:c r="I16" s="9"/>
      <x:c r="J16" s="3"/>
      <x:c r="K16" s="3"/>
      <x:c r="L16" s="3"/>
      <x:c r="M16" s="1" t="str">
        <x:f>IF(B16="","",IF(W16="Invalid hours","Invalid hours",IF(NOT(ISNUMBER(X16)),"Excluded",IF(AND(J16&lt;&gt;"",K16&lt;&gt;"",L16&lt;&gt;"",COUNTIF('SOW caps'!$N$7:$N$36,A16&amp;"|"&amp;K16)=1),"Mapped","Needs allocation"))))</x:f>
      </x:c>
      <x:c r="N16" s="8" t="str">
        <x:f>IF(B16="","",IF(M16="Mapped",_xlfn.XLOOKUP(A16&amp;"|"&amp;K16,'SOW caps'!$N$7:$N$36,'SOW caps'!$E$7:$E$36,""),IF(ISNUMBER('SOW caps'!$B$3),'SOW caps'!$B$3,"")))</x:f>
      </x:c>
      <x:c r="O16" s="8" t="str">
        <x:f>IF(AND(ISNUMBER(X16),ISNUMBER(N16),N16&gt;=0),X16*N16,"")</x:f>
      </x:c>
      <x:c r="P16" s="3"/>
      <x:c r="Q16" s="3"/>
      <x:c r="R16" s="3"/>
      <x:c r="S16" s="3"/>
      <x:c r="T16" s="3"/>
      <x:c r="U16" s="8" t="str">
        <x:f>IF(M16="Mapped",IF(OR(_xlfn.XLOOKUP(A16&amp;"|"&amp;K16,'SOW caps'!$N$7:$N$36,'SOW caps'!$M$7:$M$36,"")="Ready",_xlfn.XLOOKUP(A16&amp;"|"&amp;K16,'SOW caps'!$N$7:$N$36,'SOW caps'!$M$7:$M$36,"")="No hours"),_xlfn.XLOOKUP(A16&amp;"|"&amp;K16,'SOW caps'!$N$7:$N$36,'SOW caps'!$O$7:$O$36,""),""),"")</x:f>
      </x:c>
      <x:c r="V16" s="8" t="str">
        <x:f>IF(AND(ISNUMBER(U16),ISNUMBER(X16)),ROUND(SUMIFS($X$7:X16,$A$7:A16,A16,$K$7:K16,K16,$M$7:M16,"Mapped")*U16,2)-ROUND((SUMIFS($X$7:X16,$A$7:A16,A16,$K$7:K16,K16,$M$7:M16,"Mapped")-X16)*U16,2),"")</x:f>
      </x:c>
      <x:c r="W16" s="1" t="str">
        <x:f>IF(B16="","",IF(OR(NOT(ISNUMBER(I16)),I16&lt;0),"Invalid hours",IF(NOT(ISNUMBER(R16)),"Manual hours",IF(ROUND(I16*3600000,0)=R16,"Source hours","Adjusted hours"))))</x:f>
      </x:c>
      <x:c r="X16" s="10" t="str">
        <x:f>IF(B16="","",IF(AND(ISNUMBER(I16),I16&gt;=0,Q16="In period"),I16,""))</x:f>
      </x:c>
    </x:row>
    <x:row r="17" ht="23" customHeight="1">
      <x:c r="A17" s="3"/>
      <x:c r="B17" s="3"/>
      <x:c r="C17" s="3"/>
      <x:c r="D17" s="3"/>
      <x:c r="E17" s="3"/>
      <x:c r="F17" s="3"/>
      <x:c r="G17" s="3"/>
      <x:c r="H17" s="3"/>
      <x:c r="I17" s="9"/>
      <x:c r="J17" s="3"/>
      <x:c r="K17" s="3"/>
      <x:c r="L17" s="3"/>
      <x:c r="M17" s="1" t="str">
        <x:f>IF(B17="","",IF(W17="Invalid hours","Invalid hours",IF(NOT(ISNUMBER(X17)),"Excluded",IF(AND(J17&lt;&gt;"",K17&lt;&gt;"",L17&lt;&gt;"",COUNTIF('SOW caps'!$N$7:$N$36,A17&amp;"|"&amp;K17)=1),"Mapped","Needs allocation"))))</x:f>
      </x:c>
      <x:c r="N17" s="8" t="str">
        <x:f>IF(B17="","",IF(M17="Mapped",_xlfn.XLOOKUP(A17&amp;"|"&amp;K17,'SOW caps'!$N$7:$N$36,'SOW caps'!$E$7:$E$36,""),IF(ISNUMBER('SOW caps'!$B$3),'SOW caps'!$B$3,"")))</x:f>
      </x:c>
      <x:c r="O17" s="8" t="str">
        <x:f>IF(AND(ISNUMBER(X17),ISNUMBER(N17),N17&gt;=0),X17*N17,"")</x:f>
      </x:c>
      <x:c r="P17" s="3"/>
      <x:c r="Q17" s="3"/>
      <x:c r="R17" s="3"/>
      <x:c r="S17" s="3"/>
      <x:c r="T17" s="3"/>
      <x:c r="U17" s="8" t="str">
        <x:f>IF(M17="Mapped",IF(OR(_xlfn.XLOOKUP(A17&amp;"|"&amp;K17,'SOW caps'!$N$7:$N$36,'SOW caps'!$M$7:$M$36,"")="Ready",_xlfn.XLOOKUP(A17&amp;"|"&amp;K17,'SOW caps'!$N$7:$N$36,'SOW caps'!$M$7:$M$36,"")="No hours"),_xlfn.XLOOKUP(A17&amp;"|"&amp;K17,'SOW caps'!$N$7:$N$36,'SOW caps'!$O$7:$O$36,""),""),"")</x:f>
      </x:c>
      <x:c r="V17" s="8" t="str">
        <x:f>IF(AND(ISNUMBER(U17),ISNUMBER(X17)),ROUND(SUMIFS($X$7:X17,$A$7:A17,A17,$K$7:K17,K17,$M$7:M17,"Mapped")*U17,2)-ROUND((SUMIFS($X$7:X17,$A$7:A17,A17,$K$7:K17,K17,$M$7:M17,"Mapped")-X17)*U17,2),"")</x:f>
      </x:c>
      <x:c r="W17" s="1" t="str">
        <x:f>IF(B17="","",IF(OR(NOT(ISNUMBER(I17)),I17&lt;0),"Invalid hours",IF(NOT(ISNUMBER(R17)),"Manual hours",IF(ROUND(I17*3600000,0)=R17,"Source hours","Adjusted hours"))))</x:f>
      </x:c>
      <x:c r="X17" s="10" t="str">
        <x:f>IF(B17="","",IF(AND(ISNUMBER(I17),I17&gt;=0,Q17="In period"),I17,""))</x:f>
      </x:c>
    </x:row>
    <x:row r="18" ht="23" customHeight="1">
      <x:c r="A18" s="3"/>
      <x:c r="B18" s="3"/>
      <x:c r="C18" s="3"/>
      <x:c r="D18" s="3"/>
      <x:c r="E18" s="3"/>
      <x:c r="F18" s="3"/>
      <x:c r="G18" s="3"/>
      <x:c r="H18" s="3"/>
      <x:c r="I18" s="9"/>
      <x:c r="J18" s="3"/>
      <x:c r="K18" s="3"/>
      <x:c r="L18" s="3"/>
      <x:c r="M18" s="1" t="str">
        <x:f>IF(B18="","",IF(W18="Invalid hours","Invalid hours",IF(NOT(ISNUMBER(X18)),"Excluded",IF(AND(J18&lt;&gt;"",K18&lt;&gt;"",L18&lt;&gt;"",COUNTIF('SOW caps'!$N$7:$N$36,A18&amp;"|"&amp;K18)=1),"Mapped","Needs allocation"))))</x:f>
      </x:c>
      <x:c r="N18" s="8" t="str">
        <x:f>IF(B18="","",IF(M18="Mapped",_xlfn.XLOOKUP(A18&amp;"|"&amp;K18,'SOW caps'!$N$7:$N$36,'SOW caps'!$E$7:$E$36,""),IF(ISNUMBER('SOW caps'!$B$3),'SOW caps'!$B$3,"")))</x:f>
      </x:c>
      <x:c r="O18" s="8" t="str">
        <x:f>IF(AND(ISNUMBER(X18),ISNUMBER(N18),N18&gt;=0),X18*N18,"")</x:f>
      </x:c>
      <x:c r="P18" s="3"/>
      <x:c r="Q18" s="3"/>
      <x:c r="R18" s="3"/>
      <x:c r="S18" s="3"/>
      <x:c r="T18" s="3"/>
      <x:c r="U18" s="8" t="str">
        <x:f>IF(M18="Mapped",IF(OR(_xlfn.XLOOKUP(A18&amp;"|"&amp;K18,'SOW caps'!$N$7:$N$36,'SOW caps'!$M$7:$M$36,"")="Ready",_xlfn.XLOOKUP(A18&amp;"|"&amp;K18,'SOW caps'!$N$7:$N$36,'SOW caps'!$M$7:$M$36,"")="No hours"),_xlfn.XLOOKUP(A18&amp;"|"&amp;K18,'SOW caps'!$N$7:$N$36,'SOW caps'!$O$7:$O$36,""),""),"")</x:f>
      </x:c>
      <x:c r="V18" s="8" t="str">
        <x:f>IF(AND(ISNUMBER(U18),ISNUMBER(X18)),ROUND(SUMIFS($X$7:X18,$A$7:A18,A18,$K$7:K18,K18,$M$7:M18,"Mapped")*U18,2)-ROUND((SUMIFS($X$7:X18,$A$7:A18,A18,$K$7:K18,K18,$M$7:M18,"Mapped")-X18)*U18,2),"")</x:f>
      </x:c>
      <x:c r="W18" s="1" t="str">
        <x:f>IF(B18="","",IF(OR(NOT(ISNUMBER(I18)),I18&lt;0),"Invalid hours",IF(NOT(ISNUMBER(R18)),"Manual hours",IF(ROUND(I18*3600000,0)=R18,"Source hours","Adjusted hours"))))</x:f>
      </x:c>
      <x:c r="X18" s="10" t="str">
        <x:f>IF(B18="","",IF(AND(ISNUMBER(I18),I18&gt;=0,Q18="In period"),I18,""))</x:f>
      </x:c>
    </x:row>
    <x:row r="19" ht="23" customHeight="1">
      <x:c r="A19" s="3"/>
      <x:c r="B19" s="3"/>
      <x:c r="C19" s="3"/>
      <x:c r="D19" s="3"/>
      <x:c r="E19" s="3"/>
      <x:c r="F19" s="3"/>
      <x:c r="G19" s="3"/>
      <x:c r="H19" s="3"/>
      <x:c r="I19" s="9"/>
      <x:c r="J19" s="3"/>
      <x:c r="K19" s="3"/>
      <x:c r="L19" s="3"/>
      <x:c r="M19" s="1" t="str">
        <x:f>IF(B19="","",IF(W19="Invalid hours","Invalid hours",IF(NOT(ISNUMBER(X19)),"Excluded",IF(AND(J19&lt;&gt;"",K19&lt;&gt;"",L19&lt;&gt;"",COUNTIF('SOW caps'!$N$7:$N$36,A19&amp;"|"&amp;K19)=1),"Mapped","Needs allocation"))))</x:f>
      </x:c>
      <x:c r="N19" s="8" t="str">
        <x:f>IF(B19="","",IF(M19="Mapped",_xlfn.XLOOKUP(A19&amp;"|"&amp;K19,'SOW caps'!$N$7:$N$36,'SOW caps'!$E$7:$E$36,""),IF(ISNUMBER('SOW caps'!$B$3),'SOW caps'!$B$3,"")))</x:f>
      </x:c>
      <x:c r="O19" s="8" t="str">
        <x:f>IF(AND(ISNUMBER(X19),ISNUMBER(N19),N19&gt;=0),X19*N19,"")</x:f>
      </x:c>
      <x:c r="P19" s="3"/>
      <x:c r="Q19" s="3"/>
      <x:c r="R19" s="3"/>
      <x:c r="S19" s="3"/>
      <x:c r="T19" s="3"/>
      <x:c r="U19" s="8" t="str">
        <x:f>IF(M19="Mapped",IF(OR(_xlfn.XLOOKUP(A19&amp;"|"&amp;K19,'SOW caps'!$N$7:$N$36,'SOW caps'!$M$7:$M$36,"")="Ready",_xlfn.XLOOKUP(A19&amp;"|"&amp;K19,'SOW caps'!$N$7:$N$36,'SOW caps'!$M$7:$M$36,"")="No hours"),_xlfn.XLOOKUP(A19&amp;"|"&amp;K19,'SOW caps'!$N$7:$N$36,'SOW caps'!$O$7:$O$36,""),""),"")</x:f>
      </x:c>
      <x:c r="V19" s="8" t="str">
        <x:f>IF(AND(ISNUMBER(U19),ISNUMBER(X19)),ROUND(SUMIFS($X$7:X19,$A$7:A19,A19,$K$7:K19,K19,$M$7:M19,"Mapped")*U19,2)-ROUND((SUMIFS($X$7:X19,$A$7:A19,A19,$K$7:K19,K19,$M$7:M19,"Mapped")-X19)*U19,2),"")</x:f>
      </x:c>
      <x:c r="W19" s="1" t="str">
        <x:f>IF(B19="","",IF(OR(NOT(ISNUMBER(I19)),I19&lt;0),"Invalid hours",IF(NOT(ISNUMBER(R19)),"Manual hours",IF(ROUND(I19*3600000,0)=R19,"Source hours","Adjusted hours"))))</x:f>
      </x:c>
      <x:c r="X19" s="10" t="str">
        <x:f>IF(B19="","",IF(AND(ISNUMBER(I19),I19&gt;=0,Q19="In period"),I19,""))</x:f>
      </x:c>
    </x:row>
    <x:row r="20" ht="23" customHeight="1">
      <x:c r="A20" s="3"/>
      <x:c r="B20" s="3"/>
      <x:c r="C20" s="3"/>
      <x:c r="D20" s="3"/>
      <x:c r="E20" s="3"/>
      <x:c r="F20" s="3"/>
      <x:c r="G20" s="3"/>
      <x:c r="H20" s="3"/>
      <x:c r="I20" s="9"/>
      <x:c r="J20" s="3"/>
      <x:c r="K20" s="3"/>
      <x:c r="L20" s="3"/>
      <x:c r="M20" s="1" t="str">
        <x:f>IF(B20="","",IF(W20="Invalid hours","Invalid hours",IF(NOT(ISNUMBER(X20)),"Excluded",IF(AND(J20&lt;&gt;"",K20&lt;&gt;"",L20&lt;&gt;"",COUNTIF('SOW caps'!$N$7:$N$36,A20&amp;"|"&amp;K20)=1),"Mapped","Needs allocation"))))</x:f>
      </x:c>
      <x:c r="N20" s="8" t="str">
        <x:f>IF(B20="","",IF(M20="Mapped",_xlfn.XLOOKUP(A20&amp;"|"&amp;K20,'SOW caps'!$N$7:$N$36,'SOW caps'!$E$7:$E$36,""),IF(ISNUMBER('SOW caps'!$B$3),'SOW caps'!$B$3,"")))</x:f>
      </x:c>
      <x:c r="O20" s="8" t="str">
        <x:f>IF(AND(ISNUMBER(X20),ISNUMBER(N20),N20&gt;=0),X20*N20,"")</x:f>
      </x:c>
      <x:c r="P20" s="3"/>
      <x:c r="Q20" s="3"/>
      <x:c r="R20" s="3"/>
      <x:c r="S20" s="3"/>
      <x:c r="T20" s="3"/>
      <x:c r="U20" s="8" t="str">
        <x:f>IF(M20="Mapped",IF(OR(_xlfn.XLOOKUP(A20&amp;"|"&amp;K20,'SOW caps'!$N$7:$N$36,'SOW caps'!$M$7:$M$36,"")="Ready",_xlfn.XLOOKUP(A20&amp;"|"&amp;K20,'SOW caps'!$N$7:$N$36,'SOW caps'!$M$7:$M$36,"")="No hours"),_xlfn.XLOOKUP(A20&amp;"|"&amp;K20,'SOW caps'!$N$7:$N$36,'SOW caps'!$O$7:$O$36,""),""),"")</x:f>
      </x:c>
      <x:c r="V20" s="8" t="str">
        <x:f>IF(AND(ISNUMBER(U20),ISNUMBER(X20)),ROUND(SUMIFS($X$7:X20,$A$7:A20,A20,$K$7:K20,K20,$M$7:M20,"Mapped")*U20,2)-ROUND((SUMIFS($X$7:X20,$A$7:A20,A20,$K$7:K20,K20,$M$7:M20,"Mapped")-X20)*U20,2),"")</x:f>
      </x:c>
      <x:c r="W20" s="1" t="str">
        <x:f>IF(B20="","",IF(OR(NOT(ISNUMBER(I20)),I20&lt;0),"Invalid hours",IF(NOT(ISNUMBER(R20)),"Manual hours",IF(ROUND(I20*3600000,0)=R20,"Source hours","Adjusted hours"))))</x:f>
      </x:c>
      <x:c r="X20" s="10" t="str">
        <x:f>IF(B20="","",IF(AND(ISNUMBER(I20),I20&gt;=0,Q20="In period"),I20,""))</x:f>
      </x:c>
    </x:row>
    <x:row r="21" ht="23" customHeight="1">
      <x:c r="A21" s="3"/>
      <x:c r="B21" s="3"/>
      <x:c r="C21" s="3"/>
      <x:c r="D21" s="3"/>
      <x:c r="E21" s="3"/>
      <x:c r="F21" s="3"/>
      <x:c r="G21" s="3"/>
      <x:c r="H21" s="3"/>
      <x:c r="I21" s="9"/>
      <x:c r="J21" s="3"/>
      <x:c r="K21" s="3"/>
      <x:c r="L21" s="3"/>
      <x:c r="M21" s="1" t="str">
        <x:f>IF(B21="","",IF(W21="Invalid hours","Invalid hours",IF(NOT(ISNUMBER(X21)),"Excluded",IF(AND(J21&lt;&gt;"",K21&lt;&gt;"",L21&lt;&gt;"",COUNTIF('SOW caps'!$N$7:$N$36,A21&amp;"|"&amp;K21)=1),"Mapped","Needs allocation"))))</x:f>
      </x:c>
      <x:c r="N21" s="8" t="str">
        <x:f>IF(B21="","",IF(M21="Mapped",_xlfn.XLOOKUP(A21&amp;"|"&amp;K21,'SOW caps'!$N$7:$N$36,'SOW caps'!$E$7:$E$36,""),IF(ISNUMBER('SOW caps'!$B$3),'SOW caps'!$B$3,"")))</x:f>
      </x:c>
      <x:c r="O21" s="8" t="str">
        <x:f>IF(AND(ISNUMBER(X21),ISNUMBER(N21),N21&gt;=0),X21*N21,"")</x:f>
      </x:c>
      <x:c r="P21" s="3"/>
      <x:c r="Q21" s="3"/>
      <x:c r="R21" s="3"/>
      <x:c r="S21" s="3"/>
      <x:c r="T21" s="3"/>
      <x:c r="U21" s="8" t="str">
        <x:f>IF(M21="Mapped",IF(OR(_xlfn.XLOOKUP(A21&amp;"|"&amp;K21,'SOW caps'!$N$7:$N$36,'SOW caps'!$M$7:$M$36,"")="Ready",_xlfn.XLOOKUP(A21&amp;"|"&amp;K21,'SOW caps'!$N$7:$N$36,'SOW caps'!$M$7:$M$36,"")="No hours"),_xlfn.XLOOKUP(A21&amp;"|"&amp;K21,'SOW caps'!$N$7:$N$36,'SOW caps'!$O$7:$O$36,""),""),"")</x:f>
      </x:c>
      <x:c r="V21" s="8" t="str">
        <x:f>IF(AND(ISNUMBER(U21),ISNUMBER(X21)),ROUND(SUMIFS($X$7:X21,$A$7:A21,A21,$K$7:K21,K21,$M$7:M21,"Mapped")*U21,2)-ROUND((SUMIFS($X$7:X21,$A$7:A21,A21,$K$7:K21,K21,$M$7:M21,"Mapped")-X21)*U21,2),"")</x:f>
      </x:c>
      <x:c r="W21" s="1" t="str">
        <x:f>IF(B21="","",IF(OR(NOT(ISNUMBER(I21)),I21&lt;0),"Invalid hours",IF(NOT(ISNUMBER(R21)),"Manual hours",IF(ROUND(I21*3600000,0)=R21,"Source hours","Adjusted hours"))))</x:f>
      </x:c>
      <x:c r="X21" s="10" t="str">
        <x:f>IF(B21="","",IF(AND(ISNUMBER(I21),I21&gt;=0,Q21="In period"),I21,""))</x:f>
      </x:c>
    </x:row>
    <x:row r="22" ht="23" customHeight="1">
      <x:c r="A22" s="3"/>
      <x:c r="B22" s="3"/>
      <x:c r="C22" s="3"/>
      <x:c r="D22" s="3"/>
      <x:c r="E22" s="3"/>
      <x:c r="F22" s="3"/>
      <x:c r="G22" s="3"/>
      <x:c r="H22" s="3"/>
      <x:c r="I22" s="9"/>
      <x:c r="J22" s="3"/>
      <x:c r="K22" s="3"/>
      <x:c r="L22" s="3"/>
      <x:c r="M22" s="1" t="str">
        <x:f>IF(B22="","",IF(W22="Invalid hours","Invalid hours",IF(NOT(ISNUMBER(X22)),"Excluded",IF(AND(J22&lt;&gt;"",K22&lt;&gt;"",L22&lt;&gt;"",COUNTIF('SOW caps'!$N$7:$N$36,A22&amp;"|"&amp;K22)=1),"Mapped","Needs allocation"))))</x:f>
      </x:c>
      <x:c r="N22" s="8" t="str">
        <x:f>IF(B22="","",IF(M22="Mapped",_xlfn.XLOOKUP(A22&amp;"|"&amp;K22,'SOW caps'!$N$7:$N$36,'SOW caps'!$E$7:$E$36,""),IF(ISNUMBER('SOW caps'!$B$3),'SOW caps'!$B$3,"")))</x:f>
      </x:c>
      <x:c r="O22" s="8" t="str">
        <x:f>IF(AND(ISNUMBER(X22),ISNUMBER(N22),N22&gt;=0),X22*N22,"")</x:f>
      </x:c>
      <x:c r="P22" s="3"/>
      <x:c r="Q22" s="3"/>
      <x:c r="R22" s="3"/>
      <x:c r="S22" s="3"/>
      <x:c r="T22" s="3"/>
      <x:c r="U22" s="8" t="str">
        <x:f>IF(M22="Mapped",IF(OR(_xlfn.XLOOKUP(A22&amp;"|"&amp;K22,'SOW caps'!$N$7:$N$36,'SOW caps'!$M$7:$M$36,"")="Ready",_xlfn.XLOOKUP(A22&amp;"|"&amp;K22,'SOW caps'!$N$7:$N$36,'SOW caps'!$M$7:$M$36,"")="No hours"),_xlfn.XLOOKUP(A22&amp;"|"&amp;K22,'SOW caps'!$N$7:$N$36,'SOW caps'!$O$7:$O$36,""),""),"")</x:f>
      </x:c>
      <x:c r="V22" s="8" t="str">
        <x:f>IF(AND(ISNUMBER(U22),ISNUMBER(X22)),ROUND(SUMIFS($X$7:X22,$A$7:A22,A22,$K$7:K22,K22,$M$7:M22,"Mapped")*U22,2)-ROUND((SUMIFS($X$7:X22,$A$7:A22,A22,$K$7:K22,K22,$M$7:M22,"Mapped")-X22)*U22,2),"")</x:f>
      </x:c>
      <x:c r="W22" s="1" t="str">
        <x:f>IF(B22="","",IF(OR(NOT(ISNUMBER(I22)),I22&lt;0),"Invalid hours",IF(NOT(ISNUMBER(R22)),"Manual hours",IF(ROUND(I22*3600000,0)=R22,"Source hours","Adjusted hours"))))</x:f>
      </x:c>
      <x:c r="X22" s="10" t="str">
        <x:f>IF(B22="","",IF(AND(ISNUMBER(I22),I22&gt;=0,Q22="In period"),I22,""))</x:f>
      </x:c>
    </x:row>
    <x:row r="23" ht="23" customHeight="1">
      <x:c r="A23" s="3"/>
      <x:c r="B23" s="3"/>
      <x:c r="C23" s="3"/>
      <x:c r="D23" s="3"/>
      <x:c r="E23" s="3"/>
      <x:c r="F23" s="3"/>
      <x:c r="G23" s="3"/>
      <x:c r="H23" s="3"/>
      <x:c r="I23" s="9"/>
      <x:c r="J23" s="3"/>
      <x:c r="K23" s="3"/>
      <x:c r="L23" s="3"/>
      <x:c r="M23" s="1" t="str">
        <x:f>IF(B23="","",IF(W23="Invalid hours","Invalid hours",IF(NOT(ISNUMBER(X23)),"Excluded",IF(AND(J23&lt;&gt;"",K23&lt;&gt;"",L23&lt;&gt;"",COUNTIF('SOW caps'!$N$7:$N$36,A23&amp;"|"&amp;K23)=1),"Mapped","Needs allocation"))))</x:f>
      </x:c>
      <x:c r="N23" s="8" t="str">
        <x:f>IF(B23="","",IF(M23="Mapped",_xlfn.XLOOKUP(A23&amp;"|"&amp;K23,'SOW caps'!$N$7:$N$36,'SOW caps'!$E$7:$E$36,""),IF(ISNUMBER('SOW caps'!$B$3),'SOW caps'!$B$3,"")))</x:f>
      </x:c>
      <x:c r="O23" s="8" t="str">
        <x:f>IF(AND(ISNUMBER(X23),ISNUMBER(N23),N23&gt;=0),X23*N23,"")</x:f>
      </x:c>
      <x:c r="P23" s="3"/>
      <x:c r="Q23" s="3"/>
      <x:c r="R23" s="3"/>
      <x:c r="S23" s="3"/>
      <x:c r="T23" s="3"/>
      <x:c r="U23" s="8" t="str">
        <x:f>IF(M23="Mapped",IF(OR(_xlfn.XLOOKUP(A23&amp;"|"&amp;K23,'SOW caps'!$N$7:$N$36,'SOW caps'!$M$7:$M$36,"")="Ready",_xlfn.XLOOKUP(A23&amp;"|"&amp;K23,'SOW caps'!$N$7:$N$36,'SOW caps'!$M$7:$M$36,"")="No hours"),_xlfn.XLOOKUP(A23&amp;"|"&amp;K23,'SOW caps'!$N$7:$N$36,'SOW caps'!$O$7:$O$36,""),""),"")</x:f>
      </x:c>
      <x:c r="V23" s="8" t="str">
        <x:f>IF(AND(ISNUMBER(U23),ISNUMBER(X23)),ROUND(SUMIFS($X$7:X23,$A$7:A23,A23,$K$7:K23,K23,$M$7:M23,"Mapped")*U23,2)-ROUND((SUMIFS($X$7:X23,$A$7:A23,A23,$K$7:K23,K23,$M$7:M23,"Mapped")-X23)*U23,2),"")</x:f>
      </x:c>
      <x:c r="W23" s="1" t="str">
        <x:f>IF(B23="","",IF(OR(NOT(ISNUMBER(I23)),I23&lt;0),"Invalid hours",IF(NOT(ISNUMBER(R23)),"Manual hours",IF(ROUND(I23*3600000,0)=R23,"Source hours","Adjusted hours"))))</x:f>
      </x:c>
      <x:c r="X23" s="10" t="str">
        <x:f>IF(B23="","",IF(AND(ISNUMBER(I23),I23&gt;=0,Q23="In period"),I23,""))</x:f>
      </x:c>
    </x:row>
    <x:row r="24" ht="23" customHeight="1">
      <x:c r="A24" s="3"/>
      <x:c r="B24" s="3"/>
      <x:c r="C24" s="3"/>
      <x:c r="D24" s="3"/>
      <x:c r="E24" s="3"/>
      <x:c r="F24" s="3"/>
      <x:c r="G24" s="3"/>
      <x:c r="H24" s="3"/>
      <x:c r="I24" s="9"/>
      <x:c r="J24" s="3"/>
      <x:c r="K24" s="3"/>
      <x:c r="L24" s="3"/>
      <x:c r="M24" s="1" t="str">
        <x:f>IF(B24="","",IF(W24="Invalid hours","Invalid hours",IF(NOT(ISNUMBER(X24)),"Excluded",IF(AND(J24&lt;&gt;"",K24&lt;&gt;"",L24&lt;&gt;"",COUNTIF('SOW caps'!$N$7:$N$36,A24&amp;"|"&amp;K24)=1),"Mapped","Needs allocation"))))</x:f>
      </x:c>
      <x:c r="N24" s="8" t="str">
        <x:f>IF(B24="","",IF(M24="Mapped",_xlfn.XLOOKUP(A24&amp;"|"&amp;K24,'SOW caps'!$N$7:$N$36,'SOW caps'!$E$7:$E$36,""),IF(ISNUMBER('SOW caps'!$B$3),'SOW caps'!$B$3,"")))</x:f>
      </x:c>
      <x:c r="O24" s="8" t="str">
        <x:f>IF(AND(ISNUMBER(X24),ISNUMBER(N24),N24&gt;=0),X24*N24,"")</x:f>
      </x:c>
      <x:c r="P24" s="3"/>
      <x:c r="Q24" s="3"/>
      <x:c r="R24" s="3"/>
      <x:c r="S24" s="3"/>
      <x:c r="T24" s="3"/>
      <x:c r="U24" s="8" t="str">
        <x:f>IF(M24="Mapped",IF(OR(_xlfn.XLOOKUP(A24&amp;"|"&amp;K24,'SOW caps'!$N$7:$N$36,'SOW caps'!$M$7:$M$36,"")="Ready",_xlfn.XLOOKUP(A24&amp;"|"&amp;K24,'SOW caps'!$N$7:$N$36,'SOW caps'!$M$7:$M$36,"")="No hours"),_xlfn.XLOOKUP(A24&amp;"|"&amp;K24,'SOW caps'!$N$7:$N$36,'SOW caps'!$O$7:$O$36,""),""),"")</x:f>
      </x:c>
      <x:c r="V24" s="8" t="str">
        <x:f>IF(AND(ISNUMBER(U24),ISNUMBER(X24)),ROUND(SUMIFS($X$7:X24,$A$7:A24,A24,$K$7:K24,K24,$M$7:M24,"Mapped")*U24,2)-ROUND((SUMIFS($X$7:X24,$A$7:A24,A24,$K$7:K24,K24,$M$7:M24,"Mapped")-X24)*U24,2),"")</x:f>
      </x:c>
      <x:c r="W24" s="1" t="str">
        <x:f>IF(B24="","",IF(OR(NOT(ISNUMBER(I24)),I24&lt;0),"Invalid hours",IF(NOT(ISNUMBER(R24)),"Manual hours",IF(ROUND(I24*3600000,0)=R24,"Source hours","Adjusted hours"))))</x:f>
      </x:c>
      <x:c r="X24" s="10" t="str">
        <x:f>IF(B24="","",IF(AND(ISNUMBER(I24),I24&gt;=0,Q24="In period"),I24,""))</x:f>
      </x:c>
    </x:row>
    <x:row r="25" ht="23" customHeight="1">
      <x:c r="A25" s="3"/>
      <x:c r="B25" s="3"/>
      <x:c r="C25" s="3"/>
      <x:c r="D25" s="3"/>
      <x:c r="E25" s="3"/>
      <x:c r="F25" s="3"/>
      <x:c r="G25" s="3"/>
      <x:c r="H25" s="3"/>
      <x:c r="I25" s="9"/>
      <x:c r="J25" s="3"/>
      <x:c r="K25" s="3"/>
      <x:c r="L25" s="3"/>
      <x:c r="M25" s="1" t="str">
        <x:f>IF(B25="","",IF(W25="Invalid hours","Invalid hours",IF(NOT(ISNUMBER(X25)),"Excluded",IF(AND(J25&lt;&gt;"",K25&lt;&gt;"",L25&lt;&gt;"",COUNTIF('SOW caps'!$N$7:$N$36,A25&amp;"|"&amp;K25)=1),"Mapped","Needs allocation"))))</x:f>
      </x:c>
      <x:c r="N25" s="8" t="str">
        <x:f>IF(B25="","",IF(M25="Mapped",_xlfn.XLOOKUP(A25&amp;"|"&amp;K25,'SOW caps'!$N$7:$N$36,'SOW caps'!$E$7:$E$36,""),IF(ISNUMBER('SOW caps'!$B$3),'SOW caps'!$B$3,"")))</x:f>
      </x:c>
      <x:c r="O25" s="8" t="str">
        <x:f>IF(AND(ISNUMBER(X25),ISNUMBER(N25),N25&gt;=0),X25*N25,"")</x:f>
      </x:c>
      <x:c r="P25" s="3"/>
      <x:c r="Q25" s="3"/>
      <x:c r="R25" s="3"/>
      <x:c r="S25" s="3"/>
      <x:c r="T25" s="3"/>
      <x:c r="U25" s="8" t="str">
        <x:f>IF(M25="Mapped",IF(OR(_xlfn.XLOOKUP(A25&amp;"|"&amp;K25,'SOW caps'!$N$7:$N$36,'SOW caps'!$M$7:$M$36,"")="Ready",_xlfn.XLOOKUP(A25&amp;"|"&amp;K25,'SOW caps'!$N$7:$N$36,'SOW caps'!$M$7:$M$36,"")="No hours"),_xlfn.XLOOKUP(A25&amp;"|"&amp;K25,'SOW caps'!$N$7:$N$36,'SOW caps'!$O$7:$O$36,""),""),"")</x:f>
      </x:c>
      <x:c r="V25" s="8" t="str">
        <x:f>IF(AND(ISNUMBER(U25),ISNUMBER(X25)),ROUND(SUMIFS($X$7:X25,$A$7:A25,A25,$K$7:K25,K25,$M$7:M25,"Mapped")*U25,2)-ROUND((SUMIFS($X$7:X25,$A$7:A25,A25,$K$7:K25,K25,$M$7:M25,"Mapped")-X25)*U25,2),"")</x:f>
      </x:c>
      <x:c r="W25" s="1" t="str">
        <x:f>IF(B25="","",IF(OR(NOT(ISNUMBER(I25)),I25&lt;0),"Invalid hours",IF(NOT(ISNUMBER(R25)),"Manual hours",IF(ROUND(I25*3600000,0)=R25,"Source hours","Adjusted hours"))))</x:f>
      </x:c>
      <x:c r="X25" s="10" t="str">
        <x:f>IF(B25="","",IF(AND(ISNUMBER(I25),I25&gt;=0,Q25="In period"),I25,""))</x:f>
      </x:c>
    </x:row>
    <x:row r="26" ht="23" customHeight="1">
      <x:c r="A26" s="3"/>
      <x:c r="B26" s="3"/>
      <x:c r="C26" s="3"/>
      <x:c r="D26" s="3"/>
      <x:c r="E26" s="3"/>
      <x:c r="F26" s="3"/>
      <x:c r="G26" s="3"/>
      <x:c r="H26" s="3"/>
      <x:c r="I26" s="9"/>
      <x:c r="J26" s="3"/>
      <x:c r="K26" s="3"/>
      <x:c r="L26" s="3"/>
      <x:c r="M26" s="1" t="str">
        <x:f>IF(B26="","",IF(W26="Invalid hours","Invalid hours",IF(NOT(ISNUMBER(X26)),"Excluded",IF(AND(J26&lt;&gt;"",K26&lt;&gt;"",L26&lt;&gt;"",COUNTIF('SOW caps'!$N$7:$N$36,A26&amp;"|"&amp;K26)=1),"Mapped","Needs allocation"))))</x:f>
      </x:c>
      <x:c r="N26" s="8" t="str">
        <x:f>IF(B26="","",IF(M26="Mapped",_xlfn.XLOOKUP(A26&amp;"|"&amp;K26,'SOW caps'!$N$7:$N$36,'SOW caps'!$E$7:$E$36,""),IF(ISNUMBER('SOW caps'!$B$3),'SOW caps'!$B$3,"")))</x:f>
      </x:c>
      <x:c r="O26" s="8" t="str">
        <x:f>IF(AND(ISNUMBER(X26),ISNUMBER(N26),N26&gt;=0),X26*N26,"")</x:f>
      </x:c>
      <x:c r="P26" s="3"/>
      <x:c r="Q26" s="3"/>
      <x:c r="R26" s="3"/>
      <x:c r="S26" s="3"/>
      <x:c r="T26" s="3"/>
      <x:c r="U26" s="8" t="str">
        <x:f>IF(M26="Mapped",IF(OR(_xlfn.XLOOKUP(A26&amp;"|"&amp;K26,'SOW caps'!$N$7:$N$36,'SOW caps'!$M$7:$M$36,"")="Ready",_xlfn.XLOOKUP(A26&amp;"|"&amp;K26,'SOW caps'!$N$7:$N$36,'SOW caps'!$M$7:$M$36,"")="No hours"),_xlfn.XLOOKUP(A26&amp;"|"&amp;K26,'SOW caps'!$N$7:$N$36,'SOW caps'!$O$7:$O$36,""),""),"")</x:f>
      </x:c>
      <x:c r="V26" s="8" t="str">
        <x:f>IF(AND(ISNUMBER(U26),ISNUMBER(X26)),ROUND(SUMIFS($X$7:X26,$A$7:A26,A26,$K$7:K26,K26,$M$7:M26,"Mapped")*U26,2)-ROUND((SUMIFS($X$7:X26,$A$7:A26,A26,$K$7:K26,K26,$M$7:M26,"Mapped")-X26)*U26,2),"")</x:f>
      </x:c>
      <x:c r="W26" s="1" t="str">
        <x:f>IF(B26="","",IF(OR(NOT(ISNUMBER(I26)),I26&lt;0),"Invalid hours",IF(NOT(ISNUMBER(R26)),"Manual hours",IF(ROUND(I26*3600000,0)=R26,"Source hours","Adjusted hours"))))</x:f>
      </x:c>
      <x:c r="X26" s="10" t="str">
        <x:f>IF(B26="","",IF(AND(ISNUMBER(I26),I26&gt;=0,Q26="In period"),I26,""))</x:f>
      </x:c>
    </x:row>
    <x:row r="27" ht="23" customHeight="1">
      <x:c r="A27" s="3"/>
      <x:c r="B27" s="3"/>
      <x:c r="C27" s="3"/>
      <x:c r="D27" s="3"/>
      <x:c r="E27" s="3"/>
      <x:c r="F27" s="3"/>
      <x:c r="G27" s="3"/>
      <x:c r="H27" s="3"/>
      <x:c r="I27" s="9"/>
      <x:c r="J27" s="3"/>
      <x:c r="K27" s="3"/>
      <x:c r="L27" s="3"/>
      <x:c r="M27" s="1" t="str">
        <x:f>IF(B27="","",IF(W27="Invalid hours","Invalid hours",IF(NOT(ISNUMBER(X27)),"Excluded",IF(AND(J27&lt;&gt;"",K27&lt;&gt;"",L27&lt;&gt;"",COUNTIF('SOW caps'!$N$7:$N$36,A27&amp;"|"&amp;K27)=1),"Mapped","Needs allocation"))))</x:f>
      </x:c>
      <x:c r="N27" s="8" t="str">
        <x:f>IF(B27="","",IF(M27="Mapped",_xlfn.XLOOKUP(A27&amp;"|"&amp;K27,'SOW caps'!$N$7:$N$36,'SOW caps'!$E$7:$E$36,""),IF(ISNUMBER('SOW caps'!$B$3),'SOW caps'!$B$3,"")))</x:f>
      </x:c>
      <x:c r="O27" s="8" t="str">
        <x:f>IF(AND(ISNUMBER(X27),ISNUMBER(N27),N27&gt;=0),X27*N27,"")</x:f>
      </x:c>
      <x:c r="P27" s="3"/>
      <x:c r="Q27" s="3"/>
      <x:c r="R27" s="3"/>
      <x:c r="S27" s="3"/>
      <x:c r="T27" s="3"/>
      <x:c r="U27" s="8" t="str">
        <x:f>IF(M27="Mapped",IF(OR(_xlfn.XLOOKUP(A27&amp;"|"&amp;K27,'SOW caps'!$N$7:$N$36,'SOW caps'!$M$7:$M$36,"")="Ready",_xlfn.XLOOKUP(A27&amp;"|"&amp;K27,'SOW caps'!$N$7:$N$36,'SOW caps'!$M$7:$M$36,"")="No hours"),_xlfn.XLOOKUP(A27&amp;"|"&amp;K27,'SOW caps'!$N$7:$N$36,'SOW caps'!$O$7:$O$36,""),""),"")</x:f>
      </x:c>
      <x:c r="V27" s="8" t="str">
        <x:f>IF(AND(ISNUMBER(U27),ISNUMBER(X27)),ROUND(SUMIFS($X$7:X27,$A$7:A27,A27,$K$7:K27,K27,$M$7:M27,"Mapped")*U27,2)-ROUND((SUMIFS($X$7:X27,$A$7:A27,A27,$K$7:K27,K27,$M$7:M27,"Mapped")-X27)*U27,2),"")</x:f>
      </x:c>
      <x:c r="W27" s="1" t="str">
        <x:f>IF(B27="","",IF(OR(NOT(ISNUMBER(I27)),I27&lt;0),"Invalid hours",IF(NOT(ISNUMBER(R27)),"Manual hours",IF(ROUND(I27*3600000,0)=R27,"Source hours","Adjusted hours"))))</x:f>
      </x:c>
      <x:c r="X27" s="10" t="str">
        <x:f>IF(B27="","",IF(AND(ISNUMBER(I27),I27&gt;=0,Q27="In period"),I27,""))</x:f>
      </x:c>
    </x:row>
    <x:row r="28" ht="23" customHeight="1">
      <x:c r="A28" s="3"/>
      <x:c r="B28" s="3"/>
      <x:c r="C28" s="3"/>
      <x:c r="D28" s="3"/>
      <x:c r="E28" s="3"/>
      <x:c r="F28" s="3"/>
      <x:c r="G28" s="3"/>
      <x:c r="H28" s="3"/>
      <x:c r="I28" s="9"/>
      <x:c r="J28" s="3"/>
      <x:c r="K28" s="3"/>
      <x:c r="L28" s="3"/>
      <x:c r="M28" s="1" t="str">
        <x:f>IF(B28="","",IF(W28="Invalid hours","Invalid hours",IF(NOT(ISNUMBER(X28)),"Excluded",IF(AND(J28&lt;&gt;"",K28&lt;&gt;"",L28&lt;&gt;"",COUNTIF('SOW caps'!$N$7:$N$36,A28&amp;"|"&amp;K28)=1),"Mapped","Needs allocation"))))</x:f>
      </x:c>
      <x:c r="N28" s="8" t="str">
        <x:f>IF(B28="","",IF(M28="Mapped",_xlfn.XLOOKUP(A28&amp;"|"&amp;K28,'SOW caps'!$N$7:$N$36,'SOW caps'!$E$7:$E$36,""),IF(ISNUMBER('SOW caps'!$B$3),'SOW caps'!$B$3,"")))</x:f>
      </x:c>
      <x:c r="O28" s="8" t="str">
        <x:f>IF(AND(ISNUMBER(X28),ISNUMBER(N28),N28&gt;=0),X28*N28,"")</x:f>
      </x:c>
      <x:c r="P28" s="3"/>
      <x:c r="Q28" s="3"/>
      <x:c r="R28" s="3"/>
      <x:c r="S28" s="3"/>
      <x:c r="T28" s="3"/>
      <x:c r="U28" s="8" t="str">
        <x:f>IF(M28="Mapped",IF(OR(_xlfn.XLOOKUP(A28&amp;"|"&amp;K28,'SOW caps'!$N$7:$N$36,'SOW caps'!$M$7:$M$36,"")="Ready",_xlfn.XLOOKUP(A28&amp;"|"&amp;K28,'SOW caps'!$N$7:$N$36,'SOW caps'!$M$7:$M$36,"")="No hours"),_xlfn.XLOOKUP(A28&amp;"|"&amp;K28,'SOW caps'!$N$7:$N$36,'SOW caps'!$O$7:$O$36,""),""),"")</x:f>
      </x:c>
      <x:c r="V28" s="8" t="str">
        <x:f>IF(AND(ISNUMBER(U28),ISNUMBER(X28)),ROUND(SUMIFS($X$7:X28,$A$7:A28,A28,$K$7:K28,K28,$M$7:M28,"Mapped")*U28,2)-ROUND((SUMIFS($X$7:X28,$A$7:A28,A28,$K$7:K28,K28,$M$7:M28,"Mapped")-X28)*U28,2),"")</x:f>
      </x:c>
      <x:c r="W28" s="1" t="str">
        <x:f>IF(B28="","",IF(OR(NOT(ISNUMBER(I28)),I28&lt;0),"Invalid hours",IF(NOT(ISNUMBER(R28)),"Manual hours",IF(ROUND(I28*3600000,0)=R28,"Source hours","Adjusted hours"))))</x:f>
      </x:c>
      <x:c r="X28" s="10" t="str">
        <x:f>IF(B28="","",IF(AND(ISNUMBER(I28),I28&gt;=0,Q28="In period"),I28,""))</x:f>
      </x:c>
    </x:row>
    <x:row r="29" ht="23" customHeight="1">
      <x:c r="A29" s="3"/>
      <x:c r="B29" s="3"/>
      <x:c r="C29" s="3"/>
      <x:c r="D29" s="3"/>
      <x:c r="E29" s="3"/>
      <x:c r="F29" s="3"/>
      <x:c r="G29" s="3"/>
      <x:c r="H29" s="3"/>
      <x:c r="I29" s="9"/>
      <x:c r="J29" s="3"/>
      <x:c r="K29" s="3"/>
      <x:c r="L29" s="3"/>
      <x:c r="M29" s="1" t="str">
        <x:f>IF(B29="","",IF(W29="Invalid hours","Invalid hours",IF(NOT(ISNUMBER(X29)),"Excluded",IF(AND(J29&lt;&gt;"",K29&lt;&gt;"",L29&lt;&gt;"",COUNTIF('SOW caps'!$N$7:$N$36,A29&amp;"|"&amp;K29)=1),"Mapped","Needs allocation"))))</x:f>
      </x:c>
      <x:c r="N29" s="8" t="str">
        <x:f>IF(B29="","",IF(M29="Mapped",_xlfn.XLOOKUP(A29&amp;"|"&amp;K29,'SOW caps'!$N$7:$N$36,'SOW caps'!$E$7:$E$36,""),IF(ISNUMBER('SOW caps'!$B$3),'SOW caps'!$B$3,"")))</x:f>
      </x:c>
      <x:c r="O29" s="8" t="str">
        <x:f>IF(AND(ISNUMBER(X29),ISNUMBER(N29),N29&gt;=0),X29*N29,"")</x:f>
      </x:c>
      <x:c r="P29" s="3"/>
      <x:c r="Q29" s="3"/>
      <x:c r="R29" s="3"/>
      <x:c r="S29" s="3"/>
      <x:c r="T29" s="3"/>
      <x:c r="U29" s="8" t="str">
        <x:f>IF(M29="Mapped",IF(OR(_xlfn.XLOOKUP(A29&amp;"|"&amp;K29,'SOW caps'!$N$7:$N$36,'SOW caps'!$M$7:$M$36,"")="Ready",_xlfn.XLOOKUP(A29&amp;"|"&amp;K29,'SOW caps'!$N$7:$N$36,'SOW caps'!$M$7:$M$36,"")="No hours"),_xlfn.XLOOKUP(A29&amp;"|"&amp;K29,'SOW caps'!$N$7:$N$36,'SOW caps'!$O$7:$O$36,""),""),"")</x:f>
      </x:c>
      <x:c r="V29" s="8" t="str">
        <x:f>IF(AND(ISNUMBER(U29),ISNUMBER(X29)),ROUND(SUMIFS($X$7:X29,$A$7:A29,A29,$K$7:K29,K29,$M$7:M29,"Mapped")*U29,2)-ROUND((SUMIFS($X$7:X29,$A$7:A29,A29,$K$7:K29,K29,$M$7:M29,"Mapped")-X29)*U29,2),"")</x:f>
      </x:c>
      <x:c r="W29" s="1" t="str">
        <x:f>IF(B29="","",IF(OR(NOT(ISNUMBER(I29)),I29&lt;0),"Invalid hours",IF(NOT(ISNUMBER(R29)),"Manual hours",IF(ROUND(I29*3600000,0)=R29,"Source hours","Adjusted hours"))))</x:f>
      </x:c>
      <x:c r="X29" s="10" t="str">
        <x:f>IF(B29="","",IF(AND(ISNUMBER(I29),I29&gt;=0,Q29="In period"),I29,""))</x:f>
      </x:c>
    </x:row>
    <x:row r="30" ht="23" customHeight="1">
      <x:c r="A30" s="3"/>
      <x:c r="B30" s="3"/>
      <x:c r="C30" s="3"/>
      <x:c r="D30" s="3"/>
      <x:c r="E30" s="3"/>
      <x:c r="F30" s="3"/>
      <x:c r="G30" s="3"/>
      <x:c r="H30" s="3"/>
      <x:c r="I30" s="9"/>
      <x:c r="J30" s="3"/>
      <x:c r="K30" s="3"/>
      <x:c r="L30" s="3"/>
      <x:c r="M30" s="1" t="str">
        <x:f>IF(B30="","",IF(W30="Invalid hours","Invalid hours",IF(NOT(ISNUMBER(X30)),"Excluded",IF(AND(J30&lt;&gt;"",K30&lt;&gt;"",L30&lt;&gt;"",COUNTIF('SOW caps'!$N$7:$N$36,A30&amp;"|"&amp;K30)=1),"Mapped","Needs allocation"))))</x:f>
      </x:c>
      <x:c r="N30" s="8" t="str">
        <x:f>IF(B30="","",IF(M30="Mapped",_xlfn.XLOOKUP(A30&amp;"|"&amp;K30,'SOW caps'!$N$7:$N$36,'SOW caps'!$E$7:$E$36,""),IF(ISNUMBER('SOW caps'!$B$3),'SOW caps'!$B$3,"")))</x:f>
      </x:c>
      <x:c r="O30" s="8" t="str">
        <x:f>IF(AND(ISNUMBER(X30),ISNUMBER(N30),N30&gt;=0),X30*N30,"")</x:f>
      </x:c>
      <x:c r="P30" s="3"/>
      <x:c r="Q30" s="3"/>
      <x:c r="R30" s="3"/>
      <x:c r="S30" s="3"/>
      <x:c r="T30" s="3"/>
      <x:c r="U30" s="8" t="str">
        <x:f>IF(M30="Mapped",IF(OR(_xlfn.XLOOKUP(A30&amp;"|"&amp;K30,'SOW caps'!$N$7:$N$36,'SOW caps'!$M$7:$M$36,"")="Ready",_xlfn.XLOOKUP(A30&amp;"|"&amp;K30,'SOW caps'!$N$7:$N$36,'SOW caps'!$M$7:$M$36,"")="No hours"),_xlfn.XLOOKUP(A30&amp;"|"&amp;K30,'SOW caps'!$N$7:$N$36,'SOW caps'!$O$7:$O$36,""),""),"")</x:f>
      </x:c>
      <x:c r="V30" s="8" t="str">
        <x:f>IF(AND(ISNUMBER(U30),ISNUMBER(X30)),ROUND(SUMIFS($X$7:X30,$A$7:A30,A30,$K$7:K30,K30,$M$7:M30,"Mapped")*U30,2)-ROUND((SUMIFS($X$7:X30,$A$7:A30,A30,$K$7:K30,K30,$M$7:M30,"Mapped")-X30)*U30,2),"")</x:f>
      </x:c>
      <x:c r="W30" s="1" t="str">
        <x:f>IF(B30="","",IF(OR(NOT(ISNUMBER(I30)),I30&lt;0),"Invalid hours",IF(NOT(ISNUMBER(R30)),"Manual hours",IF(ROUND(I30*3600000,0)=R30,"Source hours","Adjusted hours"))))</x:f>
      </x:c>
      <x:c r="X30" s="10" t="str">
        <x:f>IF(B30="","",IF(AND(ISNUMBER(I30),I30&gt;=0,Q30="In period"),I30,""))</x:f>
      </x:c>
    </x:row>
    <x:row r="31" ht="23" customHeight="1">
      <x:c r="A31" s="3"/>
      <x:c r="B31" s="3"/>
      <x:c r="C31" s="3"/>
      <x:c r="D31" s="3"/>
      <x:c r="E31" s="3"/>
      <x:c r="F31" s="3"/>
      <x:c r="G31" s="3"/>
      <x:c r="H31" s="3"/>
      <x:c r="I31" s="9"/>
      <x:c r="J31" s="3"/>
      <x:c r="K31" s="3"/>
      <x:c r="L31" s="3"/>
      <x:c r="M31" s="1" t="str">
        <x:f>IF(B31="","",IF(W31="Invalid hours","Invalid hours",IF(NOT(ISNUMBER(X31)),"Excluded",IF(AND(J31&lt;&gt;"",K31&lt;&gt;"",L31&lt;&gt;"",COUNTIF('SOW caps'!$N$7:$N$36,A31&amp;"|"&amp;K31)=1),"Mapped","Needs allocation"))))</x:f>
      </x:c>
      <x:c r="N31" s="8" t="str">
        <x:f>IF(B31="","",IF(M31="Mapped",_xlfn.XLOOKUP(A31&amp;"|"&amp;K31,'SOW caps'!$N$7:$N$36,'SOW caps'!$E$7:$E$36,""),IF(ISNUMBER('SOW caps'!$B$3),'SOW caps'!$B$3,"")))</x:f>
      </x:c>
      <x:c r="O31" s="8" t="str">
        <x:f>IF(AND(ISNUMBER(X31),ISNUMBER(N31),N31&gt;=0),X31*N31,"")</x:f>
      </x:c>
      <x:c r="P31" s="3"/>
      <x:c r="Q31" s="3"/>
      <x:c r="R31" s="3"/>
      <x:c r="S31" s="3"/>
      <x:c r="T31" s="3"/>
      <x:c r="U31" s="8" t="str">
        <x:f>IF(M31="Mapped",IF(OR(_xlfn.XLOOKUP(A31&amp;"|"&amp;K31,'SOW caps'!$N$7:$N$36,'SOW caps'!$M$7:$M$36,"")="Ready",_xlfn.XLOOKUP(A31&amp;"|"&amp;K31,'SOW caps'!$N$7:$N$36,'SOW caps'!$M$7:$M$36,"")="No hours"),_xlfn.XLOOKUP(A31&amp;"|"&amp;K31,'SOW caps'!$N$7:$N$36,'SOW caps'!$O$7:$O$36,""),""),"")</x:f>
      </x:c>
      <x:c r="V31" s="8" t="str">
        <x:f>IF(AND(ISNUMBER(U31),ISNUMBER(X31)),ROUND(SUMIFS($X$7:X31,$A$7:A31,A31,$K$7:K31,K31,$M$7:M31,"Mapped")*U31,2)-ROUND((SUMIFS($X$7:X31,$A$7:A31,A31,$K$7:K31,K31,$M$7:M31,"Mapped")-X31)*U31,2),"")</x:f>
      </x:c>
      <x:c r="W31" s="1" t="str">
        <x:f>IF(B31="","",IF(OR(NOT(ISNUMBER(I31)),I31&lt;0),"Invalid hours",IF(NOT(ISNUMBER(R31)),"Manual hours",IF(ROUND(I31*3600000,0)=R31,"Source hours","Adjusted hours"))))</x:f>
      </x:c>
      <x:c r="X31" s="10" t="str">
        <x:f>IF(B31="","",IF(AND(ISNUMBER(I31),I31&gt;=0,Q31="In period"),I31,""))</x:f>
      </x:c>
    </x:row>
    <x:row r="32" ht="23" customHeight="1">
      <x:c r="A32" s="3"/>
      <x:c r="B32" s="3"/>
      <x:c r="C32" s="3"/>
      <x:c r="D32" s="3"/>
      <x:c r="E32" s="3"/>
      <x:c r="F32" s="3"/>
      <x:c r="G32" s="3"/>
      <x:c r="H32" s="3"/>
      <x:c r="I32" s="9"/>
      <x:c r="J32" s="3"/>
      <x:c r="K32" s="3"/>
      <x:c r="L32" s="3"/>
      <x:c r="M32" s="1" t="str">
        <x:f>IF(B32="","",IF(W32="Invalid hours","Invalid hours",IF(NOT(ISNUMBER(X32)),"Excluded",IF(AND(J32&lt;&gt;"",K32&lt;&gt;"",L32&lt;&gt;"",COUNTIF('SOW caps'!$N$7:$N$36,A32&amp;"|"&amp;K32)=1),"Mapped","Needs allocation"))))</x:f>
      </x:c>
      <x:c r="N32" s="8" t="str">
        <x:f>IF(B32="","",IF(M32="Mapped",_xlfn.XLOOKUP(A32&amp;"|"&amp;K32,'SOW caps'!$N$7:$N$36,'SOW caps'!$E$7:$E$36,""),IF(ISNUMBER('SOW caps'!$B$3),'SOW caps'!$B$3,"")))</x:f>
      </x:c>
      <x:c r="O32" s="8" t="str">
        <x:f>IF(AND(ISNUMBER(X32),ISNUMBER(N32),N32&gt;=0),X32*N32,"")</x:f>
      </x:c>
      <x:c r="P32" s="3"/>
      <x:c r="Q32" s="3"/>
      <x:c r="R32" s="3"/>
      <x:c r="S32" s="3"/>
      <x:c r="T32" s="3"/>
      <x:c r="U32" s="8" t="str">
        <x:f>IF(M32="Mapped",IF(OR(_xlfn.XLOOKUP(A32&amp;"|"&amp;K32,'SOW caps'!$N$7:$N$36,'SOW caps'!$M$7:$M$36,"")="Ready",_xlfn.XLOOKUP(A32&amp;"|"&amp;K32,'SOW caps'!$N$7:$N$36,'SOW caps'!$M$7:$M$36,"")="No hours"),_xlfn.XLOOKUP(A32&amp;"|"&amp;K32,'SOW caps'!$N$7:$N$36,'SOW caps'!$O$7:$O$36,""),""),"")</x:f>
      </x:c>
      <x:c r="V32" s="8" t="str">
        <x:f>IF(AND(ISNUMBER(U32),ISNUMBER(X32)),ROUND(SUMIFS($X$7:X32,$A$7:A32,A32,$K$7:K32,K32,$M$7:M32,"Mapped")*U32,2)-ROUND((SUMIFS($X$7:X32,$A$7:A32,A32,$K$7:K32,K32,$M$7:M32,"Mapped")-X32)*U32,2),"")</x:f>
      </x:c>
      <x:c r="W32" s="1" t="str">
        <x:f>IF(B32="","",IF(OR(NOT(ISNUMBER(I32)),I32&lt;0),"Invalid hours",IF(NOT(ISNUMBER(R32)),"Manual hours",IF(ROUND(I32*3600000,0)=R32,"Source hours","Adjusted hours"))))</x:f>
      </x:c>
      <x:c r="X32" s="10" t="str">
        <x:f>IF(B32="","",IF(AND(ISNUMBER(I32),I32&gt;=0,Q32="In period"),I32,""))</x:f>
      </x:c>
    </x:row>
    <x:row r="33" ht="23" customHeight="1">
      <x:c r="A33" s="3"/>
      <x:c r="B33" s="3"/>
      <x:c r="C33" s="3"/>
      <x:c r="D33" s="3"/>
      <x:c r="E33" s="3"/>
      <x:c r="F33" s="3"/>
      <x:c r="G33" s="3"/>
      <x:c r="H33" s="3"/>
      <x:c r="I33" s="9"/>
      <x:c r="J33" s="3"/>
      <x:c r="K33" s="3"/>
      <x:c r="L33" s="3"/>
      <x:c r="M33" s="1" t="str">
        <x:f>IF(B33="","",IF(W33="Invalid hours","Invalid hours",IF(NOT(ISNUMBER(X33)),"Excluded",IF(AND(J33&lt;&gt;"",K33&lt;&gt;"",L33&lt;&gt;"",COUNTIF('SOW caps'!$N$7:$N$36,A33&amp;"|"&amp;K33)=1),"Mapped","Needs allocation"))))</x:f>
      </x:c>
      <x:c r="N33" s="8" t="str">
        <x:f>IF(B33="","",IF(M33="Mapped",_xlfn.XLOOKUP(A33&amp;"|"&amp;K33,'SOW caps'!$N$7:$N$36,'SOW caps'!$E$7:$E$36,""),IF(ISNUMBER('SOW caps'!$B$3),'SOW caps'!$B$3,"")))</x:f>
      </x:c>
      <x:c r="O33" s="8" t="str">
        <x:f>IF(AND(ISNUMBER(X33),ISNUMBER(N33),N33&gt;=0),X33*N33,"")</x:f>
      </x:c>
      <x:c r="P33" s="3"/>
      <x:c r="Q33" s="3"/>
      <x:c r="R33" s="3"/>
      <x:c r="S33" s="3"/>
      <x:c r="T33" s="3"/>
      <x:c r="U33" s="8" t="str">
        <x:f>IF(M33="Mapped",IF(OR(_xlfn.XLOOKUP(A33&amp;"|"&amp;K33,'SOW caps'!$N$7:$N$36,'SOW caps'!$M$7:$M$36,"")="Ready",_xlfn.XLOOKUP(A33&amp;"|"&amp;K33,'SOW caps'!$N$7:$N$36,'SOW caps'!$M$7:$M$36,"")="No hours"),_xlfn.XLOOKUP(A33&amp;"|"&amp;K33,'SOW caps'!$N$7:$N$36,'SOW caps'!$O$7:$O$36,""),""),"")</x:f>
      </x:c>
      <x:c r="V33" s="8" t="str">
        <x:f>IF(AND(ISNUMBER(U33),ISNUMBER(X33)),ROUND(SUMIFS($X$7:X33,$A$7:A33,A33,$K$7:K33,K33,$M$7:M33,"Mapped")*U33,2)-ROUND((SUMIFS($X$7:X33,$A$7:A33,A33,$K$7:K33,K33,$M$7:M33,"Mapped")-X33)*U33,2),"")</x:f>
      </x:c>
      <x:c r="W33" s="1" t="str">
        <x:f>IF(B33="","",IF(OR(NOT(ISNUMBER(I33)),I33&lt;0),"Invalid hours",IF(NOT(ISNUMBER(R33)),"Manual hours",IF(ROUND(I33*3600000,0)=R33,"Source hours","Adjusted hours"))))</x:f>
      </x:c>
      <x:c r="X33" s="10" t="str">
        <x:f>IF(B33="","",IF(AND(ISNUMBER(I33),I33&gt;=0,Q33="In period"),I33,""))</x:f>
      </x:c>
    </x:row>
    <x:row r="34" ht="23" customHeight="1">
      <x:c r="A34" s="3"/>
      <x:c r="B34" s="3"/>
      <x:c r="C34" s="3"/>
      <x:c r="D34" s="3"/>
      <x:c r="E34" s="3"/>
      <x:c r="F34" s="3"/>
      <x:c r="G34" s="3"/>
      <x:c r="H34" s="3"/>
      <x:c r="I34" s="9"/>
      <x:c r="J34" s="3"/>
      <x:c r="K34" s="3"/>
      <x:c r="L34" s="3"/>
      <x:c r="M34" s="1" t="str">
        <x:f>IF(B34="","",IF(W34="Invalid hours","Invalid hours",IF(NOT(ISNUMBER(X34)),"Excluded",IF(AND(J34&lt;&gt;"",K34&lt;&gt;"",L34&lt;&gt;"",COUNTIF('SOW caps'!$N$7:$N$36,A34&amp;"|"&amp;K34)=1),"Mapped","Needs allocation"))))</x:f>
      </x:c>
      <x:c r="N34" s="8" t="str">
        <x:f>IF(B34="","",IF(M34="Mapped",_xlfn.XLOOKUP(A34&amp;"|"&amp;K34,'SOW caps'!$N$7:$N$36,'SOW caps'!$E$7:$E$36,""),IF(ISNUMBER('SOW caps'!$B$3),'SOW caps'!$B$3,"")))</x:f>
      </x:c>
      <x:c r="O34" s="8" t="str">
        <x:f>IF(AND(ISNUMBER(X34),ISNUMBER(N34),N34&gt;=0),X34*N34,"")</x:f>
      </x:c>
      <x:c r="P34" s="3"/>
      <x:c r="Q34" s="3"/>
      <x:c r="R34" s="3"/>
      <x:c r="S34" s="3"/>
      <x:c r="T34" s="3"/>
      <x:c r="U34" s="8" t="str">
        <x:f>IF(M34="Mapped",IF(OR(_xlfn.XLOOKUP(A34&amp;"|"&amp;K34,'SOW caps'!$N$7:$N$36,'SOW caps'!$M$7:$M$36,"")="Ready",_xlfn.XLOOKUP(A34&amp;"|"&amp;K34,'SOW caps'!$N$7:$N$36,'SOW caps'!$M$7:$M$36,"")="No hours"),_xlfn.XLOOKUP(A34&amp;"|"&amp;K34,'SOW caps'!$N$7:$N$36,'SOW caps'!$O$7:$O$36,""),""),"")</x:f>
      </x:c>
      <x:c r="V34" s="8" t="str">
        <x:f>IF(AND(ISNUMBER(U34),ISNUMBER(X34)),ROUND(SUMIFS($X$7:X34,$A$7:A34,A34,$K$7:K34,K34,$M$7:M34,"Mapped")*U34,2)-ROUND((SUMIFS($X$7:X34,$A$7:A34,A34,$K$7:K34,K34,$M$7:M34,"Mapped")-X34)*U34,2),"")</x:f>
      </x:c>
      <x:c r="W34" s="1" t="str">
        <x:f>IF(B34="","",IF(OR(NOT(ISNUMBER(I34)),I34&lt;0),"Invalid hours",IF(NOT(ISNUMBER(R34)),"Manual hours",IF(ROUND(I34*3600000,0)=R34,"Source hours","Adjusted hours"))))</x:f>
      </x:c>
      <x:c r="X34" s="10" t="str">
        <x:f>IF(B34="","",IF(AND(ISNUMBER(I34),I34&gt;=0,Q34="In period"),I34,""))</x:f>
      </x:c>
    </x:row>
    <x:row r="35" ht="23" customHeight="1">
      <x:c r="A35" s="3"/>
      <x:c r="B35" s="3"/>
      <x:c r="C35" s="3"/>
      <x:c r="D35" s="3"/>
      <x:c r="E35" s="3"/>
      <x:c r="F35" s="3"/>
      <x:c r="G35" s="3"/>
      <x:c r="H35" s="3"/>
      <x:c r="I35" s="9"/>
      <x:c r="J35" s="3"/>
      <x:c r="K35" s="3"/>
      <x:c r="L35" s="3"/>
      <x:c r="M35" s="1" t="str">
        <x:f>IF(B35="","",IF(W35="Invalid hours","Invalid hours",IF(NOT(ISNUMBER(X35)),"Excluded",IF(AND(J35&lt;&gt;"",K35&lt;&gt;"",L35&lt;&gt;"",COUNTIF('SOW caps'!$N$7:$N$36,A35&amp;"|"&amp;K35)=1),"Mapped","Needs allocation"))))</x:f>
      </x:c>
      <x:c r="N35" s="8" t="str">
        <x:f>IF(B35="","",IF(M35="Mapped",_xlfn.XLOOKUP(A35&amp;"|"&amp;K35,'SOW caps'!$N$7:$N$36,'SOW caps'!$E$7:$E$36,""),IF(ISNUMBER('SOW caps'!$B$3),'SOW caps'!$B$3,"")))</x:f>
      </x:c>
      <x:c r="O35" s="8" t="str">
        <x:f>IF(AND(ISNUMBER(X35),ISNUMBER(N35),N35&gt;=0),X35*N35,"")</x:f>
      </x:c>
      <x:c r="P35" s="3"/>
      <x:c r="Q35" s="3"/>
      <x:c r="R35" s="3"/>
      <x:c r="S35" s="3"/>
      <x:c r="T35" s="3"/>
      <x:c r="U35" s="8" t="str">
        <x:f>IF(M35="Mapped",IF(OR(_xlfn.XLOOKUP(A35&amp;"|"&amp;K35,'SOW caps'!$N$7:$N$36,'SOW caps'!$M$7:$M$36,"")="Ready",_xlfn.XLOOKUP(A35&amp;"|"&amp;K35,'SOW caps'!$N$7:$N$36,'SOW caps'!$M$7:$M$36,"")="No hours"),_xlfn.XLOOKUP(A35&amp;"|"&amp;K35,'SOW caps'!$N$7:$N$36,'SOW caps'!$O$7:$O$36,""),""),"")</x:f>
      </x:c>
      <x:c r="V35" s="8" t="str">
        <x:f>IF(AND(ISNUMBER(U35),ISNUMBER(X35)),ROUND(SUMIFS($X$7:X35,$A$7:A35,A35,$K$7:K35,K35,$M$7:M35,"Mapped")*U35,2)-ROUND((SUMIFS($X$7:X35,$A$7:A35,A35,$K$7:K35,K35,$M$7:M35,"Mapped")-X35)*U35,2),"")</x:f>
      </x:c>
      <x:c r="W35" s="1" t="str">
        <x:f>IF(B35="","",IF(OR(NOT(ISNUMBER(I35)),I35&lt;0),"Invalid hours",IF(NOT(ISNUMBER(R35)),"Manual hours",IF(ROUND(I35*3600000,0)=R35,"Source hours","Adjusted hours"))))</x:f>
      </x:c>
      <x:c r="X35" s="10" t="str">
        <x:f>IF(B35="","",IF(AND(ISNUMBER(I35),I35&gt;=0,Q35="In period"),I35,""))</x:f>
      </x:c>
    </x:row>
    <x:row r="36" ht="23" customHeight="1">
      <x:c r="A36" s="3"/>
      <x:c r="B36" s="3"/>
      <x:c r="C36" s="3"/>
      <x:c r="D36" s="3"/>
      <x:c r="E36" s="3"/>
      <x:c r="F36" s="3"/>
      <x:c r="G36" s="3"/>
      <x:c r="H36" s="3"/>
      <x:c r="I36" s="9"/>
      <x:c r="J36" s="3"/>
      <x:c r="K36" s="3"/>
      <x:c r="L36" s="3"/>
      <x:c r="M36" s="1" t="str">
        <x:f>IF(B36="","",IF(W36="Invalid hours","Invalid hours",IF(NOT(ISNUMBER(X36)),"Excluded",IF(AND(J36&lt;&gt;"",K36&lt;&gt;"",L36&lt;&gt;"",COUNTIF('SOW caps'!$N$7:$N$36,A36&amp;"|"&amp;K36)=1),"Mapped","Needs allocation"))))</x:f>
      </x:c>
      <x:c r="N36" s="8" t="str">
        <x:f>IF(B36="","",IF(M36="Mapped",_xlfn.XLOOKUP(A36&amp;"|"&amp;K36,'SOW caps'!$N$7:$N$36,'SOW caps'!$E$7:$E$36,""),IF(ISNUMBER('SOW caps'!$B$3),'SOW caps'!$B$3,"")))</x:f>
      </x:c>
      <x:c r="O36" s="8" t="str">
        <x:f>IF(AND(ISNUMBER(X36),ISNUMBER(N36),N36&gt;=0),X36*N36,"")</x:f>
      </x:c>
      <x:c r="P36" s="3"/>
      <x:c r="Q36" s="3"/>
      <x:c r="R36" s="3"/>
      <x:c r="S36" s="3"/>
      <x:c r="T36" s="3"/>
      <x:c r="U36" s="8" t="str">
        <x:f>IF(M36="Mapped",IF(OR(_xlfn.XLOOKUP(A36&amp;"|"&amp;K36,'SOW caps'!$N$7:$N$36,'SOW caps'!$M$7:$M$36,"")="Ready",_xlfn.XLOOKUP(A36&amp;"|"&amp;K36,'SOW caps'!$N$7:$N$36,'SOW caps'!$M$7:$M$36,"")="No hours"),_xlfn.XLOOKUP(A36&amp;"|"&amp;K36,'SOW caps'!$N$7:$N$36,'SOW caps'!$O$7:$O$36,""),""),"")</x:f>
      </x:c>
      <x:c r="V36" s="8" t="str">
        <x:f>IF(AND(ISNUMBER(U36),ISNUMBER(X36)),ROUND(SUMIFS($X$7:X36,$A$7:A36,A36,$K$7:K36,K36,$M$7:M36,"Mapped")*U36,2)-ROUND((SUMIFS($X$7:X36,$A$7:A36,A36,$K$7:K36,K36,$M$7:M36,"Mapped")-X36)*U36,2),"")</x:f>
      </x:c>
      <x:c r="W36" s="1" t="str">
        <x:f>IF(B36="","",IF(OR(NOT(ISNUMBER(I36)),I36&lt;0),"Invalid hours",IF(NOT(ISNUMBER(R36)),"Manual hours",IF(ROUND(I36*3600000,0)=R36,"Source hours","Adjusted hours"))))</x:f>
      </x:c>
      <x:c r="X36" s="10" t="str">
        <x:f>IF(B36="","",IF(AND(ISNUMBER(I36),I36&gt;=0,Q36="In period"),I36,""))</x:f>
      </x:c>
    </x:row>
    <x:row r="37" ht="23" customHeight="1">
      <x:c r="A37" s="3"/>
      <x:c r="B37" s="3"/>
      <x:c r="C37" s="3"/>
      <x:c r="D37" s="3"/>
      <x:c r="E37" s="3"/>
      <x:c r="F37" s="3"/>
      <x:c r="G37" s="3"/>
      <x:c r="H37" s="3"/>
      <x:c r="I37" s="9"/>
      <x:c r="J37" s="3"/>
      <x:c r="K37" s="3"/>
      <x:c r="L37" s="3"/>
      <x:c r="M37" s="1" t="str">
        <x:f>IF(B37="","",IF(W37="Invalid hours","Invalid hours",IF(NOT(ISNUMBER(X37)),"Excluded",IF(AND(J37&lt;&gt;"",K37&lt;&gt;"",L37&lt;&gt;"",COUNTIF('SOW caps'!$N$7:$N$36,A37&amp;"|"&amp;K37)=1),"Mapped","Needs allocation"))))</x:f>
      </x:c>
      <x:c r="N37" s="8" t="str">
        <x:f>IF(B37="","",IF(M37="Mapped",_xlfn.XLOOKUP(A37&amp;"|"&amp;K37,'SOW caps'!$N$7:$N$36,'SOW caps'!$E$7:$E$36,""),IF(ISNUMBER('SOW caps'!$B$3),'SOW caps'!$B$3,"")))</x:f>
      </x:c>
      <x:c r="O37" s="8" t="str">
        <x:f>IF(AND(ISNUMBER(X37),ISNUMBER(N37),N37&gt;=0),X37*N37,"")</x:f>
      </x:c>
      <x:c r="P37" s="3"/>
      <x:c r="Q37" s="3"/>
      <x:c r="R37" s="3"/>
      <x:c r="S37" s="3"/>
      <x:c r="T37" s="3"/>
      <x:c r="U37" s="8" t="str">
        <x:f>IF(M37="Mapped",IF(OR(_xlfn.XLOOKUP(A37&amp;"|"&amp;K37,'SOW caps'!$N$7:$N$36,'SOW caps'!$M$7:$M$36,"")="Ready",_xlfn.XLOOKUP(A37&amp;"|"&amp;K37,'SOW caps'!$N$7:$N$36,'SOW caps'!$M$7:$M$36,"")="No hours"),_xlfn.XLOOKUP(A37&amp;"|"&amp;K37,'SOW caps'!$N$7:$N$36,'SOW caps'!$O$7:$O$36,""),""),"")</x:f>
      </x:c>
      <x:c r="V37" s="8" t="str">
        <x:f>IF(AND(ISNUMBER(U37),ISNUMBER(X37)),ROUND(SUMIFS($X$7:X37,$A$7:A37,A37,$K$7:K37,K37,$M$7:M37,"Mapped")*U37,2)-ROUND((SUMIFS($X$7:X37,$A$7:A37,A37,$K$7:K37,K37,$M$7:M37,"Mapped")-X37)*U37,2),"")</x:f>
      </x:c>
      <x:c r="W37" s="1" t="str">
        <x:f>IF(B37="","",IF(OR(NOT(ISNUMBER(I37)),I37&lt;0),"Invalid hours",IF(NOT(ISNUMBER(R37)),"Manual hours",IF(ROUND(I37*3600000,0)=R37,"Source hours","Adjusted hours"))))</x:f>
      </x:c>
      <x:c r="X37" s="10" t="str">
        <x:f>IF(B37="","",IF(AND(ISNUMBER(I37),I37&gt;=0,Q37="In period"),I37,""))</x:f>
      </x:c>
    </x:row>
    <x:row r="38" ht="23" customHeight="1">
      <x:c r="A38" s="3"/>
      <x:c r="B38" s="3"/>
      <x:c r="C38" s="3"/>
      <x:c r="D38" s="3"/>
      <x:c r="E38" s="3"/>
      <x:c r="F38" s="3"/>
      <x:c r="G38" s="3"/>
      <x:c r="H38" s="3"/>
      <x:c r="I38" s="9"/>
      <x:c r="J38" s="3"/>
      <x:c r="K38" s="3"/>
      <x:c r="L38" s="3"/>
      <x:c r="M38" s="1" t="str">
        <x:f>IF(B38="","",IF(W38="Invalid hours","Invalid hours",IF(NOT(ISNUMBER(X38)),"Excluded",IF(AND(J38&lt;&gt;"",K38&lt;&gt;"",L38&lt;&gt;"",COUNTIF('SOW caps'!$N$7:$N$36,A38&amp;"|"&amp;K38)=1),"Mapped","Needs allocation"))))</x:f>
      </x:c>
      <x:c r="N38" s="8" t="str">
        <x:f>IF(B38="","",IF(M38="Mapped",_xlfn.XLOOKUP(A38&amp;"|"&amp;K38,'SOW caps'!$N$7:$N$36,'SOW caps'!$E$7:$E$36,""),IF(ISNUMBER('SOW caps'!$B$3),'SOW caps'!$B$3,"")))</x:f>
      </x:c>
      <x:c r="O38" s="8" t="str">
        <x:f>IF(AND(ISNUMBER(X38),ISNUMBER(N38),N38&gt;=0),X38*N38,"")</x:f>
      </x:c>
      <x:c r="P38" s="3"/>
      <x:c r="Q38" s="3"/>
      <x:c r="R38" s="3"/>
      <x:c r="S38" s="3"/>
      <x:c r="T38" s="3"/>
      <x:c r="U38" s="8" t="str">
        <x:f>IF(M38="Mapped",IF(OR(_xlfn.XLOOKUP(A38&amp;"|"&amp;K38,'SOW caps'!$N$7:$N$36,'SOW caps'!$M$7:$M$36,"")="Ready",_xlfn.XLOOKUP(A38&amp;"|"&amp;K38,'SOW caps'!$N$7:$N$36,'SOW caps'!$M$7:$M$36,"")="No hours"),_xlfn.XLOOKUP(A38&amp;"|"&amp;K38,'SOW caps'!$N$7:$N$36,'SOW caps'!$O$7:$O$36,""),""),"")</x:f>
      </x:c>
      <x:c r="V38" s="8" t="str">
        <x:f>IF(AND(ISNUMBER(U38),ISNUMBER(X38)),ROUND(SUMIFS($X$7:X38,$A$7:A38,A38,$K$7:K38,K38,$M$7:M38,"Mapped")*U38,2)-ROUND((SUMIFS($X$7:X38,$A$7:A38,A38,$K$7:K38,K38,$M$7:M38,"Mapped")-X38)*U38,2),"")</x:f>
      </x:c>
      <x:c r="W38" s="1" t="str">
        <x:f>IF(B38="","",IF(OR(NOT(ISNUMBER(I38)),I38&lt;0),"Invalid hours",IF(NOT(ISNUMBER(R38)),"Manual hours",IF(ROUND(I38*3600000,0)=R38,"Source hours","Adjusted hours"))))</x:f>
      </x:c>
      <x:c r="X38" s="10" t="str">
        <x:f>IF(B38="","",IF(AND(ISNUMBER(I38),I38&gt;=0,Q38="In period"),I38,""))</x:f>
      </x:c>
    </x:row>
    <x:row r="39" ht="23" customHeight="1">
      <x:c r="A39" s="3"/>
      <x:c r="B39" s="3"/>
      <x:c r="C39" s="3"/>
      <x:c r="D39" s="3"/>
      <x:c r="E39" s="3"/>
      <x:c r="F39" s="3"/>
      <x:c r="G39" s="3"/>
      <x:c r="H39" s="3"/>
      <x:c r="I39" s="9"/>
      <x:c r="J39" s="3"/>
      <x:c r="K39" s="3"/>
      <x:c r="L39" s="3"/>
      <x:c r="M39" s="1" t="str">
        <x:f>IF(B39="","",IF(W39="Invalid hours","Invalid hours",IF(NOT(ISNUMBER(X39)),"Excluded",IF(AND(J39&lt;&gt;"",K39&lt;&gt;"",L39&lt;&gt;"",COUNTIF('SOW caps'!$N$7:$N$36,A39&amp;"|"&amp;K39)=1),"Mapped","Needs allocation"))))</x:f>
      </x:c>
      <x:c r="N39" s="8" t="str">
        <x:f>IF(B39="","",IF(M39="Mapped",_xlfn.XLOOKUP(A39&amp;"|"&amp;K39,'SOW caps'!$N$7:$N$36,'SOW caps'!$E$7:$E$36,""),IF(ISNUMBER('SOW caps'!$B$3),'SOW caps'!$B$3,"")))</x:f>
      </x:c>
      <x:c r="O39" s="8" t="str">
        <x:f>IF(AND(ISNUMBER(X39),ISNUMBER(N39),N39&gt;=0),X39*N39,"")</x:f>
      </x:c>
      <x:c r="P39" s="3"/>
      <x:c r="Q39" s="3"/>
      <x:c r="R39" s="3"/>
      <x:c r="S39" s="3"/>
      <x:c r="T39" s="3"/>
      <x:c r="U39" s="8" t="str">
        <x:f>IF(M39="Mapped",IF(OR(_xlfn.XLOOKUP(A39&amp;"|"&amp;K39,'SOW caps'!$N$7:$N$36,'SOW caps'!$M$7:$M$36,"")="Ready",_xlfn.XLOOKUP(A39&amp;"|"&amp;K39,'SOW caps'!$N$7:$N$36,'SOW caps'!$M$7:$M$36,"")="No hours"),_xlfn.XLOOKUP(A39&amp;"|"&amp;K39,'SOW caps'!$N$7:$N$36,'SOW caps'!$O$7:$O$36,""),""),"")</x:f>
      </x:c>
      <x:c r="V39" s="8" t="str">
        <x:f>IF(AND(ISNUMBER(U39),ISNUMBER(X39)),ROUND(SUMIFS($X$7:X39,$A$7:A39,A39,$K$7:K39,K39,$M$7:M39,"Mapped")*U39,2)-ROUND((SUMIFS($X$7:X39,$A$7:A39,A39,$K$7:K39,K39,$M$7:M39,"Mapped")-X39)*U39,2),"")</x:f>
      </x:c>
      <x:c r="W39" s="1" t="str">
        <x:f>IF(B39="","",IF(OR(NOT(ISNUMBER(I39)),I39&lt;0),"Invalid hours",IF(NOT(ISNUMBER(R39)),"Manual hours",IF(ROUND(I39*3600000,0)=R39,"Source hours","Adjusted hours"))))</x:f>
      </x:c>
      <x:c r="X39" s="10" t="str">
        <x:f>IF(B39="","",IF(AND(ISNUMBER(I39),I39&gt;=0,Q39="In period"),I39,""))</x:f>
      </x:c>
    </x:row>
    <x:row r="40" ht="23" customHeight="1">
      <x:c r="A40" s="3"/>
      <x:c r="B40" s="3"/>
      <x:c r="C40" s="3"/>
      <x:c r="D40" s="3"/>
      <x:c r="E40" s="3"/>
      <x:c r="F40" s="3"/>
      <x:c r="G40" s="3"/>
      <x:c r="H40" s="3"/>
      <x:c r="I40" s="9"/>
      <x:c r="J40" s="3"/>
      <x:c r="K40" s="3"/>
      <x:c r="L40" s="3"/>
      <x:c r="M40" s="1" t="str">
        <x:f>IF(B40="","",IF(W40="Invalid hours","Invalid hours",IF(NOT(ISNUMBER(X40)),"Excluded",IF(AND(J40&lt;&gt;"",K40&lt;&gt;"",L40&lt;&gt;"",COUNTIF('SOW caps'!$N$7:$N$36,A40&amp;"|"&amp;K40)=1),"Mapped","Needs allocation"))))</x:f>
      </x:c>
      <x:c r="N40" s="8" t="str">
        <x:f>IF(B40="","",IF(M40="Mapped",_xlfn.XLOOKUP(A40&amp;"|"&amp;K40,'SOW caps'!$N$7:$N$36,'SOW caps'!$E$7:$E$36,""),IF(ISNUMBER('SOW caps'!$B$3),'SOW caps'!$B$3,"")))</x:f>
      </x:c>
      <x:c r="O40" s="8" t="str">
        <x:f>IF(AND(ISNUMBER(X40),ISNUMBER(N40),N40&gt;=0),X40*N40,"")</x:f>
      </x:c>
      <x:c r="P40" s="3"/>
      <x:c r="Q40" s="3"/>
      <x:c r="R40" s="3"/>
      <x:c r="S40" s="3"/>
      <x:c r="T40" s="3"/>
      <x:c r="U40" s="8" t="str">
        <x:f>IF(M40="Mapped",IF(OR(_xlfn.XLOOKUP(A40&amp;"|"&amp;K40,'SOW caps'!$N$7:$N$36,'SOW caps'!$M$7:$M$36,"")="Ready",_xlfn.XLOOKUP(A40&amp;"|"&amp;K40,'SOW caps'!$N$7:$N$36,'SOW caps'!$M$7:$M$36,"")="No hours"),_xlfn.XLOOKUP(A40&amp;"|"&amp;K40,'SOW caps'!$N$7:$N$36,'SOW caps'!$O$7:$O$36,""),""),"")</x:f>
      </x:c>
      <x:c r="V40" s="8" t="str">
        <x:f>IF(AND(ISNUMBER(U40),ISNUMBER(X40)),ROUND(SUMIFS($X$7:X40,$A$7:A40,A40,$K$7:K40,K40,$M$7:M40,"Mapped")*U40,2)-ROUND((SUMIFS($X$7:X40,$A$7:A40,A40,$K$7:K40,K40,$M$7:M40,"Mapped")-X40)*U40,2),"")</x:f>
      </x:c>
      <x:c r="W40" s="1" t="str">
        <x:f>IF(B40="","",IF(OR(NOT(ISNUMBER(I40)),I40&lt;0),"Invalid hours",IF(NOT(ISNUMBER(R40)),"Manual hours",IF(ROUND(I40*3600000,0)=R40,"Source hours","Adjusted hours"))))</x:f>
      </x:c>
      <x:c r="X40" s="10" t="str">
        <x:f>IF(B40="","",IF(AND(ISNUMBER(I40),I40&gt;=0,Q40="In period"),I40,""))</x:f>
      </x:c>
    </x:row>
    <x:row r="41" ht="23" customHeight="1">
      <x:c r="A41" s="3"/>
      <x:c r="B41" s="3"/>
      <x:c r="C41" s="3"/>
      <x:c r="D41" s="3"/>
      <x:c r="E41" s="3"/>
      <x:c r="F41" s="3"/>
      <x:c r="G41" s="3"/>
      <x:c r="H41" s="3"/>
      <x:c r="I41" s="9"/>
      <x:c r="J41" s="3"/>
      <x:c r="K41" s="3"/>
      <x:c r="L41" s="3"/>
      <x:c r="M41" s="1" t="str">
        <x:f>IF(B41="","",IF(W41="Invalid hours","Invalid hours",IF(NOT(ISNUMBER(X41)),"Excluded",IF(AND(J41&lt;&gt;"",K41&lt;&gt;"",L41&lt;&gt;"",COUNTIF('SOW caps'!$N$7:$N$36,A41&amp;"|"&amp;K41)=1),"Mapped","Needs allocation"))))</x:f>
      </x:c>
      <x:c r="N41" s="8" t="str">
        <x:f>IF(B41="","",IF(M41="Mapped",_xlfn.XLOOKUP(A41&amp;"|"&amp;K41,'SOW caps'!$N$7:$N$36,'SOW caps'!$E$7:$E$36,""),IF(ISNUMBER('SOW caps'!$B$3),'SOW caps'!$B$3,"")))</x:f>
      </x:c>
      <x:c r="O41" s="8" t="str">
        <x:f>IF(AND(ISNUMBER(X41),ISNUMBER(N41),N41&gt;=0),X41*N41,"")</x:f>
      </x:c>
      <x:c r="P41" s="3"/>
      <x:c r="Q41" s="3"/>
      <x:c r="R41" s="3"/>
      <x:c r="S41" s="3"/>
      <x:c r="T41" s="3"/>
      <x:c r="U41" s="8" t="str">
        <x:f>IF(M41="Mapped",IF(OR(_xlfn.XLOOKUP(A41&amp;"|"&amp;K41,'SOW caps'!$N$7:$N$36,'SOW caps'!$M$7:$M$36,"")="Ready",_xlfn.XLOOKUP(A41&amp;"|"&amp;K41,'SOW caps'!$N$7:$N$36,'SOW caps'!$M$7:$M$36,"")="No hours"),_xlfn.XLOOKUP(A41&amp;"|"&amp;K41,'SOW caps'!$N$7:$N$36,'SOW caps'!$O$7:$O$36,""),""),"")</x:f>
      </x:c>
      <x:c r="V41" s="8" t="str">
        <x:f>IF(AND(ISNUMBER(U41),ISNUMBER(X41)),ROUND(SUMIFS($X$7:X41,$A$7:A41,A41,$K$7:K41,K41,$M$7:M41,"Mapped")*U41,2)-ROUND((SUMIFS($X$7:X41,$A$7:A41,A41,$K$7:K41,K41,$M$7:M41,"Mapped")-X41)*U41,2),"")</x:f>
      </x:c>
      <x:c r="W41" s="1" t="str">
        <x:f>IF(B41="","",IF(OR(NOT(ISNUMBER(I41)),I41&lt;0),"Invalid hours",IF(NOT(ISNUMBER(R41)),"Manual hours",IF(ROUND(I41*3600000,0)=R41,"Source hours","Adjusted hours"))))</x:f>
      </x:c>
      <x:c r="X41" s="10" t="str">
        <x:f>IF(B41="","",IF(AND(ISNUMBER(I41),I41&gt;=0,Q41="In period"),I41,""))</x:f>
      </x:c>
    </x:row>
    <x:row r="42" ht="23" customHeight="1">
      <x:c r="A42" s="3"/>
      <x:c r="B42" s="3"/>
      <x:c r="C42" s="3"/>
      <x:c r="D42" s="3"/>
      <x:c r="E42" s="3"/>
      <x:c r="F42" s="3"/>
      <x:c r="G42" s="3"/>
      <x:c r="H42" s="3"/>
      <x:c r="I42" s="9"/>
      <x:c r="J42" s="3"/>
      <x:c r="K42" s="3"/>
      <x:c r="L42" s="3"/>
      <x:c r="M42" s="1" t="str">
        <x:f>IF(B42="","",IF(W42="Invalid hours","Invalid hours",IF(NOT(ISNUMBER(X42)),"Excluded",IF(AND(J42&lt;&gt;"",K42&lt;&gt;"",L42&lt;&gt;"",COUNTIF('SOW caps'!$N$7:$N$36,A42&amp;"|"&amp;K42)=1),"Mapped","Needs allocation"))))</x:f>
      </x:c>
      <x:c r="N42" s="8" t="str">
        <x:f>IF(B42="","",IF(M42="Mapped",_xlfn.XLOOKUP(A42&amp;"|"&amp;K42,'SOW caps'!$N$7:$N$36,'SOW caps'!$E$7:$E$36,""),IF(ISNUMBER('SOW caps'!$B$3),'SOW caps'!$B$3,"")))</x:f>
      </x:c>
      <x:c r="O42" s="8" t="str">
        <x:f>IF(AND(ISNUMBER(X42),ISNUMBER(N42),N42&gt;=0),X42*N42,"")</x:f>
      </x:c>
      <x:c r="P42" s="3"/>
      <x:c r="Q42" s="3"/>
      <x:c r="R42" s="3"/>
      <x:c r="S42" s="3"/>
      <x:c r="T42" s="3"/>
      <x:c r="U42" s="8" t="str">
        <x:f>IF(M42="Mapped",IF(OR(_xlfn.XLOOKUP(A42&amp;"|"&amp;K42,'SOW caps'!$N$7:$N$36,'SOW caps'!$M$7:$M$36,"")="Ready",_xlfn.XLOOKUP(A42&amp;"|"&amp;K42,'SOW caps'!$N$7:$N$36,'SOW caps'!$M$7:$M$36,"")="No hours"),_xlfn.XLOOKUP(A42&amp;"|"&amp;K42,'SOW caps'!$N$7:$N$36,'SOW caps'!$O$7:$O$36,""),""),"")</x:f>
      </x:c>
      <x:c r="V42" s="8" t="str">
        <x:f>IF(AND(ISNUMBER(U42),ISNUMBER(X42)),ROUND(SUMIFS($X$7:X42,$A$7:A42,A42,$K$7:K42,K42,$M$7:M42,"Mapped")*U42,2)-ROUND((SUMIFS($X$7:X42,$A$7:A42,A42,$K$7:K42,K42,$M$7:M42,"Mapped")-X42)*U42,2),"")</x:f>
      </x:c>
      <x:c r="W42" s="1" t="str">
        <x:f>IF(B42="","",IF(OR(NOT(ISNUMBER(I42)),I42&lt;0),"Invalid hours",IF(NOT(ISNUMBER(R42)),"Manual hours",IF(ROUND(I42*3600000,0)=R42,"Source hours","Adjusted hours"))))</x:f>
      </x:c>
      <x:c r="X42" s="10" t="str">
        <x:f>IF(B42="","",IF(AND(ISNUMBER(I42),I42&gt;=0,Q42="In period"),I42,""))</x:f>
      </x:c>
    </x:row>
    <x:row r="43" ht="23" customHeight="1">
      <x:c r="A43" s="3"/>
      <x:c r="B43" s="3"/>
      <x:c r="C43" s="3"/>
      <x:c r="D43" s="3"/>
      <x:c r="E43" s="3"/>
      <x:c r="F43" s="3"/>
      <x:c r="G43" s="3"/>
      <x:c r="H43" s="3"/>
      <x:c r="I43" s="9"/>
      <x:c r="J43" s="3"/>
      <x:c r="K43" s="3"/>
      <x:c r="L43" s="3"/>
      <x:c r="M43" s="1" t="str">
        <x:f>IF(B43="","",IF(W43="Invalid hours","Invalid hours",IF(NOT(ISNUMBER(X43)),"Excluded",IF(AND(J43&lt;&gt;"",K43&lt;&gt;"",L43&lt;&gt;"",COUNTIF('SOW caps'!$N$7:$N$36,A43&amp;"|"&amp;K43)=1),"Mapped","Needs allocation"))))</x:f>
      </x:c>
      <x:c r="N43" s="8" t="str">
        <x:f>IF(B43="","",IF(M43="Mapped",_xlfn.XLOOKUP(A43&amp;"|"&amp;K43,'SOW caps'!$N$7:$N$36,'SOW caps'!$E$7:$E$36,""),IF(ISNUMBER('SOW caps'!$B$3),'SOW caps'!$B$3,"")))</x:f>
      </x:c>
      <x:c r="O43" s="8" t="str">
        <x:f>IF(AND(ISNUMBER(X43),ISNUMBER(N43),N43&gt;=0),X43*N43,"")</x:f>
      </x:c>
      <x:c r="P43" s="3"/>
      <x:c r="Q43" s="3"/>
      <x:c r="R43" s="3"/>
      <x:c r="S43" s="3"/>
      <x:c r="T43" s="3"/>
      <x:c r="U43" s="8" t="str">
        <x:f>IF(M43="Mapped",IF(OR(_xlfn.XLOOKUP(A43&amp;"|"&amp;K43,'SOW caps'!$N$7:$N$36,'SOW caps'!$M$7:$M$36,"")="Ready",_xlfn.XLOOKUP(A43&amp;"|"&amp;K43,'SOW caps'!$N$7:$N$36,'SOW caps'!$M$7:$M$36,"")="No hours"),_xlfn.XLOOKUP(A43&amp;"|"&amp;K43,'SOW caps'!$N$7:$N$36,'SOW caps'!$O$7:$O$36,""),""),"")</x:f>
      </x:c>
      <x:c r="V43" s="8" t="str">
        <x:f>IF(AND(ISNUMBER(U43),ISNUMBER(X43)),ROUND(SUMIFS($X$7:X43,$A$7:A43,A43,$K$7:K43,K43,$M$7:M43,"Mapped")*U43,2)-ROUND((SUMIFS($X$7:X43,$A$7:A43,A43,$K$7:K43,K43,$M$7:M43,"Mapped")-X43)*U43,2),"")</x:f>
      </x:c>
      <x:c r="W43" s="1" t="str">
        <x:f>IF(B43="","",IF(OR(NOT(ISNUMBER(I43)),I43&lt;0),"Invalid hours",IF(NOT(ISNUMBER(R43)),"Manual hours",IF(ROUND(I43*3600000,0)=R43,"Source hours","Adjusted hours"))))</x:f>
      </x:c>
      <x:c r="X43" s="10" t="str">
        <x:f>IF(B43="","",IF(AND(ISNUMBER(I43),I43&gt;=0,Q43="In period"),I43,""))</x:f>
      </x:c>
    </x:row>
    <x:row r="44" ht="23" customHeight="1">
      <x:c r="A44" s="3"/>
      <x:c r="B44" s="3"/>
      <x:c r="C44" s="3"/>
      <x:c r="D44" s="3"/>
      <x:c r="E44" s="3"/>
      <x:c r="F44" s="3"/>
      <x:c r="G44" s="3"/>
      <x:c r="H44" s="3"/>
      <x:c r="I44" s="9"/>
      <x:c r="J44" s="3"/>
      <x:c r="K44" s="3"/>
      <x:c r="L44" s="3"/>
      <x:c r="M44" s="1" t="str">
        <x:f>IF(B44="","",IF(W44="Invalid hours","Invalid hours",IF(NOT(ISNUMBER(X44)),"Excluded",IF(AND(J44&lt;&gt;"",K44&lt;&gt;"",L44&lt;&gt;"",COUNTIF('SOW caps'!$N$7:$N$36,A44&amp;"|"&amp;K44)=1),"Mapped","Needs allocation"))))</x:f>
      </x:c>
      <x:c r="N44" s="8" t="str">
        <x:f>IF(B44="","",IF(M44="Mapped",_xlfn.XLOOKUP(A44&amp;"|"&amp;K44,'SOW caps'!$N$7:$N$36,'SOW caps'!$E$7:$E$36,""),IF(ISNUMBER('SOW caps'!$B$3),'SOW caps'!$B$3,"")))</x:f>
      </x:c>
      <x:c r="O44" s="8" t="str">
        <x:f>IF(AND(ISNUMBER(X44),ISNUMBER(N44),N44&gt;=0),X44*N44,"")</x:f>
      </x:c>
      <x:c r="P44" s="3"/>
      <x:c r="Q44" s="3"/>
      <x:c r="R44" s="3"/>
      <x:c r="S44" s="3"/>
      <x:c r="T44" s="3"/>
      <x:c r="U44" s="8" t="str">
        <x:f>IF(M44="Mapped",IF(OR(_xlfn.XLOOKUP(A44&amp;"|"&amp;K44,'SOW caps'!$N$7:$N$36,'SOW caps'!$M$7:$M$36,"")="Ready",_xlfn.XLOOKUP(A44&amp;"|"&amp;K44,'SOW caps'!$N$7:$N$36,'SOW caps'!$M$7:$M$36,"")="No hours"),_xlfn.XLOOKUP(A44&amp;"|"&amp;K44,'SOW caps'!$N$7:$N$36,'SOW caps'!$O$7:$O$36,""),""),"")</x:f>
      </x:c>
      <x:c r="V44" s="8" t="str">
        <x:f>IF(AND(ISNUMBER(U44),ISNUMBER(X44)),ROUND(SUMIFS($X$7:X44,$A$7:A44,A44,$K$7:K44,K44,$M$7:M44,"Mapped")*U44,2)-ROUND((SUMIFS($X$7:X44,$A$7:A44,A44,$K$7:K44,K44,$M$7:M44,"Mapped")-X44)*U44,2),"")</x:f>
      </x:c>
      <x:c r="W44" s="1" t="str">
        <x:f>IF(B44="","",IF(OR(NOT(ISNUMBER(I44)),I44&lt;0),"Invalid hours",IF(NOT(ISNUMBER(R44)),"Manual hours",IF(ROUND(I44*3600000,0)=R44,"Source hours","Adjusted hours"))))</x:f>
      </x:c>
      <x:c r="X44" s="10" t="str">
        <x:f>IF(B44="","",IF(AND(ISNUMBER(I44),I44&gt;=0,Q44="In period"),I44,""))</x:f>
      </x:c>
    </x:row>
    <x:row r="45" ht="23" customHeight="1">
      <x:c r="A45" s="3"/>
      <x:c r="B45" s="3"/>
      <x:c r="C45" s="3"/>
      <x:c r="D45" s="3"/>
      <x:c r="E45" s="3"/>
      <x:c r="F45" s="3"/>
      <x:c r="G45" s="3"/>
      <x:c r="H45" s="3"/>
      <x:c r="I45" s="9"/>
      <x:c r="J45" s="3"/>
      <x:c r="K45" s="3"/>
      <x:c r="L45" s="3"/>
      <x:c r="M45" s="1" t="str">
        <x:f>IF(B45="","",IF(W45="Invalid hours","Invalid hours",IF(NOT(ISNUMBER(X45)),"Excluded",IF(AND(J45&lt;&gt;"",K45&lt;&gt;"",L45&lt;&gt;"",COUNTIF('SOW caps'!$N$7:$N$36,A45&amp;"|"&amp;K45)=1),"Mapped","Needs allocation"))))</x:f>
      </x:c>
      <x:c r="N45" s="8" t="str">
        <x:f>IF(B45="","",IF(M45="Mapped",_xlfn.XLOOKUP(A45&amp;"|"&amp;K45,'SOW caps'!$N$7:$N$36,'SOW caps'!$E$7:$E$36,""),IF(ISNUMBER('SOW caps'!$B$3),'SOW caps'!$B$3,"")))</x:f>
      </x:c>
      <x:c r="O45" s="8" t="str">
        <x:f>IF(AND(ISNUMBER(X45),ISNUMBER(N45),N45&gt;=0),X45*N45,"")</x:f>
      </x:c>
      <x:c r="P45" s="3"/>
      <x:c r="Q45" s="3"/>
      <x:c r="R45" s="3"/>
      <x:c r="S45" s="3"/>
      <x:c r="T45" s="3"/>
      <x:c r="U45" s="8" t="str">
        <x:f>IF(M45="Mapped",IF(OR(_xlfn.XLOOKUP(A45&amp;"|"&amp;K45,'SOW caps'!$N$7:$N$36,'SOW caps'!$M$7:$M$36,"")="Ready",_xlfn.XLOOKUP(A45&amp;"|"&amp;K45,'SOW caps'!$N$7:$N$36,'SOW caps'!$M$7:$M$36,"")="No hours"),_xlfn.XLOOKUP(A45&amp;"|"&amp;K45,'SOW caps'!$N$7:$N$36,'SOW caps'!$O$7:$O$36,""),""),"")</x:f>
      </x:c>
      <x:c r="V45" s="8" t="str">
        <x:f>IF(AND(ISNUMBER(U45),ISNUMBER(X45)),ROUND(SUMIFS($X$7:X45,$A$7:A45,A45,$K$7:K45,K45,$M$7:M45,"Mapped")*U45,2)-ROUND((SUMIFS($X$7:X45,$A$7:A45,A45,$K$7:K45,K45,$M$7:M45,"Mapped")-X45)*U45,2),"")</x:f>
      </x:c>
      <x:c r="W45" s="1" t="str">
        <x:f>IF(B45="","",IF(OR(NOT(ISNUMBER(I45)),I45&lt;0),"Invalid hours",IF(NOT(ISNUMBER(R45)),"Manual hours",IF(ROUND(I45*3600000,0)=R45,"Source hours","Adjusted hours"))))</x:f>
      </x:c>
      <x:c r="X45" s="10" t="str">
        <x:f>IF(B45="","",IF(AND(ISNUMBER(I45),I45&gt;=0,Q45="In period"),I45,""))</x:f>
      </x:c>
    </x:row>
    <x:row r="46" ht="23" customHeight="1">
      <x:c r="A46" s="3"/>
      <x:c r="B46" s="3"/>
      <x:c r="C46" s="3"/>
      <x:c r="D46" s="3"/>
      <x:c r="E46" s="3"/>
      <x:c r="F46" s="3"/>
      <x:c r="G46" s="3"/>
      <x:c r="H46" s="3"/>
      <x:c r="I46" s="9"/>
      <x:c r="J46" s="3"/>
      <x:c r="K46" s="3"/>
      <x:c r="L46" s="3"/>
      <x:c r="M46" s="1" t="str">
        <x:f>IF(B46="","",IF(W46="Invalid hours","Invalid hours",IF(NOT(ISNUMBER(X46)),"Excluded",IF(AND(J46&lt;&gt;"",K46&lt;&gt;"",L46&lt;&gt;"",COUNTIF('SOW caps'!$N$7:$N$36,A46&amp;"|"&amp;K46)=1),"Mapped","Needs allocation"))))</x:f>
      </x:c>
      <x:c r="N46" s="8" t="str">
        <x:f>IF(B46="","",IF(M46="Mapped",_xlfn.XLOOKUP(A46&amp;"|"&amp;K46,'SOW caps'!$N$7:$N$36,'SOW caps'!$E$7:$E$36,""),IF(ISNUMBER('SOW caps'!$B$3),'SOW caps'!$B$3,"")))</x:f>
      </x:c>
      <x:c r="O46" s="8" t="str">
        <x:f>IF(AND(ISNUMBER(X46),ISNUMBER(N46),N46&gt;=0),X46*N46,"")</x:f>
      </x:c>
      <x:c r="P46" s="3"/>
      <x:c r="Q46" s="3"/>
      <x:c r="R46" s="3"/>
      <x:c r="S46" s="3"/>
      <x:c r="T46" s="3"/>
      <x:c r="U46" s="8" t="str">
        <x:f>IF(M46="Mapped",IF(OR(_xlfn.XLOOKUP(A46&amp;"|"&amp;K46,'SOW caps'!$N$7:$N$36,'SOW caps'!$M$7:$M$36,"")="Ready",_xlfn.XLOOKUP(A46&amp;"|"&amp;K46,'SOW caps'!$N$7:$N$36,'SOW caps'!$M$7:$M$36,"")="No hours"),_xlfn.XLOOKUP(A46&amp;"|"&amp;K46,'SOW caps'!$N$7:$N$36,'SOW caps'!$O$7:$O$36,""),""),"")</x:f>
      </x:c>
      <x:c r="V46" s="8" t="str">
        <x:f>IF(AND(ISNUMBER(U46),ISNUMBER(X46)),ROUND(SUMIFS($X$7:X46,$A$7:A46,A46,$K$7:K46,K46,$M$7:M46,"Mapped")*U46,2)-ROUND((SUMIFS($X$7:X46,$A$7:A46,A46,$K$7:K46,K46,$M$7:M46,"Mapped")-X46)*U46,2),"")</x:f>
      </x:c>
      <x:c r="W46" s="1" t="str">
        <x:f>IF(B46="","",IF(OR(NOT(ISNUMBER(I46)),I46&lt;0),"Invalid hours",IF(NOT(ISNUMBER(R46)),"Manual hours",IF(ROUND(I46*3600000,0)=R46,"Source hours","Adjusted hours"))))</x:f>
      </x:c>
      <x:c r="X46" s="10" t="str">
        <x:f>IF(B46="","",IF(AND(ISNUMBER(I46),I46&gt;=0,Q46="In period"),I46,""))</x:f>
      </x:c>
    </x:row>
    <x:row r="47" ht="23" customHeight="1">
      <x:c r="A47" s="3"/>
      <x:c r="B47" s="3"/>
      <x:c r="C47" s="3"/>
      <x:c r="D47" s="3"/>
      <x:c r="E47" s="3"/>
      <x:c r="F47" s="3"/>
      <x:c r="G47" s="3"/>
      <x:c r="H47" s="3"/>
      <x:c r="I47" s="9"/>
      <x:c r="J47" s="3"/>
      <x:c r="K47" s="3"/>
      <x:c r="L47" s="3"/>
      <x:c r="M47" s="1" t="str">
        <x:f>IF(B47="","",IF(W47="Invalid hours","Invalid hours",IF(NOT(ISNUMBER(X47)),"Excluded",IF(AND(J47&lt;&gt;"",K47&lt;&gt;"",L47&lt;&gt;"",COUNTIF('SOW caps'!$N$7:$N$36,A47&amp;"|"&amp;K47)=1),"Mapped","Needs allocation"))))</x:f>
      </x:c>
      <x:c r="N47" s="8" t="str">
        <x:f>IF(B47="","",IF(M47="Mapped",_xlfn.XLOOKUP(A47&amp;"|"&amp;K47,'SOW caps'!$N$7:$N$36,'SOW caps'!$E$7:$E$36,""),IF(ISNUMBER('SOW caps'!$B$3),'SOW caps'!$B$3,"")))</x:f>
      </x:c>
      <x:c r="O47" s="8" t="str">
        <x:f>IF(AND(ISNUMBER(X47),ISNUMBER(N47),N47&gt;=0),X47*N47,"")</x:f>
      </x:c>
      <x:c r="P47" s="3"/>
      <x:c r="Q47" s="3"/>
      <x:c r="R47" s="3"/>
      <x:c r="S47" s="3"/>
      <x:c r="T47" s="3"/>
      <x:c r="U47" s="8" t="str">
        <x:f>IF(M47="Mapped",IF(OR(_xlfn.XLOOKUP(A47&amp;"|"&amp;K47,'SOW caps'!$N$7:$N$36,'SOW caps'!$M$7:$M$36,"")="Ready",_xlfn.XLOOKUP(A47&amp;"|"&amp;K47,'SOW caps'!$N$7:$N$36,'SOW caps'!$M$7:$M$36,"")="No hours"),_xlfn.XLOOKUP(A47&amp;"|"&amp;K47,'SOW caps'!$N$7:$N$36,'SOW caps'!$O$7:$O$36,""),""),"")</x:f>
      </x:c>
      <x:c r="V47" s="8" t="str">
        <x:f>IF(AND(ISNUMBER(U47),ISNUMBER(X47)),ROUND(SUMIFS($X$7:X47,$A$7:A47,A47,$K$7:K47,K47,$M$7:M47,"Mapped")*U47,2)-ROUND((SUMIFS($X$7:X47,$A$7:A47,A47,$K$7:K47,K47,$M$7:M47,"Mapped")-X47)*U47,2),"")</x:f>
      </x:c>
      <x:c r="W47" s="1" t="str">
        <x:f>IF(B47="","",IF(OR(NOT(ISNUMBER(I47)),I47&lt;0),"Invalid hours",IF(NOT(ISNUMBER(R47)),"Manual hours",IF(ROUND(I47*3600000,0)=R47,"Source hours","Adjusted hours"))))</x:f>
      </x:c>
      <x:c r="X47" s="10" t="str">
        <x:f>IF(B47="","",IF(AND(ISNUMBER(I47),I47&gt;=0,Q47="In period"),I47,""))</x:f>
      </x:c>
    </x:row>
    <x:row r="48" ht="23" customHeight="1">
      <x:c r="A48" s="3"/>
      <x:c r="B48" s="3"/>
      <x:c r="C48" s="3"/>
      <x:c r="D48" s="3"/>
      <x:c r="E48" s="3"/>
      <x:c r="F48" s="3"/>
      <x:c r="G48" s="3"/>
      <x:c r="H48" s="3"/>
      <x:c r="I48" s="9"/>
      <x:c r="J48" s="3"/>
      <x:c r="K48" s="3"/>
      <x:c r="L48" s="3"/>
      <x:c r="M48" s="1" t="str">
        <x:f>IF(B48="","",IF(W48="Invalid hours","Invalid hours",IF(NOT(ISNUMBER(X48)),"Excluded",IF(AND(J48&lt;&gt;"",K48&lt;&gt;"",L48&lt;&gt;"",COUNTIF('SOW caps'!$N$7:$N$36,A48&amp;"|"&amp;K48)=1),"Mapped","Needs allocation"))))</x:f>
      </x:c>
      <x:c r="N48" s="8" t="str">
        <x:f>IF(B48="","",IF(M48="Mapped",_xlfn.XLOOKUP(A48&amp;"|"&amp;K48,'SOW caps'!$N$7:$N$36,'SOW caps'!$E$7:$E$36,""),IF(ISNUMBER('SOW caps'!$B$3),'SOW caps'!$B$3,"")))</x:f>
      </x:c>
      <x:c r="O48" s="8" t="str">
        <x:f>IF(AND(ISNUMBER(X48),ISNUMBER(N48),N48&gt;=0),X48*N48,"")</x:f>
      </x:c>
      <x:c r="P48" s="3"/>
      <x:c r="Q48" s="3"/>
      <x:c r="R48" s="3"/>
      <x:c r="S48" s="3"/>
      <x:c r="T48" s="3"/>
      <x:c r="U48" s="8" t="str">
        <x:f>IF(M48="Mapped",IF(OR(_xlfn.XLOOKUP(A48&amp;"|"&amp;K48,'SOW caps'!$N$7:$N$36,'SOW caps'!$M$7:$M$36,"")="Ready",_xlfn.XLOOKUP(A48&amp;"|"&amp;K48,'SOW caps'!$N$7:$N$36,'SOW caps'!$M$7:$M$36,"")="No hours"),_xlfn.XLOOKUP(A48&amp;"|"&amp;K48,'SOW caps'!$N$7:$N$36,'SOW caps'!$O$7:$O$36,""),""),"")</x:f>
      </x:c>
      <x:c r="V48" s="8" t="str">
        <x:f>IF(AND(ISNUMBER(U48),ISNUMBER(X48)),ROUND(SUMIFS($X$7:X48,$A$7:A48,A48,$K$7:K48,K48,$M$7:M48,"Mapped")*U48,2)-ROUND((SUMIFS($X$7:X48,$A$7:A48,A48,$K$7:K48,K48,$M$7:M48,"Mapped")-X48)*U48,2),"")</x:f>
      </x:c>
      <x:c r="W48" s="1" t="str">
        <x:f>IF(B48="","",IF(OR(NOT(ISNUMBER(I48)),I48&lt;0),"Invalid hours",IF(NOT(ISNUMBER(R48)),"Manual hours",IF(ROUND(I48*3600000,0)=R48,"Source hours","Adjusted hours"))))</x:f>
      </x:c>
      <x:c r="X48" s="10" t="str">
        <x:f>IF(B48="","",IF(AND(ISNUMBER(I48),I48&gt;=0,Q48="In period"),I48,""))</x:f>
      </x:c>
    </x:row>
    <x:row r="49" ht="23" customHeight="1">
      <x:c r="A49" s="3"/>
      <x:c r="B49" s="3"/>
      <x:c r="C49" s="3"/>
      <x:c r="D49" s="3"/>
      <x:c r="E49" s="3"/>
      <x:c r="F49" s="3"/>
      <x:c r="G49" s="3"/>
      <x:c r="H49" s="3"/>
      <x:c r="I49" s="9"/>
      <x:c r="J49" s="3"/>
      <x:c r="K49" s="3"/>
      <x:c r="L49" s="3"/>
      <x:c r="M49" s="1" t="str">
        <x:f>IF(B49="","",IF(W49="Invalid hours","Invalid hours",IF(NOT(ISNUMBER(X49)),"Excluded",IF(AND(J49&lt;&gt;"",K49&lt;&gt;"",L49&lt;&gt;"",COUNTIF('SOW caps'!$N$7:$N$36,A49&amp;"|"&amp;K49)=1),"Mapped","Needs allocation"))))</x:f>
      </x:c>
      <x:c r="N49" s="8" t="str">
        <x:f>IF(B49="","",IF(M49="Mapped",_xlfn.XLOOKUP(A49&amp;"|"&amp;K49,'SOW caps'!$N$7:$N$36,'SOW caps'!$E$7:$E$36,""),IF(ISNUMBER('SOW caps'!$B$3),'SOW caps'!$B$3,"")))</x:f>
      </x:c>
      <x:c r="O49" s="8" t="str">
        <x:f>IF(AND(ISNUMBER(X49),ISNUMBER(N49),N49&gt;=0),X49*N49,"")</x:f>
      </x:c>
      <x:c r="P49" s="3"/>
      <x:c r="Q49" s="3"/>
      <x:c r="R49" s="3"/>
      <x:c r="S49" s="3"/>
      <x:c r="T49" s="3"/>
      <x:c r="U49" s="8" t="str">
        <x:f>IF(M49="Mapped",IF(OR(_xlfn.XLOOKUP(A49&amp;"|"&amp;K49,'SOW caps'!$N$7:$N$36,'SOW caps'!$M$7:$M$36,"")="Ready",_xlfn.XLOOKUP(A49&amp;"|"&amp;K49,'SOW caps'!$N$7:$N$36,'SOW caps'!$M$7:$M$36,"")="No hours"),_xlfn.XLOOKUP(A49&amp;"|"&amp;K49,'SOW caps'!$N$7:$N$36,'SOW caps'!$O$7:$O$36,""),""),"")</x:f>
      </x:c>
      <x:c r="V49" s="8" t="str">
        <x:f>IF(AND(ISNUMBER(U49),ISNUMBER(X49)),ROUND(SUMIFS($X$7:X49,$A$7:A49,A49,$K$7:K49,K49,$M$7:M49,"Mapped")*U49,2)-ROUND((SUMIFS($X$7:X49,$A$7:A49,A49,$K$7:K49,K49,$M$7:M49,"Mapped")-X49)*U49,2),"")</x:f>
      </x:c>
      <x:c r="W49" s="1" t="str">
        <x:f>IF(B49="","",IF(OR(NOT(ISNUMBER(I49)),I49&lt;0),"Invalid hours",IF(NOT(ISNUMBER(R49)),"Manual hours",IF(ROUND(I49*3600000,0)=R49,"Source hours","Adjusted hours"))))</x:f>
      </x:c>
      <x:c r="X49" s="10" t="str">
        <x:f>IF(B49="","",IF(AND(ISNUMBER(I49),I49&gt;=0,Q49="In period"),I49,""))</x:f>
      </x:c>
    </x:row>
    <x:row r="50" ht="23" customHeight="1">
      <x:c r="A50" s="3"/>
      <x:c r="B50" s="3"/>
      <x:c r="C50" s="3"/>
      <x:c r="D50" s="3"/>
      <x:c r="E50" s="3"/>
      <x:c r="F50" s="3"/>
      <x:c r="G50" s="3"/>
      <x:c r="H50" s="3"/>
      <x:c r="I50" s="9"/>
      <x:c r="J50" s="3"/>
      <x:c r="K50" s="3"/>
      <x:c r="L50" s="3"/>
      <x:c r="M50" s="1" t="str">
        <x:f>IF(B50="","",IF(W50="Invalid hours","Invalid hours",IF(NOT(ISNUMBER(X50)),"Excluded",IF(AND(J50&lt;&gt;"",K50&lt;&gt;"",L50&lt;&gt;"",COUNTIF('SOW caps'!$N$7:$N$36,A50&amp;"|"&amp;K50)=1),"Mapped","Needs allocation"))))</x:f>
      </x:c>
      <x:c r="N50" s="8" t="str">
        <x:f>IF(B50="","",IF(M50="Mapped",_xlfn.XLOOKUP(A50&amp;"|"&amp;K50,'SOW caps'!$N$7:$N$36,'SOW caps'!$E$7:$E$36,""),IF(ISNUMBER('SOW caps'!$B$3),'SOW caps'!$B$3,"")))</x:f>
      </x:c>
      <x:c r="O50" s="8" t="str">
        <x:f>IF(AND(ISNUMBER(X50),ISNUMBER(N50),N50&gt;=0),X50*N50,"")</x:f>
      </x:c>
      <x:c r="P50" s="3"/>
      <x:c r="Q50" s="3"/>
      <x:c r="R50" s="3"/>
      <x:c r="S50" s="3"/>
      <x:c r="T50" s="3"/>
      <x:c r="U50" s="8" t="str">
        <x:f>IF(M50="Mapped",IF(OR(_xlfn.XLOOKUP(A50&amp;"|"&amp;K50,'SOW caps'!$N$7:$N$36,'SOW caps'!$M$7:$M$36,"")="Ready",_xlfn.XLOOKUP(A50&amp;"|"&amp;K50,'SOW caps'!$N$7:$N$36,'SOW caps'!$M$7:$M$36,"")="No hours"),_xlfn.XLOOKUP(A50&amp;"|"&amp;K50,'SOW caps'!$N$7:$N$36,'SOW caps'!$O$7:$O$36,""),""),"")</x:f>
      </x:c>
      <x:c r="V50" s="8" t="str">
        <x:f>IF(AND(ISNUMBER(U50),ISNUMBER(X50)),ROUND(SUMIFS($X$7:X50,$A$7:A50,A50,$K$7:K50,K50,$M$7:M50,"Mapped")*U50,2)-ROUND((SUMIFS($X$7:X50,$A$7:A50,A50,$K$7:K50,K50,$M$7:M50,"Mapped")-X50)*U50,2),"")</x:f>
      </x:c>
      <x:c r="W50" s="1" t="str">
        <x:f>IF(B50="","",IF(OR(NOT(ISNUMBER(I50)),I50&lt;0),"Invalid hours",IF(NOT(ISNUMBER(R50)),"Manual hours",IF(ROUND(I50*3600000,0)=R50,"Source hours","Adjusted hours"))))</x:f>
      </x:c>
      <x:c r="X50" s="10" t="str">
        <x:f>IF(B50="","",IF(AND(ISNUMBER(I50),I50&gt;=0,Q50="In period"),I50,""))</x:f>
      </x:c>
    </x:row>
    <x:row r="51" ht="23" customHeight="1">
      <x:c r="A51" s="3"/>
      <x:c r="B51" s="3"/>
      <x:c r="C51" s="3"/>
      <x:c r="D51" s="3"/>
      <x:c r="E51" s="3"/>
      <x:c r="F51" s="3"/>
      <x:c r="G51" s="3"/>
      <x:c r="H51" s="3"/>
      <x:c r="I51" s="9"/>
      <x:c r="J51" s="3"/>
      <x:c r="K51" s="3"/>
      <x:c r="L51" s="3"/>
      <x:c r="M51" s="1" t="str">
        <x:f>IF(B51="","",IF(W51="Invalid hours","Invalid hours",IF(NOT(ISNUMBER(X51)),"Excluded",IF(AND(J51&lt;&gt;"",K51&lt;&gt;"",L51&lt;&gt;"",COUNTIF('SOW caps'!$N$7:$N$36,A51&amp;"|"&amp;K51)=1),"Mapped","Needs allocation"))))</x:f>
      </x:c>
      <x:c r="N51" s="8" t="str">
        <x:f>IF(B51="","",IF(M51="Mapped",_xlfn.XLOOKUP(A51&amp;"|"&amp;K51,'SOW caps'!$N$7:$N$36,'SOW caps'!$E$7:$E$36,""),IF(ISNUMBER('SOW caps'!$B$3),'SOW caps'!$B$3,"")))</x:f>
      </x:c>
      <x:c r="O51" s="8" t="str">
        <x:f>IF(AND(ISNUMBER(X51),ISNUMBER(N51),N51&gt;=0),X51*N51,"")</x:f>
      </x:c>
      <x:c r="P51" s="3"/>
      <x:c r="Q51" s="3"/>
      <x:c r="R51" s="3"/>
      <x:c r="S51" s="3"/>
      <x:c r="T51" s="3"/>
      <x:c r="U51" s="8" t="str">
        <x:f>IF(M51="Mapped",IF(OR(_xlfn.XLOOKUP(A51&amp;"|"&amp;K51,'SOW caps'!$N$7:$N$36,'SOW caps'!$M$7:$M$36,"")="Ready",_xlfn.XLOOKUP(A51&amp;"|"&amp;K51,'SOW caps'!$N$7:$N$36,'SOW caps'!$M$7:$M$36,"")="No hours"),_xlfn.XLOOKUP(A51&amp;"|"&amp;K51,'SOW caps'!$N$7:$N$36,'SOW caps'!$O$7:$O$36,""),""),"")</x:f>
      </x:c>
      <x:c r="V51" s="8" t="str">
        <x:f>IF(AND(ISNUMBER(U51),ISNUMBER(X51)),ROUND(SUMIFS($X$7:X51,$A$7:A51,A51,$K$7:K51,K51,$M$7:M51,"Mapped")*U51,2)-ROUND((SUMIFS($X$7:X51,$A$7:A51,A51,$K$7:K51,K51,$M$7:M51,"Mapped")-X51)*U51,2),"")</x:f>
      </x:c>
      <x:c r="W51" s="1" t="str">
        <x:f>IF(B51="","",IF(OR(NOT(ISNUMBER(I51)),I51&lt;0),"Invalid hours",IF(NOT(ISNUMBER(R51)),"Manual hours",IF(ROUND(I51*3600000,0)=R51,"Source hours","Adjusted hours"))))</x:f>
      </x:c>
      <x:c r="X51" s="10" t="str">
        <x:f>IF(B51="","",IF(AND(ISNUMBER(I51),I51&gt;=0,Q51="In period"),I51,""))</x:f>
      </x:c>
    </x:row>
    <x:row r="52" ht="23" customHeight="1">
      <x:c r="A52" s="3"/>
      <x:c r="B52" s="3"/>
      <x:c r="C52" s="3"/>
      <x:c r="D52" s="3"/>
      <x:c r="E52" s="3"/>
      <x:c r="F52" s="3"/>
      <x:c r="G52" s="3"/>
      <x:c r="H52" s="3"/>
      <x:c r="I52" s="9"/>
      <x:c r="J52" s="3"/>
      <x:c r="K52" s="3"/>
      <x:c r="L52" s="3"/>
      <x:c r="M52" s="1" t="str">
        <x:f>IF(B52="","",IF(W52="Invalid hours","Invalid hours",IF(NOT(ISNUMBER(X52)),"Excluded",IF(AND(J52&lt;&gt;"",K52&lt;&gt;"",L52&lt;&gt;"",COUNTIF('SOW caps'!$N$7:$N$36,A52&amp;"|"&amp;K52)=1),"Mapped","Needs allocation"))))</x:f>
      </x:c>
      <x:c r="N52" s="8" t="str">
        <x:f>IF(B52="","",IF(M52="Mapped",_xlfn.XLOOKUP(A52&amp;"|"&amp;K52,'SOW caps'!$N$7:$N$36,'SOW caps'!$E$7:$E$36,""),IF(ISNUMBER('SOW caps'!$B$3),'SOW caps'!$B$3,"")))</x:f>
      </x:c>
      <x:c r="O52" s="8" t="str">
        <x:f>IF(AND(ISNUMBER(X52),ISNUMBER(N52),N52&gt;=0),X52*N52,"")</x:f>
      </x:c>
      <x:c r="P52" s="3"/>
      <x:c r="Q52" s="3"/>
      <x:c r="R52" s="3"/>
      <x:c r="S52" s="3"/>
      <x:c r="T52" s="3"/>
      <x:c r="U52" s="8" t="str">
        <x:f>IF(M52="Mapped",IF(OR(_xlfn.XLOOKUP(A52&amp;"|"&amp;K52,'SOW caps'!$N$7:$N$36,'SOW caps'!$M$7:$M$36,"")="Ready",_xlfn.XLOOKUP(A52&amp;"|"&amp;K52,'SOW caps'!$N$7:$N$36,'SOW caps'!$M$7:$M$36,"")="No hours"),_xlfn.XLOOKUP(A52&amp;"|"&amp;K52,'SOW caps'!$N$7:$N$36,'SOW caps'!$O$7:$O$36,""),""),"")</x:f>
      </x:c>
      <x:c r="V52" s="8" t="str">
        <x:f>IF(AND(ISNUMBER(U52),ISNUMBER(X52)),ROUND(SUMIFS($X$7:X52,$A$7:A52,A52,$K$7:K52,K52,$M$7:M52,"Mapped")*U52,2)-ROUND((SUMIFS($X$7:X52,$A$7:A52,A52,$K$7:K52,K52,$M$7:M52,"Mapped")-X52)*U52,2),"")</x:f>
      </x:c>
      <x:c r="W52" s="1" t="str">
        <x:f>IF(B52="","",IF(OR(NOT(ISNUMBER(I52)),I52&lt;0),"Invalid hours",IF(NOT(ISNUMBER(R52)),"Manual hours",IF(ROUND(I52*3600000,0)=R52,"Source hours","Adjusted hours"))))</x:f>
      </x:c>
      <x:c r="X52" s="10" t="str">
        <x:f>IF(B52="","",IF(AND(ISNUMBER(I52),I52&gt;=0,Q52="In period"),I52,""))</x:f>
      </x:c>
    </x:row>
    <x:row r="53" ht="23" customHeight="1">
      <x:c r="A53" s="3"/>
      <x:c r="B53" s="3"/>
      <x:c r="C53" s="3"/>
      <x:c r="D53" s="3"/>
      <x:c r="E53" s="3"/>
      <x:c r="F53" s="3"/>
      <x:c r="G53" s="3"/>
      <x:c r="H53" s="3"/>
      <x:c r="I53" s="9"/>
      <x:c r="J53" s="3"/>
      <x:c r="K53" s="3"/>
      <x:c r="L53" s="3"/>
      <x:c r="M53" s="1" t="str">
        <x:f>IF(B53="","",IF(W53="Invalid hours","Invalid hours",IF(NOT(ISNUMBER(X53)),"Excluded",IF(AND(J53&lt;&gt;"",K53&lt;&gt;"",L53&lt;&gt;"",COUNTIF('SOW caps'!$N$7:$N$36,A53&amp;"|"&amp;K53)=1),"Mapped","Needs allocation"))))</x:f>
      </x:c>
      <x:c r="N53" s="8" t="str">
        <x:f>IF(B53="","",IF(M53="Mapped",_xlfn.XLOOKUP(A53&amp;"|"&amp;K53,'SOW caps'!$N$7:$N$36,'SOW caps'!$E$7:$E$36,""),IF(ISNUMBER('SOW caps'!$B$3),'SOW caps'!$B$3,"")))</x:f>
      </x:c>
      <x:c r="O53" s="8" t="str">
        <x:f>IF(AND(ISNUMBER(X53),ISNUMBER(N53),N53&gt;=0),X53*N53,"")</x:f>
      </x:c>
      <x:c r="P53" s="3"/>
      <x:c r="Q53" s="3"/>
      <x:c r="R53" s="3"/>
      <x:c r="S53" s="3"/>
      <x:c r="T53" s="3"/>
      <x:c r="U53" s="8" t="str">
        <x:f>IF(M53="Mapped",IF(OR(_xlfn.XLOOKUP(A53&amp;"|"&amp;K53,'SOW caps'!$N$7:$N$36,'SOW caps'!$M$7:$M$36,"")="Ready",_xlfn.XLOOKUP(A53&amp;"|"&amp;K53,'SOW caps'!$N$7:$N$36,'SOW caps'!$M$7:$M$36,"")="No hours"),_xlfn.XLOOKUP(A53&amp;"|"&amp;K53,'SOW caps'!$N$7:$N$36,'SOW caps'!$O$7:$O$36,""),""),"")</x:f>
      </x:c>
      <x:c r="V53" s="8" t="str">
        <x:f>IF(AND(ISNUMBER(U53),ISNUMBER(X53)),ROUND(SUMIFS($X$7:X53,$A$7:A53,A53,$K$7:K53,K53,$M$7:M53,"Mapped")*U53,2)-ROUND((SUMIFS($X$7:X53,$A$7:A53,A53,$K$7:K53,K53,$M$7:M53,"Mapped")-X53)*U53,2),"")</x:f>
      </x:c>
      <x:c r="W53" s="1" t="str">
        <x:f>IF(B53="","",IF(OR(NOT(ISNUMBER(I53)),I53&lt;0),"Invalid hours",IF(NOT(ISNUMBER(R53)),"Manual hours",IF(ROUND(I53*3600000,0)=R53,"Source hours","Adjusted hours"))))</x:f>
      </x:c>
      <x:c r="X53" s="10" t="str">
        <x:f>IF(B53="","",IF(AND(ISNUMBER(I53),I53&gt;=0,Q53="In period"),I53,""))</x:f>
      </x:c>
    </x:row>
    <x:row r="54" ht="23" customHeight="1">
      <x:c r="A54" s="3"/>
      <x:c r="B54" s="3"/>
      <x:c r="C54" s="3"/>
      <x:c r="D54" s="3"/>
      <x:c r="E54" s="3"/>
      <x:c r="F54" s="3"/>
      <x:c r="G54" s="3"/>
      <x:c r="H54" s="3"/>
      <x:c r="I54" s="9"/>
      <x:c r="J54" s="3"/>
      <x:c r="K54" s="3"/>
      <x:c r="L54" s="3"/>
      <x:c r="M54" s="1" t="str">
        <x:f>IF(B54="","",IF(W54="Invalid hours","Invalid hours",IF(NOT(ISNUMBER(X54)),"Excluded",IF(AND(J54&lt;&gt;"",K54&lt;&gt;"",L54&lt;&gt;"",COUNTIF('SOW caps'!$N$7:$N$36,A54&amp;"|"&amp;K54)=1),"Mapped","Needs allocation"))))</x:f>
      </x:c>
      <x:c r="N54" s="8" t="str">
        <x:f>IF(B54="","",IF(M54="Mapped",_xlfn.XLOOKUP(A54&amp;"|"&amp;K54,'SOW caps'!$N$7:$N$36,'SOW caps'!$E$7:$E$36,""),IF(ISNUMBER('SOW caps'!$B$3),'SOW caps'!$B$3,"")))</x:f>
      </x:c>
      <x:c r="O54" s="8" t="str">
        <x:f>IF(AND(ISNUMBER(X54),ISNUMBER(N54),N54&gt;=0),X54*N54,"")</x:f>
      </x:c>
      <x:c r="P54" s="3"/>
      <x:c r="Q54" s="3"/>
      <x:c r="R54" s="3"/>
      <x:c r="S54" s="3"/>
      <x:c r="T54" s="3"/>
      <x:c r="U54" s="8" t="str">
        <x:f>IF(M54="Mapped",IF(OR(_xlfn.XLOOKUP(A54&amp;"|"&amp;K54,'SOW caps'!$N$7:$N$36,'SOW caps'!$M$7:$M$36,"")="Ready",_xlfn.XLOOKUP(A54&amp;"|"&amp;K54,'SOW caps'!$N$7:$N$36,'SOW caps'!$M$7:$M$36,"")="No hours"),_xlfn.XLOOKUP(A54&amp;"|"&amp;K54,'SOW caps'!$N$7:$N$36,'SOW caps'!$O$7:$O$36,""),""),"")</x:f>
      </x:c>
      <x:c r="V54" s="8" t="str">
        <x:f>IF(AND(ISNUMBER(U54),ISNUMBER(X54)),ROUND(SUMIFS($X$7:X54,$A$7:A54,A54,$K$7:K54,K54,$M$7:M54,"Mapped")*U54,2)-ROUND((SUMIFS($X$7:X54,$A$7:A54,A54,$K$7:K54,K54,$M$7:M54,"Mapped")-X54)*U54,2),"")</x:f>
      </x:c>
      <x:c r="W54" s="1" t="str">
        <x:f>IF(B54="","",IF(OR(NOT(ISNUMBER(I54)),I54&lt;0),"Invalid hours",IF(NOT(ISNUMBER(R54)),"Manual hours",IF(ROUND(I54*3600000,0)=R54,"Source hours","Adjusted hours"))))</x:f>
      </x:c>
      <x:c r="X54" s="10" t="str">
        <x:f>IF(B54="","",IF(AND(ISNUMBER(I54),I54&gt;=0,Q54="In period"),I54,""))</x:f>
      </x:c>
    </x:row>
    <x:row r="55" ht="23" customHeight="1">
      <x:c r="A55" s="3"/>
      <x:c r="B55" s="3"/>
      <x:c r="C55" s="3"/>
      <x:c r="D55" s="3"/>
      <x:c r="E55" s="3"/>
      <x:c r="F55" s="3"/>
      <x:c r="G55" s="3"/>
      <x:c r="H55" s="3"/>
      <x:c r="I55" s="9"/>
      <x:c r="J55" s="3"/>
      <x:c r="K55" s="3"/>
      <x:c r="L55" s="3"/>
      <x:c r="M55" s="1" t="str">
        <x:f>IF(B55="","",IF(W55="Invalid hours","Invalid hours",IF(NOT(ISNUMBER(X55)),"Excluded",IF(AND(J55&lt;&gt;"",K55&lt;&gt;"",L55&lt;&gt;"",COUNTIF('SOW caps'!$N$7:$N$36,A55&amp;"|"&amp;K55)=1),"Mapped","Needs allocation"))))</x:f>
      </x:c>
      <x:c r="N55" s="8" t="str">
        <x:f>IF(B55="","",IF(M55="Mapped",_xlfn.XLOOKUP(A55&amp;"|"&amp;K55,'SOW caps'!$N$7:$N$36,'SOW caps'!$E$7:$E$36,""),IF(ISNUMBER('SOW caps'!$B$3),'SOW caps'!$B$3,"")))</x:f>
      </x:c>
      <x:c r="O55" s="8" t="str">
        <x:f>IF(AND(ISNUMBER(X55),ISNUMBER(N55),N55&gt;=0),X55*N55,"")</x:f>
      </x:c>
      <x:c r="P55" s="3"/>
      <x:c r="Q55" s="3"/>
      <x:c r="R55" s="3"/>
      <x:c r="S55" s="3"/>
      <x:c r="T55" s="3"/>
      <x:c r="U55" s="8" t="str">
        <x:f>IF(M55="Mapped",IF(OR(_xlfn.XLOOKUP(A55&amp;"|"&amp;K55,'SOW caps'!$N$7:$N$36,'SOW caps'!$M$7:$M$36,"")="Ready",_xlfn.XLOOKUP(A55&amp;"|"&amp;K55,'SOW caps'!$N$7:$N$36,'SOW caps'!$M$7:$M$36,"")="No hours"),_xlfn.XLOOKUP(A55&amp;"|"&amp;K55,'SOW caps'!$N$7:$N$36,'SOW caps'!$O$7:$O$36,""),""),"")</x:f>
      </x:c>
      <x:c r="V55" s="8" t="str">
        <x:f>IF(AND(ISNUMBER(U55),ISNUMBER(X55)),ROUND(SUMIFS($X$7:X55,$A$7:A55,A55,$K$7:K55,K55,$M$7:M55,"Mapped")*U55,2)-ROUND((SUMIFS($X$7:X55,$A$7:A55,A55,$K$7:K55,K55,$M$7:M55,"Mapped")-X55)*U55,2),"")</x:f>
      </x:c>
      <x:c r="W55" s="1" t="str">
        <x:f>IF(B55="","",IF(OR(NOT(ISNUMBER(I55)),I55&lt;0),"Invalid hours",IF(NOT(ISNUMBER(R55)),"Manual hours",IF(ROUND(I55*3600000,0)=R55,"Source hours","Adjusted hours"))))</x:f>
      </x:c>
      <x:c r="X55" s="10" t="str">
        <x:f>IF(B55="","",IF(AND(ISNUMBER(I55),I55&gt;=0,Q55="In period"),I55,""))</x:f>
      </x:c>
    </x:row>
    <x:row r="56" ht="23" customHeight="1">
      <x:c r="A56" s="3"/>
      <x:c r="B56" s="3"/>
      <x:c r="C56" s="3"/>
      <x:c r="D56" s="3"/>
      <x:c r="E56" s="3"/>
      <x:c r="F56" s="3"/>
      <x:c r="G56" s="3"/>
      <x:c r="H56" s="3"/>
      <x:c r="I56" s="9"/>
      <x:c r="J56" s="3"/>
      <x:c r="K56" s="3"/>
      <x:c r="L56" s="3"/>
      <x:c r="M56" s="1" t="str">
        <x:f>IF(B56="","",IF(W56="Invalid hours","Invalid hours",IF(NOT(ISNUMBER(X56)),"Excluded",IF(AND(J56&lt;&gt;"",K56&lt;&gt;"",L56&lt;&gt;"",COUNTIF('SOW caps'!$N$7:$N$36,A56&amp;"|"&amp;K56)=1),"Mapped","Needs allocation"))))</x:f>
      </x:c>
      <x:c r="N56" s="8" t="str">
        <x:f>IF(B56="","",IF(M56="Mapped",_xlfn.XLOOKUP(A56&amp;"|"&amp;K56,'SOW caps'!$N$7:$N$36,'SOW caps'!$E$7:$E$36,""),IF(ISNUMBER('SOW caps'!$B$3),'SOW caps'!$B$3,"")))</x:f>
      </x:c>
      <x:c r="O56" s="8" t="str">
        <x:f>IF(AND(ISNUMBER(X56),ISNUMBER(N56),N56&gt;=0),X56*N56,"")</x:f>
      </x:c>
      <x:c r="P56" s="3"/>
      <x:c r="Q56" s="3"/>
      <x:c r="R56" s="3"/>
      <x:c r="S56" s="3"/>
      <x:c r="T56" s="3"/>
      <x:c r="U56" s="8" t="str">
        <x:f>IF(M56="Mapped",IF(OR(_xlfn.XLOOKUP(A56&amp;"|"&amp;K56,'SOW caps'!$N$7:$N$36,'SOW caps'!$M$7:$M$36,"")="Ready",_xlfn.XLOOKUP(A56&amp;"|"&amp;K56,'SOW caps'!$N$7:$N$36,'SOW caps'!$M$7:$M$36,"")="No hours"),_xlfn.XLOOKUP(A56&amp;"|"&amp;K56,'SOW caps'!$N$7:$N$36,'SOW caps'!$O$7:$O$36,""),""),"")</x:f>
      </x:c>
      <x:c r="V56" s="8" t="str">
        <x:f>IF(AND(ISNUMBER(U56),ISNUMBER(X56)),ROUND(SUMIFS($X$7:X56,$A$7:A56,A56,$K$7:K56,K56,$M$7:M56,"Mapped")*U56,2)-ROUND((SUMIFS($X$7:X56,$A$7:A56,A56,$K$7:K56,K56,$M$7:M56,"Mapped")-X56)*U56,2),"")</x:f>
      </x:c>
      <x:c r="W56" s="1" t="str">
        <x:f>IF(B56="","",IF(OR(NOT(ISNUMBER(I56)),I56&lt;0),"Invalid hours",IF(NOT(ISNUMBER(R56)),"Manual hours",IF(ROUND(I56*3600000,0)=R56,"Source hours","Adjusted hours"))))</x:f>
      </x:c>
      <x:c r="X56" s="10" t="str">
        <x:f>IF(B56="","",IF(AND(ISNUMBER(I56),I56&gt;=0,Q56="In period"),I56,""))</x:f>
      </x:c>
    </x:row>
    <x:row r="57" ht="23" customHeight="1">
      <x:c r="A57" s="3"/>
      <x:c r="B57" s="3"/>
      <x:c r="C57" s="3"/>
      <x:c r="D57" s="3"/>
      <x:c r="E57" s="3"/>
      <x:c r="F57" s="3"/>
      <x:c r="G57" s="3"/>
      <x:c r="H57" s="3"/>
      <x:c r="I57" s="9"/>
      <x:c r="J57" s="3"/>
      <x:c r="K57" s="3"/>
      <x:c r="L57" s="3"/>
      <x:c r="M57" s="1" t="str">
        <x:f>IF(B57="","",IF(W57="Invalid hours","Invalid hours",IF(NOT(ISNUMBER(X57)),"Excluded",IF(AND(J57&lt;&gt;"",K57&lt;&gt;"",L57&lt;&gt;"",COUNTIF('SOW caps'!$N$7:$N$36,A57&amp;"|"&amp;K57)=1),"Mapped","Needs allocation"))))</x:f>
      </x:c>
      <x:c r="N57" s="8" t="str">
        <x:f>IF(B57="","",IF(M57="Mapped",_xlfn.XLOOKUP(A57&amp;"|"&amp;K57,'SOW caps'!$N$7:$N$36,'SOW caps'!$E$7:$E$36,""),IF(ISNUMBER('SOW caps'!$B$3),'SOW caps'!$B$3,"")))</x:f>
      </x:c>
      <x:c r="O57" s="8" t="str">
        <x:f>IF(AND(ISNUMBER(X57),ISNUMBER(N57),N57&gt;=0),X57*N57,"")</x:f>
      </x:c>
      <x:c r="P57" s="3"/>
      <x:c r="Q57" s="3"/>
      <x:c r="R57" s="3"/>
      <x:c r="S57" s="3"/>
      <x:c r="T57" s="3"/>
      <x:c r="U57" s="8" t="str">
        <x:f>IF(M57="Mapped",IF(OR(_xlfn.XLOOKUP(A57&amp;"|"&amp;K57,'SOW caps'!$N$7:$N$36,'SOW caps'!$M$7:$M$36,"")="Ready",_xlfn.XLOOKUP(A57&amp;"|"&amp;K57,'SOW caps'!$N$7:$N$36,'SOW caps'!$M$7:$M$36,"")="No hours"),_xlfn.XLOOKUP(A57&amp;"|"&amp;K57,'SOW caps'!$N$7:$N$36,'SOW caps'!$O$7:$O$36,""),""),"")</x:f>
      </x:c>
      <x:c r="V57" s="8" t="str">
        <x:f>IF(AND(ISNUMBER(U57),ISNUMBER(X57)),ROUND(SUMIFS($X$7:X57,$A$7:A57,A57,$K$7:K57,K57,$M$7:M57,"Mapped")*U57,2)-ROUND((SUMIFS($X$7:X57,$A$7:A57,A57,$K$7:K57,K57,$M$7:M57,"Mapped")-X57)*U57,2),"")</x:f>
      </x:c>
      <x:c r="W57" s="1" t="str">
        <x:f>IF(B57="","",IF(OR(NOT(ISNUMBER(I57)),I57&lt;0),"Invalid hours",IF(NOT(ISNUMBER(R57)),"Manual hours",IF(ROUND(I57*3600000,0)=R57,"Source hours","Adjusted hours"))))</x:f>
      </x:c>
      <x:c r="X57" s="10" t="str">
        <x:f>IF(B57="","",IF(AND(ISNUMBER(I57),I57&gt;=0,Q57="In period"),I57,""))</x:f>
      </x:c>
    </x:row>
    <x:row r="58" ht="23" customHeight="1">
      <x:c r="A58" s="3"/>
      <x:c r="B58" s="3"/>
      <x:c r="C58" s="3"/>
      <x:c r="D58" s="3"/>
      <x:c r="E58" s="3"/>
      <x:c r="F58" s="3"/>
      <x:c r="G58" s="3"/>
      <x:c r="H58" s="3"/>
      <x:c r="I58" s="9"/>
      <x:c r="J58" s="3"/>
      <x:c r="K58" s="3"/>
      <x:c r="L58" s="3"/>
      <x:c r="M58" s="1" t="str">
        <x:f>IF(B58="","",IF(W58="Invalid hours","Invalid hours",IF(NOT(ISNUMBER(X58)),"Excluded",IF(AND(J58&lt;&gt;"",K58&lt;&gt;"",L58&lt;&gt;"",COUNTIF('SOW caps'!$N$7:$N$36,A58&amp;"|"&amp;K58)=1),"Mapped","Needs allocation"))))</x:f>
      </x:c>
      <x:c r="N58" s="8" t="str">
        <x:f>IF(B58="","",IF(M58="Mapped",_xlfn.XLOOKUP(A58&amp;"|"&amp;K58,'SOW caps'!$N$7:$N$36,'SOW caps'!$E$7:$E$36,""),IF(ISNUMBER('SOW caps'!$B$3),'SOW caps'!$B$3,"")))</x:f>
      </x:c>
      <x:c r="O58" s="8" t="str">
        <x:f>IF(AND(ISNUMBER(X58),ISNUMBER(N58),N58&gt;=0),X58*N58,"")</x:f>
      </x:c>
      <x:c r="P58" s="3"/>
      <x:c r="Q58" s="3"/>
      <x:c r="R58" s="3"/>
      <x:c r="S58" s="3"/>
      <x:c r="T58" s="3"/>
      <x:c r="U58" s="8" t="str">
        <x:f>IF(M58="Mapped",IF(OR(_xlfn.XLOOKUP(A58&amp;"|"&amp;K58,'SOW caps'!$N$7:$N$36,'SOW caps'!$M$7:$M$36,"")="Ready",_xlfn.XLOOKUP(A58&amp;"|"&amp;K58,'SOW caps'!$N$7:$N$36,'SOW caps'!$M$7:$M$36,"")="No hours"),_xlfn.XLOOKUP(A58&amp;"|"&amp;K58,'SOW caps'!$N$7:$N$36,'SOW caps'!$O$7:$O$36,""),""),"")</x:f>
      </x:c>
      <x:c r="V58" s="8" t="str">
        <x:f>IF(AND(ISNUMBER(U58),ISNUMBER(X58)),ROUND(SUMIFS($X$7:X58,$A$7:A58,A58,$K$7:K58,K58,$M$7:M58,"Mapped")*U58,2)-ROUND((SUMIFS($X$7:X58,$A$7:A58,A58,$K$7:K58,K58,$M$7:M58,"Mapped")-X58)*U58,2),"")</x:f>
      </x:c>
      <x:c r="W58" s="1" t="str">
        <x:f>IF(B58="","",IF(OR(NOT(ISNUMBER(I58)),I58&lt;0),"Invalid hours",IF(NOT(ISNUMBER(R58)),"Manual hours",IF(ROUND(I58*3600000,0)=R58,"Source hours","Adjusted hours"))))</x:f>
      </x:c>
      <x:c r="X58" s="10" t="str">
        <x:f>IF(B58="","",IF(AND(ISNUMBER(I58),I58&gt;=0,Q58="In period"),I58,""))</x:f>
      </x:c>
    </x:row>
    <x:row r="59" ht="23" customHeight="1">
      <x:c r="A59" s="3"/>
      <x:c r="B59" s="3"/>
      <x:c r="C59" s="3"/>
      <x:c r="D59" s="3"/>
      <x:c r="E59" s="3"/>
      <x:c r="F59" s="3"/>
      <x:c r="G59" s="3"/>
      <x:c r="H59" s="3"/>
      <x:c r="I59" s="9"/>
      <x:c r="J59" s="3"/>
      <x:c r="K59" s="3"/>
      <x:c r="L59" s="3"/>
      <x:c r="M59" s="1" t="str">
        <x:f>IF(B59="","",IF(W59="Invalid hours","Invalid hours",IF(NOT(ISNUMBER(X59)),"Excluded",IF(AND(J59&lt;&gt;"",K59&lt;&gt;"",L59&lt;&gt;"",COUNTIF('SOW caps'!$N$7:$N$36,A59&amp;"|"&amp;K59)=1),"Mapped","Needs allocation"))))</x:f>
      </x:c>
      <x:c r="N59" s="8" t="str">
        <x:f>IF(B59="","",IF(M59="Mapped",_xlfn.XLOOKUP(A59&amp;"|"&amp;K59,'SOW caps'!$N$7:$N$36,'SOW caps'!$E$7:$E$36,""),IF(ISNUMBER('SOW caps'!$B$3),'SOW caps'!$B$3,"")))</x:f>
      </x:c>
      <x:c r="O59" s="8" t="str">
        <x:f>IF(AND(ISNUMBER(X59),ISNUMBER(N59),N59&gt;=0),X59*N59,"")</x:f>
      </x:c>
      <x:c r="P59" s="3"/>
      <x:c r="Q59" s="3"/>
      <x:c r="R59" s="3"/>
      <x:c r="S59" s="3"/>
      <x:c r="T59" s="3"/>
      <x:c r="U59" s="8" t="str">
        <x:f>IF(M59="Mapped",IF(OR(_xlfn.XLOOKUP(A59&amp;"|"&amp;K59,'SOW caps'!$N$7:$N$36,'SOW caps'!$M$7:$M$36,"")="Ready",_xlfn.XLOOKUP(A59&amp;"|"&amp;K59,'SOW caps'!$N$7:$N$36,'SOW caps'!$M$7:$M$36,"")="No hours"),_xlfn.XLOOKUP(A59&amp;"|"&amp;K59,'SOW caps'!$N$7:$N$36,'SOW caps'!$O$7:$O$36,""),""),"")</x:f>
      </x:c>
      <x:c r="V59" s="8" t="str">
        <x:f>IF(AND(ISNUMBER(U59),ISNUMBER(X59)),ROUND(SUMIFS($X$7:X59,$A$7:A59,A59,$K$7:K59,K59,$M$7:M59,"Mapped")*U59,2)-ROUND((SUMIFS($X$7:X59,$A$7:A59,A59,$K$7:K59,K59,$M$7:M59,"Mapped")-X59)*U59,2),"")</x:f>
      </x:c>
      <x:c r="W59" s="1" t="str">
        <x:f>IF(B59="","",IF(OR(NOT(ISNUMBER(I59)),I59&lt;0),"Invalid hours",IF(NOT(ISNUMBER(R59)),"Manual hours",IF(ROUND(I59*3600000,0)=R59,"Source hours","Adjusted hours"))))</x:f>
      </x:c>
      <x:c r="X59" s="10" t="str">
        <x:f>IF(B59="","",IF(AND(ISNUMBER(I59),I59&gt;=0,Q59="In period"),I59,""))</x:f>
      </x:c>
    </x:row>
    <x:row r="60" ht="23" customHeight="1">
      <x:c r="A60" s="3"/>
      <x:c r="B60" s="3"/>
      <x:c r="C60" s="3"/>
      <x:c r="D60" s="3"/>
      <x:c r="E60" s="3"/>
      <x:c r="F60" s="3"/>
      <x:c r="G60" s="3"/>
      <x:c r="H60" s="3"/>
      <x:c r="I60" s="9"/>
      <x:c r="J60" s="3"/>
      <x:c r="K60" s="3"/>
      <x:c r="L60" s="3"/>
      <x:c r="M60" s="1" t="str">
        <x:f>IF(B60="","",IF(W60="Invalid hours","Invalid hours",IF(NOT(ISNUMBER(X60)),"Excluded",IF(AND(J60&lt;&gt;"",K60&lt;&gt;"",L60&lt;&gt;"",COUNTIF('SOW caps'!$N$7:$N$36,A60&amp;"|"&amp;K60)=1),"Mapped","Needs allocation"))))</x:f>
      </x:c>
      <x:c r="N60" s="8" t="str">
        <x:f>IF(B60="","",IF(M60="Mapped",_xlfn.XLOOKUP(A60&amp;"|"&amp;K60,'SOW caps'!$N$7:$N$36,'SOW caps'!$E$7:$E$36,""),IF(ISNUMBER('SOW caps'!$B$3),'SOW caps'!$B$3,"")))</x:f>
      </x:c>
      <x:c r="O60" s="8" t="str">
        <x:f>IF(AND(ISNUMBER(X60),ISNUMBER(N60),N60&gt;=0),X60*N60,"")</x:f>
      </x:c>
      <x:c r="P60" s="3"/>
      <x:c r="Q60" s="3"/>
      <x:c r="R60" s="3"/>
      <x:c r="S60" s="3"/>
      <x:c r="T60" s="3"/>
      <x:c r="U60" s="8" t="str">
        <x:f>IF(M60="Mapped",IF(OR(_xlfn.XLOOKUP(A60&amp;"|"&amp;K60,'SOW caps'!$N$7:$N$36,'SOW caps'!$M$7:$M$36,"")="Ready",_xlfn.XLOOKUP(A60&amp;"|"&amp;K60,'SOW caps'!$N$7:$N$36,'SOW caps'!$M$7:$M$36,"")="No hours"),_xlfn.XLOOKUP(A60&amp;"|"&amp;K60,'SOW caps'!$N$7:$N$36,'SOW caps'!$O$7:$O$36,""),""),"")</x:f>
      </x:c>
      <x:c r="V60" s="8" t="str">
        <x:f>IF(AND(ISNUMBER(U60),ISNUMBER(X60)),ROUND(SUMIFS($X$7:X60,$A$7:A60,A60,$K$7:K60,K60,$M$7:M60,"Mapped")*U60,2)-ROUND((SUMIFS($X$7:X60,$A$7:A60,A60,$K$7:K60,K60,$M$7:M60,"Mapped")-X60)*U60,2),"")</x:f>
      </x:c>
      <x:c r="W60" s="1" t="str">
        <x:f>IF(B60="","",IF(OR(NOT(ISNUMBER(I60)),I60&lt;0),"Invalid hours",IF(NOT(ISNUMBER(R60)),"Manual hours",IF(ROUND(I60*3600000,0)=R60,"Source hours","Adjusted hours"))))</x:f>
      </x:c>
      <x:c r="X60" s="10" t="str">
        <x:f>IF(B60="","",IF(AND(ISNUMBER(I60),I60&gt;=0,Q60="In period"),I60,""))</x:f>
      </x:c>
    </x:row>
    <x:row r="61" ht="23" customHeight="1">
      <x:c r="A61" s="3"/>
      <x:c r="B61" s="3"/>
      <x:c r="C61" s="3"/>
      <x:c r="D61" s="3"/>
      <x:c r="E61" s="3"/>
      <x:c r="F61" s="3"/>
      <x:c r="G61" s="3"/>
      <x:c r="H61" s="3"/>
      <x:c r="I61" s="9"/>
      <x:c r="J61" s="3"/>
      <x:c r="K61" s="3"/>
      <x:c r="L61" s="3"/>
      <x:c r="M61" s="1" t="str">
        <x:f>IF(B61="","",IF(W61="Invalid hours","Invalid hours",IF(NOT(ISNUMBER(X61)),"Excluded",IF(AND(J61&lt;&gt;"",K61&lt;&gt;"",L61&lt;&gt;"",COUNTIF('SOW caps'!$N$7:$N$36,A61&amp;"|"&amp;K61)=1),"Mapped","Needs allocation"))))</x:f>
      </x:c>
      <x:c r="N61" s="8" t="str">
        <x:f>IF(B61="","",IF(M61="Mapped",_xlfn.XLOOKUP(A61&amp;"|"&amp;K61,'SOW caps'!$N$7:$N$36,'SOW caps'!$E$7:$E$36,""),IF(ISNUMBER('SOW caps'!$B$3),'SOW caps'!$B$3,"")))</x:f>
      </x:c>
      <x:c r="O61" s="8" t="str">
        <x:f>IF(AND(ISNUMBER(X61),ISNUMBER(N61),N61&gt;=0),X61*N61,"")</x:f>
      </x:c>
      <x:c r="P61" s="3"/>
      <x:c r="Q61" s="3"/>
      <x:c r="R61" s="3"/>
      <x:c r="S61" s="3"/>
      <x:c r="T61" s="3"/>
      <x:c r="U61" s="8" t="str">
        <x:f>IF(M61="Mapped",IF(OR(_xlfn.XLOOKUP(A61&amp;"|"&amp;K61,'SOW caps'!$N$7:$N$36,'SOW caps'!$M$7:$M$36,"")="Ready",_xlfn.XLOOKUP(A61&amp;"|"&amp;K61,'SOW caps'!$N$7:$N$36,'SOW caps'!$M$7:$M$36,"")="No hours"),_xlfn.XLOOKUP(A61&amp;"|"&amp;K61,'SOW caps'!$N$7:$N$36,'SOW caps'!$O$7:$O$36,""),""),"")</x:f>
      </x:c>
      <x:c r="V61" s="8" t="str">
        <x:f>IF(AND(ISNUMBER(U61),ISNUMBER(X61)),ROUND(SUMIFS($X$7:X61,$A$7:A61,A61,$K$7:K61,K61,$M$7:M61,"Mapped")*U61,2)-ROUND((SUMIFS($X$7:X61,$A$7:A61,A61,$K$7:K61,K61,$M$7:M61,"Mapped")-X61)*U61,2),"")</x:f>
      </x:c>
      <x:c r="W61" s="1" t="str">
        <x:f>IF(B61="","",IF(OR(NOT(ISNUMBER(I61)),I61&lt;0),"Invalid hours",IF(NOT(ISNUMBER(R61)),"Manual hours",IF(ROUND(I61*3600000,0)=R61,"Source hours","Adjusted hours"))))</x:f>
      </x:c>
      <x:c r="X61" s="10" t="str">
        <x:f>IF(B61="","",IF(AND(ISNUMBER(I61),I61&gt;=0,Q61="In period"),I61,""))</x:f>
      </x:c>
    </x:row>
    <x:row r="62" ht="23" customHeight="1">
      <x:c r="A62" s="3"/>
      <x:c r="B62" s="3"/>
      <x:c r="C62" s="3"/>
      <x:c r="D62" s="3"/>
      <x:c r="E62" s="3"/>
      <x:c r="F62" s="3"/>
      <x:c r="G62" s="3"/>
      <x:c r="H62" s="3"/>
      <x:c r="I62" s="9"/>
      <x:c r="J62" s="3"/>
      <x:c r="K62" s="3"/>
      <x:c r="L62" s="3"/>
      <x:c r="M62" s="1" t="str">
        <x:f>IF(B62="","",IF(W62="Invalid hours","Invalid hours",IF(NOT(ISNUMBER(X62)),"Excluded",IF(AND(J62&lt;&gt;"",K62&lt;&gt;"",L62&lt;&gt;"",COUNTIF('SOW caps'!$N$7:$N$36,A62&amp;"|"&amp;K62)=1),"Mapped","Needs allocation"))))</x:f>
      </x:c>
      <x:c r="N62" s="8" t="str">
        <x:f>IF(B62="","",IF(M62="Mapped",_xlfn.XLOOKUP(A62&amp;"|"&amp;K62,'SOW caps'!$N$7:$N$36,'SOW caps'!$E$7:$E$36,""),IF(ISNUMBER('SOW caps'!$B$3),'SOW caps'!$B$3,"")))</x:f>
      </x:c>
      <x:c r="O62" s="8" t="str">
        <x:f>IF(AND(ISNUMBER(X62),ISNUMBER(N62),N62&gt;=0),X62*N62,"")</x:f>
      </x:c>
      <x:c r="P62" s="3"/>
      <x:c r="Q62" s="3"/>
      <x:c r="R62" s="3"/>
      <x:c r="S62" s="3"/>
      <x:c r="T62" s="3"/>
      <x:c r="U62" s="8" t="str">
        <x:f>IF(M62="Mapped",IF(OR(_xlfn.XLOOKUP(A62&amp;"|"&amp;K62,'SOW caps'!$N$7:$N$36,'SOW caps'!$M$7:$M$36,"")="Ready",_xlfn.XLOOKUP(A62&amp;"|"&amp;K62,'SOW caps'!$N$7:$N$36,'SOW caps'!$M$7:$M$36,"")="No hours"),_xlfn.XLOOKUP(A62&amp;"|"&amp;K62,'SOW caps'!$N$7:$N$36,'SOW caps'!$O$7:$O$36,""),""),"")</x:f>
      </x:c>
      <x:c r="V62" s="8" t="str">
        <x:f>IF(AND(ISNUMBER(U62),ISNUMBER(X62)),ROUND(SUMIFS($X$7:X62,$A$7:A62,A62,$K$7:K62,K62,$M$7:M62,"Mapped")*U62,2)-ROUND((SUMIFS($X$7:X62,$A$7:A62,A62,$K$7:K62,K62,$M$7:M62,"Mapped")-X62)*U62,2),"")</x:f>
      </x:c>
      <x:c r="W62" s="1" t="str">
        <x:f>IF(B62="","",IF(OR(NOT(ISNUMBER(I62)),I62&lt;0),"Invalid hours",IF(NOT(ISNUMBER(R62)),"Manual hours",IF(ROUND(I62*3600000,0)=R62,"Source hours","Adjusted hours"))))</x:f>
      </x:c>
      <x:c r="X62" s="10" t="str">
        <x:f>IF(B62="","",IF(AND(ISNUMBER(I62),I62&gt;=0,Q62="In period"),I62,""))</x:f>
      </x:c>
    </x:row>
    <x:row r="63" ht="23" customHeight="1">
      <x:c r="A63" s="3"/>
      <x:c r="B63" s="3"/>
      <x:c r="C63" s="3"/>
      <x:c r="D63" s="3"/>
      <x:c r="E63" s="3"/>
      <x:c r="F63" s="3"/>
      <x:c r="G63" s="3"/>
      <x:c r="H63" s="3"/>
      <x:c r="I63" s="9"/>
      <x:c r="J63" s="3"/>
      <x:c r="K63" s="3"/>
      <x:c r="L63" s="3"/>
      <x:c r="M63" s="1" t="str">
        <x:f>IF(B63="","",IF(W63="Invalid hours","Invalid hours",IF(NOT(ISNUMBER(X63)),"Excluded",IF(AND(J63&lt;&gt;"",K63&lt;&gt;"",L63&lt;&gt;"",COUNTIF('SOW caps'!$N$7:$N$36,A63&amp;"|"&amp;K63)=1),"Mapped","Needs allocation"))))</x:f>
      </x:c>
      <x:c r="N63" s="8" t="str">
        <x:f>IF(B63="","",IF(M63="Mapped",_xlfn.XLOOKUP(A63&amp;"|"&amp;K63,'SOW caps'!$N$7:$N$36,'SOW caps'!$E$7:$E$36,""),IF(ISNUMBER('SOW caps'!$B$3),'SOW caps'!$B$3,"")))</x:f>
      </x:c>
      <x:c r="O63" s="8" t="str">
        <x:f>IF(AND(ISNUMBER(X63),ISNUMBER(N63),N63&gt;=0),X63*N63,"")</x:f>
      </x:c>
      <x:c r="P63" s="3"/>
      <x:c r="Q63" s="3"/>
      <x:c r="R63" s="3"/>
      <x:c r="S63" s="3"/>
      <x:c r="T63" s="3"/>
      <x:c r="U63" s="8" t="str">
        <x:f>IF(M63="Mapped",IF(OR(_xlfn.XLOOKUP(A63&amp;"|"&amp;K63,'SOW caps'!$N$7:$N$36,'SOW caps'!$M$7:$M$36,"")="Ready",_xlfn.XLOOKUP(A63&amp;"|"&amp;K63,'SOW caps'!$N$7:$N$36,'SOW caps'!$M$7:$M$36,"")="No hours"),_xlfn.XLOOKUP(A63&amp;"|"&amp;K63,'SOW caps'!$N$7:$N$36,'SOW caps'!$O$7:$O$36,""),""),"")</x:f>
      </x:c>
      <x:c r="V63" s="8" t="str">
        <x:f>IF(AND(ISNUMBER(U63),ISNUMBER(X63)),ROUND(SUMIFS($X$7:X63,$A$7:A63,A63,$K$7:K63,K63,$M$7:M63,"Mapped")*U63,2)-ROUND((SUMIFS($X$7:X63,$A$7:A63,A63,$K$7:K63,K63,$M$7:M63,"Mapped")-X63)*U63,2),"")</x:f>
      </x:c>
      <x:c r="W63" s="1" t="str">
        <x:f>IF(B63="","",IF(OR(NOT(ISNUMBER(I63)),I63&lt;0),"Invalid hours",IF(NOT(ISNUMBER(R63)),"Manual hours",IF(ROUND(I63*3600000,0)=R63,"Source hours","Adjusted hours"))))</x:f>
      </x:c>
      <x:c r="X63" s="10" t="str">
        <x:f>IF(B63="","",IF(AND(ISNUMBER(I63),I63&gt;=0,Q63="In period"),I63,""))</x:f>
      </x:c>
    </x:row>
    <x:row r="64" ht="23" customHeight="1">
      <x:c r="A64" s="3"/>
      <x:c r="B64" s="3"/>
      <x:c r="C64" s="3"/>
      <x:c r="D64" s="3"/>
      <x:c r="E64" s="3"/>
      <x:c r="F64" s="3"/>
      <x:c r="G64" s="3"/>
      <x:c r="H64" s="3"/>
      <x:c r="I64" s="9"/>
      <x:c r="J64" s="3"/>
      <x:c r="K64" s="3"/>
      <x:c r="L64" s="3"/>
      <x:c r="M64" s="1" t="str">
        <x:f>IF(B64="","",IF(W64="Invalid hours","Invalid hours",IF(NOT(ISNUMBER(X64)),"Excluded",IF(AND(J64&lt;&gt;"",K64&lt;&gt;"",L64&lt;&gt;"",COUNTIF('SOW caps'!$N$7:$N$36,A64&amp;"|"&amp;K64)=1),"Mapped","Needs allocation"))))</x:f>
      </x:c>
      <x:c r="N64" s="8" t="str">
        <x:f>IF(B64="","",IF(M64="Mapped",_xlfn.XLOOKUP(A64&amp;"|"&amp;K64,'SOW caps'!$N$7:$N$36,'SOW caps'!$E$7:$E$36,""),IF(ISNUMBER('SOW caps'!$B$3),'SOW caps'!$B$3,"")))</x:f>
      </x:c>
      <x:c r="O64" s="8" t="str">
        <x:f>IF(AND(ISNUMBER(X64),ISNUMBER(N64),N64&gt;=0),X64*N64,"")</x:f>
      </x:c>
      <x:c r="P64" s="3"/>
      <x:c r="Q64" s="3"/>
      <x:c r="R64" s="3"/>
      <x:c r="S64" s="3"/>
      <x:c r="T64" s="3"/>
      <x:c r="U64" s="8" t="str">
        <x:f>IF(M64="Mapped",IF(OR(_xlfn.XLOOKUP(A64&amp;"|"&amp;K64,'SOW caps'!$N$7:$N$36,'SOW caps'!$M$7:$M$36,"")="Ready",_xlfn.XLOOKUP(A64&amp;"|"&amp;K64,'SOW caps'!$N$7:$N$36,'SOW caps'!$M$7:$M$36,"")="No hours"),_xlfn.XLOOKUP(A64&amp;"|"&amp;K64,'SOW caps'!$N$7:$N$36,'SOW caps'!$O$7:$O$36,""),""),"")</x:f>
      </x:c>
      <x:c r="V64" s="8" t="str">
        <x:f>IF(AND(ISNUMBER(U64),ISNUMBER(X64)),ROUND(SUMIFS($X$7:X64,$A$7:A64,A64,$K$7:K64,K64,$M$7:M64,"Mapped")*U64,2)-ROUND((SUMIFS($X$7:X64,$A$7:A64,A64,$K$7:K64,K64,$M$7:M64,"Mapped")-X64)*U64,2),"")</x:f>
      </x:c>
      <x:c r="W64" s="1" t="str">
        <x:f>IF(B64="","",IF(OR(NOT(ISNUMBER(I64)),I64&lt;0),"Invalid hours",IF(NOT(ISNUMBER(R64)),"Manual hours",IF(ROUND(I64*3600000,0)=R64,"Source hours","Adjusted hours"))))</x:f>
      </x:c>
      <x:c r="X64" s="10" t="str">
        <x:f>IF(B64="","",IF(AND(ISNUMBER(I64),I64&gt;=0,Q64="In period"),I64,""))</x:f>
      </x:c>
    </x:row>
    <x:row r="65" ht="23" customHeight="1">
      <x:c r="A65" s="3"/>
      <x:c r="B65" s="3"/>
      <x:c r="C65" s="3"/>
      <x:c r="D65" s="3"/>
      <x:c r="E65" s="3"/>
      <x:c r="F65" s="3"/>
      <x:c r="G65" s="3"/>
      <x:c r="H65" s="3"/>
      <x:c r="I65" s="9"/>
      <x:c r="J65" s="3"/>
      <x:c r="K65" s="3"/>
      <x:c r="L65" s="3"/>
      <x:c r="M65" s="1" t="str">
        <x:f>IF(B65="","",IF(W65="Invalid hours","Invalid hours",IF(NOT(ISNUMBER(X65)),"Excluded",IF(AND(J65&lt;&gt;"",K65&lt;&gt;"",L65&lt;&gt;"",COUNTIF('SOW caps'!$N$7:$N$36,A65&amp;"|"&amp;K65)=1),"Mapped","Needs allocation"))))</x:f>
      </x:c>
      <x:c r="N65" s="8" t="str">
        <x:f>IF(B65="","",IF(M65="Mapped",_xlfn.XLOOKUP(A65&amp;"|"&amp;K65,'SOW caps'!$N$7:$N$36,'SOW caps'!$E$7:$E$36,""),IF(ISNUMBER('SOW caps'!$B$3),'SOW caps'!$B$3,"")))</x:f>
      </x:c>
      <x:c r="O65" s="8" t="str">
        <x:f>IF(AND(ISNUMBER(X65),ISNUMBER(N65),N65&gt;=0),X65*N65,"")</x:f>
      </x:c>
      <x:c r="P65" s="3"/>
      <x:c r="Q65" s="3"/>
      <x:c r="R65" s="3"/>
      <x:c r="S65" s="3"/>
      <x:c r="T65" s="3"/>
      <x:c r="U65" s="8" t="str">
        <x:f>IF(M65="Mapped",IF(OR(_xlfn.XLOOKUP(A65&amp;"|"&amp;K65,'SOW caps'!$N$7:$N$36,'SOW caps'!$M$7:$M$36,"")="Ready",_xlfn.XLOOKUP(A65&amp;"|"&amp;K65,'SOW caps'!$N$7:$N$36,'SOW caps'!$M$7:$M$36,"")="No hours"),_xlfn.XLOOKUP(A65&amp;"|"&amp;K65,'SOW caps'!$N$7:$N$36,'SOW caps'!$O$7:$O$36,""),""),"")</x:f>
      </x:c>
      <x:c r="V65" s="8" t="str">
        <x:f>IF(AND(ISNUMBER(U65),ISNUMBER(X65)),ROUND(SUMIFS($X$7:X65,$A$7:A65,A65,$K$7:K65,K65,$M$7:M65,"Mapped")*U65,2)-ROUND((SUMIFS($X$7:X65,$A$7:A65,A65,$K$7:K65,K65,$M$7:M65,"Mapped")-X65)*U65,2),"")</x:f>
      </x:c>
      <x:c r="W65" s="1" t="str">
        <x:f>IF(B65="","",IF(OR(NOT(ISNUMBER(I65)),I65&lt;0),"Invalid hours",IF(NOT(ISNUMBER(R65)),"Manual hours",IF(ROUND(I65*3600000,0)=R65,"Source hours","Adjusted hours"))))</x:f>
      </x:c>
      <x:c r="X65" s="10" t="str">
        <x:f>IF(B65="","",IF(AND(ISNUMBER(I65),I65&gt;=0,Q65="In period"),I65,""))</x:f>
      </x:c>
    </x:row>
    <x:row r="66" ht="23" customHeight="1">
      <x:c r="A66" s="3"/>
      <x:c r="B66" s="3"/>
      <x:c r="C66" s="3"/>
      <x:c r="D66" s="3"/>
      <x:c r="E66" s="3"/>
      <x:c r="F66" s="3"/>
      <x:c r="G66" s="3"/>
      <x:c r="H66" s="3"/>
      <x:c r="I66" s="9"/>
      <x:c r="J66" s="3"/>
      <x:c r="K66" s="3"/>
      <x:c r="L66" s="3"/>
      <x:c r="M66" s="1" t="str">
        <x:f>IF(B66="","",IF(W66="Invalid hours","Invalid hours",IF(NOT(ISNUMBER(X66)),"Excluded",IF(AND(J66&lt;&gt;"",K66&lt;&gt;"",L66&lt;&gt;"",COUNTIF('SOW caps'!$N$7:$N$36,A66&amp;"|"&amp;K66)=1),"Mapped","Needs allocation"))))</x:f>
      </x:c>
      <x:c r="N66" s="8" t="str">
        <x:f>IF(B66="","",IF(M66="Mapped",_xlfn.XLOOKUP(A66&amp;"|"&amp;K66,'SOW caps'!$N$7:$N$36,'SOW caps'!$E$7:$E$36,""),IF(ISNUMBER('SOW caps'!$B$3),'SOW caps'!$B$3,"")))</x:f>
      </x:c>
      <x:c r="O66" s="8" t="str">
        <x:f>IF(AND(ISNUMBER(X66),ISNUMBER(N66),N66&gt;=0),X66*N66,"")</x:f>
      </x:c>
      <x:c r="P66" s="3"/>
      <x:c r="Q66" s="3"/>
      <x:c r="R66" s="3"/>
      <x:c r="S66" s="3"/>
      <x:c r="T66" s="3"/>
      <x:c r="U66" s="8" t="str">
        <x:f>IF(M66="Mapped",IF(OR(_xlfn.XLOOKUP(A66&amp;"|"&amp;K66,'SOW caps'!$N$7:$N$36,'SOW caps'!$M$7:$M$36,"")="Ready",_xlfn.XLOOKUP(A66&amp;"|"&amp;K66,'SOW caps'!$N$7:$N$36,'SOW caps'!$M$7:$M$36,"")="No hours"),_xlfn.XLOOKUP(A66&amp;"|"&amp;K66,'SOW caps'!$N$7:$N$36,'SOW caps'!$O$7:$O$36,""),""),"")</x:f>
      </x:c>
      <x:c r="V66" s="8" t="str">
        <x:f>IF(AND(ISNUMBER(U66),ISNUMBER(X66)),ROUND(SUMIFS($X$7:X66,$A$7:A66,A66,$K$7:K66,K66,$M$7:M66,"Mapped")*U66,2)-ROUND((SUMIFS($X$7:X66,$A$7:A66,A66,$K$7:K66,K66,$M$7:M66,"Mapped")-X66)*U66,2),"")</x:f>
      </x:c>
      <x:c r="W66" s="1" t="str">
        <x:f>IF(B66="","",IF(OR(NOT(ISNUMBER(I66)),I66&lt;0),"Invalid hours",IF(NOT(ISNUMBER(R66)),"Manual hours",IF(ROUND(I66*3600000,0)=R66,"Source hours","Adjusted hours"))))</x:f>
      </x:c>
      <x:c r="X66" s="10" t="str">
        <x:f>IF(B66="","",IF(AND(ISNUMBER(I66),I66&gt;=0,Q66="In period"),I66,""))</x:f>
      </x:c>
    </x:row>
    <x:row r="67" ht="23" customHeight="1">
      <x:c r="A67" s="3"/>
      <x:c r="B67" s="3"/>
      <x:c r="C67" s="3"/>
      <x:c r="D67" s="3"/>
      <x:c r="E67" s="3"/>
      <x:c r="F67" s="3"/>
      <x:c r="G67" s="3"/>
      <x:c r="H67" s="3"/>
      <x:c r="I67" s="9"/>
      <x:c r="J67" s="3"/>
      <x:c r="K67" s="3"/>
      <x:c r="L67" s="3"/>
      <x:c r="M67" s="1" t="str">
        <x:f>IF(B67="","",IF(W67="Invalid hours","Invalid hours",IF(NOT(ISNUMBER(X67)),"Excluded",IF(AND(J67&lt;&gt;"",K67&lt;&gt;"",L67&lt;&gt;"",COUNTIF('SOW caps'!$N$7:$N$36,A67&amp;"|"&amp;K67)=1),"Mapped","Needs allocation"))))</x:f>
      </x:c>
      <x:c r="N67" s="8" t="str">
        <x:f>IF(B67="","",IF(M67="Mapped",_xlfn.XLOOKUP(A67&amp;"|"&amp;K67,'SOW caps'!$N$7:$N$36,'SOW caps'!$E$7:$E$36,""),IF(ISNUMBER('SOW caps'!$B$3),'SOW caps'!$B$3,"")))</x:f>
      </x:c>
      <x:c r="O67" s="8" t="str">
        <x:f>IF(AND(ISNUMBER(X67),ISNUMBER(N67),N67&gt;=0),X67*N67,"")</x:f>
      </x:c>
      <x:c r="P67" s="3"/>
      <x:c r="Q67" s="3"/>
      <x:c r="R67" s="3"/>
      <x:c r="S67" s="3"/>
      <x:c r="T67" s="3"/>
      <x:c r="U67" s="8" t="str">
        <x:f>IF(M67="Mapped",IF(OR(_xlfn.XLOOKUP(A67&amp;"|"&amp;K67,'SOW caps'!$N$7:$N$36,'SOW caps'!$M$7:$M$36,"")="Ready",_xlfn.XLOOKUP(A67&amp;"|"&amp;K67,'SOW caps'!$N$7:$N$36,'SOW caps'!$M$7:$M$36,"")="No hours"),_xlfn.XLOOKUP(A67&amp;"|"&amp;K67,'SOW caps'!$N$7:$N$36,'SOW caps'!$O$7:$O$36,""),""),"")</x:f>
      </x:c>
      <x:c r="V67" s="8" t="str">
        <x:f>IF(AND(ISNUMBER(U67),ISNUMBER(X67)),ROUND(SUMIFS($X$7:X67,$A$7:A67,A67,$K$7:K67,K67,$M$7:M67,"Mapped")*U67,2)-ROUND((SUMIFS($X$7:X67,$A$7:A67,A67,$K$7:K67,K67,$M$7:M67,"Mapped")-X67)*U67,2),"")</x:f>
      </x:c>
      <x:c r="W67" s="1" t="str">
        <x:f>IF(B67="","",IF(OR(NOT(ISNUMBER(I67)),I67&lt;0),"Invalid hours",IF(NOT(ISNUMBER(R67)),"Manual hours",IF(ROUND(I67*3600000,0)=R67,"Source hours","Adjusted hours"))))</x:f>
      </x:c>
      <x:c r="X67" s="10" t="str">
        <x:f>IF(B67="","",IF(AND(ISNUMBER(I67),I67&gt;=0,Q67="In period"),I67,""))</x:f>
      </x:c>
    </x:row>
    <x:row r="68" ht="23" customHeight="1">
      <x:c r="A68" s="3"/>
      <x:c r="B68" s="3"/>
      <x:c r="C68" s="3"/>
      <x:c r="D68" s="3"/>
      <x:c r="E68" s="3"/>
      <x:c r="F68" s="3"/>
      <x:c r="G68" s="3"/>
      <x:c r="H68" s="3"/>
      <x:c r="I68" s="9"/>
      <x:c r="J68" s="3"/>
      <x:c r="K68" s="3"/>
      <x:c r="L68" s="3"/>
      <x:c r="M68" s="1" t="str">
        <x:f>IF(B68="","",IF(W68="Invalid hours","Invalid hours",IF(NOT(ISNUMBER(X68)),"Excluded",IF(AND(J68&lt;&gt;"",K68&lt;&gt;"",L68&lt;&gt;"",COUNTIF('SOW caps'!$N$7:$N$36,A68&amp;"|"&amp;K68)=1),"Mapped","Needs allocation"))))</x:f>
      </x:c>
      <x:c r="N68" s="8" t="str">
        <x:f>IF(B68="","",IF(M68="Mapped",_xlfn.XLOOKUP(A68&amp;"|"&amp;K68,'SOW caps'!$N$7:$N$36,'SOW caps'!$E$7:$E$36,""),IF(ISNUMBER('SOW caps'!$B$3),'SOW caps'!$B$3,"")))</x:f>
      </x:c>
      <x:c r="O68" s="8" t="str">
        <x:f>IF(AND(ISNUMBER(X68),ISNUMBER(N68),N68&gt;=0),X68*N68,"")</x:f>
      </x:c>
      <x:c r="P68" s="3"/>
      <x:c r="Q68" s="3"/>
      <x:c r="R68" s="3"/>
      <x:c r="S68" s="3"/>
      <x:c r="T68" s="3"/>
      <x:c r="U68" s="8" t="str">
        <x:f>IF(M68="Mapped",IF(OR(_xlfn.XLOOKUP(A68&amp;"|"&amp;K68,'SOW caps'!$N$7:$N$36,'SOW caps'!$M$7:$M$36,"")="Ready",_xlfn.XLOOKUP(A68&amp;"|"&amp;K68,'SOW caps'!$N$7:$N$36,'SOW caps'!$M$7:$M$36,"")="No hours"),_xlfn.XLOOKUP(A68&amp;"|"&amp;K68,'SOW caps'!$N$7:$N$36,'SOW caps'!$O$7:$O$36,""),""),"")</x:f>
      </x:c>
      <x:c r="V68" s="8" t="str">
        <x:f>IF(AND(ISNUMBER(U68),ISNUMBER(X68)),ROUND(SUMIFS($X$7:X68,$A$7:A68,A68,$K$7:K68,K68,$M$7:M68,"Mapped")*U68,2)-ROUND((SUMIFS($X$7:X68,$A$7:A68,A68,$K$7:K68,K68,$M$7:M68,"Mapped")-X68)*U68,2),"")</x:f>
      </x:c>
      <x:c r="W68" s="1" t="str">
        <x:f>IF(B68="","",IF(OR(NOT(ISNUMBER(I68)),I68&lt;0),"Invalid hours",IF(NOT(ISNUMBER(R68)),"Manual hours",IF(ROUND(I68*3600000,0)=R68,"Source hours","Adjusted hours"))))</x:f>
      </x:c>
      <x:c r="X68" s="10" t="str">
        <x:f>IF(B68="","",IF(AND(ISNUMBER(I68),I68&gt;=0,Q68="In period"),I68,""))</x:f>
      </x:c>
    </x:row>
    <x:row r="69" ht="23" customHeight="1">
      <x:c r="A69" s="3"/>
      <x:c r="B69" s="3"/>
      <x:c r="C69" s="3"/>
      <x:c r="D69" s="3"/>
      <x:c r="E69" s="3"/>
      <x:c r="F69" s="3"/>
      <x:c r="G69" s="3"/>
      <x:c r="H69" s="3"/>
      <x:c r="I69" s="9"/>
      <x:c r="J69" s="3"/>
      <x:c r="K69" s="3"/>
      <x:c r="L69" s="3"/>
      <x:c r="M69" s="1" t="str">
        <x:f>IF(B69="","",IF(W69="Invalid hours","Invalid hours",IF(NOT(ISNUMBER(X69)),"Excluded",IF(AND(J69&lt;&gt;"",K69&lt;&gt;"",L69&lt;&gt;"",COUNTIF('SOW caps'!$N$7:$N$36,A69&amp;"|"&amp;K69)=1),"Mapped","Needs allocation"))))</x:f>
      </x:c>
      <x:c r="N69" s="8" t="str">
        <x:f>IF(B69="","",IF(M69="Mapped",_xlfn.XLOOKUP(A69&amp;"|"&amp;K69,'SOW caps'!$N$7:$N$36,'SOW caps'!$E$7:$E$36,""),IF(ISNUMBER('SOW caps'!$B$3),'SOW caps'!$B$3,"")))</x:f>
      </x:c>
      <x:c r="O69" s="8" t="str">
        <x:f>IF(AND(ISNUMBER(X69),ISNUMBER(N69),N69&gt;=0),X69*N69,"")</x:f>
      </x:c>
      <x:c r="P69" s="3"/>
      <x:c r="Q69" s="3"/>
      <x:c r="R69" s="3"/>
      <x:c r="S69" s="3"/>
      <x:c r="T69" s="3"/>
      <x:c r="U69" s="8" t="str">
        <x:f>IF(M69="Mapped",IF(OR(_xlfn.XLOOKUP(A69&amp;"|"&amp;K69,'SOW caps'!$N$7:$N$36,'SOW caps'!$M$7:$M$36,"")="Ready",_xlfn.XLOOKUP(A69&amp;"|"&amp;K69,'SOW caps'!$N$7:$N$36,'SOW caps'!$M$7:$M$36,"")="No hours"),_xlfn.XLOOKUP(A69&amp;"|"&amp;K69,'SOW caps'!$N$7:$N$36,'SOW caps'!$O$7:$O$36,""),""),"")</x:f>
      </x:c>
      <x:c r="V69" s="8" t="str">
        <x:f>IF(AND(ISNUMBER(U69),ISNUMBER(X69)),ROUND(SUMIFS($X$7:X69,$A$7:A69,A69,$K$7:K69,K69,$M$7:M69,"Mapped")*U69,2)-ROUND((SUMIFS($X$7:X69,$A$7:A69,A69,$K$7:K69,K69,$M$7:M69,"Mapped")-X69)*U69,2),"")</x:f>
      </x:c>
      <x:c r="W69" s="1" t="str">
        <x:f>IF(B69="","",IF(OR(NOT(ISNUMBER(I69)),I69&lt;0),"Invalid hours",IF(NOT(ISNUMBER(R69)),"Manual hours",IF(ROUND(I69*3600000,0)=R69,"Source hours","Adjusted hours"))))</x:f>
      </x:c>
      <x:c r="X69" s="10" t="str">
        <x:f>IF(B69="","",IF(AND(ISNUMBER(I69),I69&gt;=0,Q69="In period"),I69,""))</x:f>
      </x:c>
    </x:row>
    <x:row r="70" ht="23" customHeight="1">
      <x:c r="A70" s="3"/>
      <x:c r="B70" s="3"/>
      <x:c r="C70" s="3"/>
      <x:c r="D70" s="3"/>
      <x:c r="E70" s="3"/>
      <x:c r="F70" s="3"/>
      <x:c r="G70" s="3"/>
      <x:c r="H70" s="3"/>
      <x:c r="I70" s="9"/>
      <x:c r="J70" s="3"/>
      <x:c r="K70" s="3"/>
      <x:c r="L70" s="3"/>
      <x:c r="M70" s="1" t="str">
        <x:f>IF(B70="","",IF(W70="Invalid hours","Invalid hours",IF(NOT(ISNUMBER(X70)),"Excluded",IF(AND(J70&lt;&gt;"",K70&lt;&gt;"",L70&lt;&gt;"",COUNTIF('SOW caps'!$N$7:$N$36,A70&amp;"|"&amp;K70)=1),"Mapped","Needs allocation"))))</x:f>
      </x:c>
      <x:c r="N70" s="8" t="str">
        <x:f>IF(B70="","",IF(M70="Mapped",_xlfn.XLOOKUP(A70&amp;"|"&amp;K70,'SOW caps'!$N$7:$N$36,'SOW caps'!$E$7:$E$36,""),IF(ISNUMBER('SOW caps'!$B$3),'SOW caps'!$B$3,"")))</x:f>
      </x:c>
      <x:c r="O70" s="8" t="str">
        <x:f>IF(AND(ISNUMBER(X70),ISNUMBER(N70),N70&gt;=0),X70*N70,"")</x:f>
      </x:c>
      <x:c r="P70" s="3"/>
      <x:c r="Q70" s="3"/>
      <x:c r="R70" s="3"/>
      <x:c r="S70" s="3"/>
      <x:c r="T70" s="3"/>
      <x:c r="U70" s="8" t="str">
        <x:f>IF(M70="Mapped",IF(OR(_xlfn.XLOOKUP(A70&amp;"|"&amp;K70,'SOW caps'!$N$7:$N$36,'SOW caps'!$M$7:$M$36,"")="Ready",_xlfn.XLOOKUP(A70&amp;"|"&amp;K70,'SOW caps'!$N$7:$N$36,'SOW caps'!$M$7:$M$36,"")="No hours"),_xlfn.XLOOKUP(A70&amp;"|"&amp;K70,'SOW caps'!$N$7:$N$36,'SOW caps'!$O$7:$O$36,""),""),"")</x:f>
      </x:c>
      <x:c r="V70" s="8" t="str">
        <x:f>IF(AND(ISNUMBER(U70),ISNUMBER(X70)),ROUND(SUMIFS($X$7:X70,$A$7:A70,A70,$K$7:K70,K70,$M$7:M70,"Mapped")*U70,2)-ROUND((SUMIFS($X$7:X70,$A$7:A70,A70,$K$7:K70,K70,$M$7:M70,"Mapped")-X70)*U70,2),"")</x:f>
      </x:c>
      <x:c r="W70" s="1" t="str">
        <x:f>IF(B70="","",IF(OR(NOT(ISNUMBER(I70)),I70&lt;0),"Invalid hours",IF(NOT(ISNUMBER(R70)),"Manual hours",IF(ROUND(I70*3600000,0)=R70,"Source hours","Adjusted hours"))))</x:f>
      </x:c>
      <x:c r="X70" s="10" t="str">
        <x:f>IF(B70="","",IF(AND(ISNUMBER(I70),I70&gt;=0,Q70="In period"),I70,""))</x:f>
      </x:c>
    </x:row>
    <x:row r="71" ht="23" customHeight="1">
      <x:c r="A71" s="3"/>
      <x:c r="B71" s="3"/>
      <x:c r="C71" s="3"/>
      <x:c r="D71" s="3"/>
      <x:c r="E71" s="3"/>
      <x:c r="F71" s="3"/>
      <x:c r="G71" s="3"/>
      <x:c r="H71" s="3"/>
      <x:c r="I71" s="9"/>
      <x:c r="J71" s="3"/>
      <x:c r="K71" s="3"/>
      <x:c r="L71" s="3"/>
      <x:c r="M71" s="1" t="str">
        <x:f>IF(B71="","",IF(W71="Invalid hours","Invalid hours",IF(NOT(ISNUMBER(X71)),"Excluded",IF(AND(J71&lt;&gt;"",K71&lt;&gt;"",L71&lt;&gt;"",COUNTIF('SOW caps'!$N$7:$N$36,A71&amp;"|"&amp;K71)=1),"Mapped","Needs allocation"))))</x:f>
      </x:c>
      <x:c r="N71" s="8" t="str">
        <x:f>IF(B71="","",IF(M71="Mapped",_xlfn.XLOOKUP(A71&amp;"|"&amp;K71,'SOW caps'!$N$7:$N$36,'SOW caps'!$E$7:$E$36,""),IF(ISNUMBER('SOW caps'!$B$3),'SOW caps'!$B$3,"")))</x:f>
      </x:c>
      <x:c r="O71" s="8" t="str">
        <x:f>IF(AND(ISNUMBER(X71),ISNUMBER(N71),N71&gt;=0),X71*N71,"")</x:f>
      </x:c>
      <x:c r="P71" s="3"/>
      <x:c r="Q71" s="3"/>
      <x:c r="R71" s="3"/>
      <x:c r="S71" s="3"/>
      <x:c r="T71" s="3"/>
      <x:c r="U71" s="8" t="str">
        <x:f>IF(M71="Mapped",IF(OR(_xlfn.XLOOKUP(A71&amp;"|"&amp;K71,'SOW caps'!$N$7:$N$36,'SOW caps'!$M$7:$M$36,"")="Ready",_xlfn.XLOOKUP(A71&amp;"|"&amp;K71,'SOW caps'!$N$7:$N$36,'SOW caps'!$M$7:$M$36,"")="No hours"),_xlfn.XLOOKUP(A71&amp;"|"&amp;K71,'SOW caps'!$N$7:$N$36,'SOW caps'!$O$7:$O$36,""),""),"")</x:f>
      </x:c>
      <x:c r="V71" s="8" t="str">
        <x:f>IF(AND(ISNUMBER(U71),ISNUMBER(X71)),ROUND(SUMIFS($X$7:X71,$A$7:A71,A71,$K$7:K71,K71,$M$7:M71,"Mapped")*U71,2)-ROUND((SUMIFS($X$7:X71,$A$7:A71,A71,$K$7:K71,K71,$M$7:M71,"Mapped")-X71)*U71,2),"")</x:f>
      </x:c>
      <x:c r="W71" s="1" t="str">
        <x:f>IF(B71="","",IF(OR(NOT(ISNUMBER(I71)),I71&lt;0),"Invalid hours",IF(NOT(ISNUMBER(R71)),"Manual hours",IF(ROUND(I71*3600000,0)=R71,"Source hours","Adjusted hours"))))</x:f>
      </x:c>
      <x:c r="X71" s="10" t="str">
        <x:f>IF(B71="","",IF(AND(ISNUMBER(I71),I71&gt;=0,Q71="In period"),I71,""))</x:f>
      </x:c>
    </x:row>
    <x:row r="72" ht="23" customHeight="1">
      <x:c r="A72" s="3"/>
      <x:c r="B72" s="3"/>
      <x:c r="C72" s="3"/>
      <x:c r="D72" s="3"/>
      <x:c r="E72" s="3"/>
      <x:c r="F72" s="3"/>
      <x:c r="G72" s="3"/>
      <x:c r="H72" s="3"/>
      <x:c r="I72" s="9"/>
      <x:c r="J72" s="3"/>
      <x:c r="K72" s="3"/>
      <x:c r="L72" s="3"/>
      <x:c r="M72" s="1" t="str">
        <x:f>IF(B72="","",IF(W72="Invalid hours","Invalid hours",IF(NOT(ISNUMBER(X72)),"Excluded",IF(AND(J72&lt;&gt;"",K72&lt;&gt;"",L72&lt;&gt;"",COUNTIF('SOW caps'!$N$7:$N$36,A72&amp;"|"&amp;K72)=1),"Mapped","Needs allocation"))))</x:f>
      </x:c>
      <x:c r="N72" s="8" t="str">
        <x:f>IF(B72="","",IF(M72="Mapped",_xlfn.XLOOKUP(A72&amp;"|"&amp;K72,'SOW caps'!$N$7:$N$36,'SOW caps'!$E$7:$E$36,""),IF(ISNUMBER('SOW caps'!$B$3),'SOW caps'!$B$3,"")))</x:f>
      </x:c>
      <x:c r="O72" s="8" t="str">
        <x:f>IF(AND(ISNUMBER(X72),ISNUMBER(N72),N72&gt;=0),X72*N72,"")</x:f>
      </x:c>
      <x:c r="P72" s="3"/>
      <x:c r="Q72" s="3"/>
      <x:c r="R72" s="3"/>
      <x:c r="S72" s="3"/>
      <x:c r="T72" s="3"/>
      <x:c r="U72" s="8" t="str">
        <x:f>IF(M72="Mapped",IF(OR(_xlfn.XLOOKUP(A72&amp;"|"&amp;K72,'SOW caps'!$N$7:$N$36,'SOW caps'!$M$7:$M$36,"")="Ready",_xlfn.XLOOKUP(A72&amp;"|"&amp;K72,'SOW caps'!$N$7:$N$36,'SOW caps'!$M$7:$M$36,"")="No hours"),_xlfn.XLOOKUP(A72&amp;"|"&amp;K72,'SOW caps'!$N$7:$N$36,'SOW caps'!$O$7:$O$36,""),""),"")</x:f>
      </x:c>
      <x:c r="V72" s="8" t="str">
        <x:f>IF(AND(ISNUMBER(U72),ISNUMBER(X72)),ROUND(SUMIFS($X$7:X72,$A$7:A72,A72,$K$7:K72,K72,$M$7:M72,"Mapped")*U72,2)-ROUND((SUMIFS($X$7:X72,$A$7:A72,A72,$K$7:K72,K72,$M$7:M72,"Mapped")-X72)*U72,2),"")</x:f>
      </x:c>
      <x:c r="W72" s="1" t="str">
        <x:f>IF(B72="","",IF(OR(NOT(ISNUMBER(I72)),I72&lt;0),"Invalid hours",IF(NOT(ISNUMBER(R72)),"Manual hours",IF(ROUND(I72*3600000,0)=R72,"Source hours","Adjusted hours"))))</x:f>
      </x:c>
      <x:c r="X72" s="10" t="str">
        <x:f>IF(B72="","",IF(AND(ISNUMBER(I72),I72&gt;=0,Q72="In period"),I72,""))</x:f>
      </x:c>
    </x:row>
    <x:row r="73" ht="23" customHeight="1">
      <x:c r="A73" s="3"/>
      <x:c r="B73" s="3"/>
      <x:c r="C73" s="3"/>
      <x:c r="D73" s="3"/>
      <x:c r="E73" s="3"/>
      <x:c r="F73" s="3"/>
      <x:c r="G73" s="3"/>
      <x:c r="H73" s="3"/>
      <x:c r="I73" s="9"/>
      <x:c r="J73" s="3"/>
      <x:c r="K73" s="3"/>
      <x:c r="L73" s="3"/>
      <x:c r="M73" s="1" t="str">
        <x:f>IF(B73="","",IF(W73="Invalid hours","Invalid hours",IF(NOT(ISNUMBER(X73)),"Excluded",IF(AND(J73&lt;&gt;"",K73&lt;&gt;"",L73&lt;&gt;"",COUNTIF('SOW caps'!$N$7:$N$36,A73&amp;"|"&amp;K73)=1),"Mapped","Needs allocation"))))</x:f>
      </x:c>
      <x:c r="N73" s="8" t="str">
        <x:f>IF(B73="","",IF(M73="Mapped",_xlfn.XLOOKUP(A73&amp;"|"&amp;K73,'SOW caps'!$N$7:$N$36,'SOW caps'!$E$7:$E$36,""),IF(ISNUMBER('SOW caps'!$B$3),'SOW caps'!$B$3,"")))</x:f>
      </x:c>
      <x:c r="O73" s="8" t="str">
        <x:f>IF(AND(ISNUMBER(X73),ISNUMBER(N73),N73&gt;=0),X73*N73,"")</x:f>
      </x:c>
      <x:c r="P73" s="3"/>
      <x:c r="Q73" s="3"/>
      <x:c r="R73" s="3"/>
      <x:c r="S73" s="3"/>
      <x:c r="T73" s="3"/>
      <x:c r="U73" s="8" t="str">
        <x:f>IF(M73="Mapped",IF(OR(_xlfn.XLOOKUP(A73&amp;"|"&amp;K73,'SOW caps'!$N$7:$N$36,'SOW caps'!$M$7:$M$36,"")="Ready",_xlfn.XLOOKUP(A73&amp;"|"&amp;K73,'SOW caps'!$N$7:$N$36,'SOW caps'!$M$7:$M$36,"")="No hours"),_xlfn.XLOOKUP(A73&amp;"|"&amp;K73,'SOW caps'!$N$7:$N$36,'SOW caps'!$O$7:$O$36,""),""),"")</x:f>
      </x:c>
      <x:c r="V73" s="8" t="str">
        <x:f>IF(AND(ISNUMBER(U73),ISNUMBER(X73)),ROUND(SUMIFS($X$7:X73,$A$7:A73,A73,$K$7:K73,K73,$M$7:M73,"Mapped")*U73,2)-ROUND((SUMIFS($X$7:X73,$A$7:A73,A73,$K$7:K73,K73,$M$7:M73,"Mapped")-X73)*U73,2),"")</x:f>
      </x:c>
      <x:c r="W73" s="1" t="str">
        <x:f>IF(B73="","",IF(OR(NOT(ISNUMBER(I73)),I73&lt;0),"Invalid hours",IF(NOT(ISNUMBER(R73)),"Manual hours",IF(ROUND(I73*3600000,0)=R73,"Source hours","Adjusted hours"))))</x:f>
      </x:c>
      <x:c r="X73" s="10" t="str">
        <x:f>IF(B73="","",IF(AND(ISNUMBER(I73),I73&gt;=0,Q73="In period"),I73,""))</x:f>
      </x:c>
    </x:row>
    <x:row r="74" ht="23" customHeight="1">
      <x:c r="A74" s="3"/>
      <x:c r="B74" s="3"/>
      <x:c r="C74" s="3"/>
      <x:c r="D74" s="3"/>
      <x:c r="E74" s="3"/>
      <x:c r="F74" s="3"/>
      <x:c r="G74" s="3"/>
      <x:c r="H74" s="3"/>
      <x:c r="I74" s="9"/>
      <x:c r="J74" s="3"/>
      <x:c r="K74" s="3"/>
      <x:c r="L74" s="3"/>
      <x:c r="M74" s="1" t="str">
        <x:f>IF(B74="","",IF(W74="Invalid hours","Invalid hours",IF(NOT(ISNUMBER(X74)),"Excluded",IF(AND(J74&lt;&gt;"",K74&lt;&gt;"",L74&lt;&gt;"",COUNTIF('SOW caps'!$N$7:$N$36,A74&amp;"|"&amp;K74)=1),"Mapped","Needs allocation"))))</x:f>
      </x:c>
      <x:c r="N74" s="8" t="str">
        <x:f>IF(B74="","",IF(M74="Mapped",_xlfn.XLOOKUP(A74&amp;"|"&amp;K74,'SOW caps'!$N$7:$N$36,'SOW caps'!$E$7:$E$36,""),IF(ISNUMBER('SOW caps'!$B$3),'SOW caps'!$B$3,"")))</x:f>
      </x:c>
      <x:c r="O74" s="8" t="str">
        <x:f>IF(AND(ISNUMBER(X74),ISNUMBER(N74),N74&gt;=0),X74*N74,"")</x:f>
      </x:c>
      <x:c r="P74" s="3"/>
      <x:c r="Q74" s="3"/>
      <x:c r="R74" s="3"/>
      <x:c r="S74" s="3"/>
      <x:c r="T74" s="3"/>
      <x:c r="U74" s="8" t="str">
        <x:f>IF(M74="Mapped",IF(OR(_xlfn.XLOOKUP(A74&amp;"|"&amp;K74,'SOW caps'!$N$7:$N$36,'SOW caps'!$M$7:$M$36,"")="Ready",_xlfn.XLOOKUP(A74&amp;"|"&amp;K74,'SOW caps'!$N$7:$N$36,'SOW caps'!$M$7:$M$36,"")="No hours"),_xlfn.XLOOKUP(A74&amp;"|"&amp;K74,'SOW caps'!$N$7:$N$36,'SOW caps'!$O$7:$O$36,""),""),"")</x:f>
      </x:c>
      <x:c r="V74" s="8" t="str">
        <x:f>IF(AND(ISNUMBER(U74),ISNUMBER(X74)),ROUND(SUMIFS($X$7:X74,$A$7:A74,A74,$K$7:K74,K74,$M$7:M74,"Mapped")*U74,2)-ROUND((SUMIFS($X$7:X74,$A$7:A74,A74,$K$7:K74,K74,$M$7:M74,"Mapped")-X74)*U74,2),"")</x:f>
      </x:c>
      <x:c r="W74" s="1" t="str">
        <x:f>IF(B74="","",IF(OR(NOT(ISNUMBER(I74)),I74&lt;0),"Invalid hours",IF(NOT(ISNUMBER(R74)),"Manual hours",IF(ROUND(I74*3600000,0)=R74,"Source hours","Adjusted hours"))))</x:f>
      </x:c>
      <x:c r="X74" s="10" t="str">
        <x:f>IF(B74="","",IF(AND(ISNUMBER(I74),I74&gt;=0,Q74="In period"),I74,""))</x:f>
      </x:c>
    </x:row>
    <x:row r="75" ht="23" customHeight="1">
      <x:c r="A75" s="3"/>
      <x:c r="B75" s="3"/>
      <x:c r="C75" s="3"/>
      <x:c r="D75" s="3"/>
      <x:c r="E75" s="3"/>
      <x:c r="F75" s="3"/>
      <x:c r="G75" s="3"/>
      <x:c r="H75" s="3"/>
      <x:c r="I75" s="9"/>
      <x:c r="J75" s="3"/>
      <x:c r="K75" s="3"/>
      <x:c r="L75" s="3"/>
      <x:c r="M75" s="1" t="str">
        <x:f>IF(B75="","",IF(W75="Invalid hours","Invalid hours",IF(NOT(ISNUMBER(X75)),"Excluded",IF(AND(J75&lt;&gt;"",K75&lt;&gt;"",L75&lt;&gt;"",COUNTIF('SOW caps'!$N$7:$N$36,A75&amp;"|"&amp;K75)=1),"Mapped","Needs allocation"))))</x:f>
      </x:c>
      <x:c r="N75" s="8" t="str">
        <x:f>IF(B75="","",IF(M75="Mapped",_xlfn.XLOOKUP(A75&amp;"|"&amp;K75,'SOW caps'!$N$7:$N$36,'SOW caps'!$E$7:$E$36,""),IF(ISNUMBER('SOW caps'!$B$3),'SOW caps'!$B$3,"")))</x:f>
      </x:c>
      <x:c r="O75" s="8" t="str">
        <x:f>IF(AND(ISNUMBER(X75),ISNUMBER(N75),N75&gt;=0),X75*N75,"")</x:f>
      </x:c>
      <x:c r="P75" s="3"/>
      <x:c r="Q75" s="3"/>
      <x:c r="R75" s="3"/>
      <x:c r="S75" s="3"/>
      <x:c r="T75" s="3"/>
      <x:c r="U75" s="8" t="str">
        <x:f>IF(M75="Mapped",IF(OR(_xlfn.XLOOKUP(A75&amp;"|"&amp;K75,'SOW caps'!$N$7:$N$36,'SOW caps'!$M$7:$M$36,"")="Ready",_xlfn.XLOOKUP(A75&amp;"|"&amp;K75,'SOW caps'!$N$7:$N$36,'SOW caps'!$M$7:$M$36,"")="No hours"),_xlfn.XLOOKUP(A75&amp;"|"&amp;K75,'SOW caps'!$N$7:$N$36,'SOW caps'!$O$7:$O$36,""),""),"")</x:f>
      </x:c>
      <x:c r="V75" s="8" t="str">
        <x:f>IF(AND(ISNUMBER(U75),ISNUMBER(X75)),ROUND(SUMIFS($X$7:X75,$A$7:A75,A75,$K$7:K75,K75,$M$7:M75,"Mapped")*U75,2)-ROUND((SUMIFS($X$7:X75,$A$7:A75,A75,$K$7:K75,K75,$M$7:M75,"Mapped")-X75)*U75,2),"")</x:f>
      </x:c>
      <x:c r="W75" s="1" t="str">
        <x:f>IF(B75="","",IF(OR(NOT(ISNUMBER(I75)),I75&lt;0),"Invalid hours",IF(NOT(ISNUMBER(R75)),"Manual hours",IF(ROUND(I75*3600000,0)=R75,"Source hours","Adjusted hours"))))</x:f>
      </x:c>
      <x:c r="X75" s="10" t="str">
        <x:f>IF(B75="","",IF(AND(ISNUMBER(I75),I75&gt;=0,Q75="In period"),I75,""))</x:f>
      </x:c>
    </x:row>
    <x:row r="76" ht="23" customHeight="1">
      <x:c r="A76" s="3"/>
      <x:c r="B76" s="3"/>
      <x:c r="C76" s="3"/>
      <x:c r="D76" s="3"/>
      <x:c r="E76" s="3"/>
      <x:c r="F76" s="3"/>
      <x:c r="G76" s="3"/>
      <x:c r="H76" s="3"/>
      <x:c r="I76" s="9"/>
      <x:c r="J76" s="3"/>
      <x:c r="K76" s="3"/>
      <x:c r="L76" s="3"/>
      <x:c r="M76" s="1" t="str">
        <x:f>IF(B76="","",IF(W76="Invalid hours","Invalid hours",IF(NOT(ISNUMBER(X76)),"Excluded",IF(AND(J76&lt;&gt;"",K76&lt;&gt;"",L76&lt;&gt;"",COUNTIF('SOW caps'!$N$7:$N$36,A76&amp;"|"&amp;K76)=1),"Mapped","Needs allocation"))))</x:f>
      </x:c>
      <x:c r="N76" s="8" t="str">
        <x:f>IF(B76="","",IF(M76="Mapped",_xlfn.XLOOKUP(A76&amp;"|"&amp;K76,'SOW caps'!$N$7:$N$36,'SOW caps'!$E$7:$E$36,""),IF(ISNUMBER('SOW caps'!$B$3),'SOW caps'!$B$3,"")))</x:f>
      </x:c>
      <x:c r="O76" s="8" t="str">
        <x:f>IF(AND(ISNUMBER(X76),ISNUMBER(N76),N76&gt;=0),X76*N76,"")</x:f>
      </x:c>
      <x:c r="P76" s="3"/>
      <x:c r="Q76" s="3"/>
      <x:c r="R76" s="3"/>
      <x:c r="S76" s="3"/>
      <x:c r="T76" s="3"/>
      <x:c r="U76" s="8" t="str">
        <x:f>IF(M76="Mapped",IF(OR(_xlfn.XLOOKUP(A76&amp;"|"&amp;K76,'SOW caps'!$N$7:$N$36,'SOW caps'!$M$7:$M$36,"")="Ready",_xlfn.XLOOKUP(A76&amp;"|"&amp;K76,'SOW caps'!$N$7:$N$36,'SOW caps'!$M$7:$M$36,"")="No hours"),_xlfn.XLOOKUP(A76&amp;"|"&amp;K76,'SOW caps'!$N$7:$N$36,'SOW caps'!$O$7:$O$36,""),""),"")</x:f>
      </x:c>
      <x:c r="V76" s="8" t="str">
        <x:f>IF(AND(ISNUMBER(U76),ISNUMBER(X76)),ROUND(SUMIFS($X$7:X76,$A$7:A76,A76,$K$7:K76,K76,$M$7:M76,"Mapped")*U76,2)-ROUND((SUMIFS($X$7:X76,$A$7:A76,A76,$K$7:K76,K76,$M$7:M76,"Mapped")-X76)*U76,2),"")</x:f>
      </x:c>
      <x:c r="W76" s="1" t="str">
        <x:f>IF(B76="","",IF(OR(NOT(ISNUMBER(I76)),I76&lt;0),"Invalid hours",IF(NOT(ISNUMBER(R76)),"Manual hours",IF(ROUND(I76*3600000,0)=R76,"Source hours","Adjusted hours"))))</x:f>
      </x:c>
      <x:c r="X76" s="10" t="str">
        <x:f>IF(B76="","",IF(AND(ISNUMBER(I76),I76&gt;=0,Q76="In period"),I76,""))</x:f>
      </x:c>
    </x:row>
    <x:row r="77" ht="23" customHeight="1">
      <x:c r="A77" s="3"/>
      <x:c r="B77" s="3"/>
      <x:c r="C77" s="3"/>
      <x:c r="D77" s="3"/>
      <x:c r="E77" s="3"/>
      <x:c r="F77" s="3"/>
      <x:c r="G77" s="3"/>
      <x:c r="H77" s="3"/>
      <x:c r="I77" s="9"/>
      <x:c r="J77" s="3"/>
      <x:c r="K77" s="3"/>
      <x:c r="L77" s="3"/>
      <x:c r="M77" s="1" t="str">
        <x:f>IF(B77="","",IF(W77="Invalid hours","Invalid hours",IF(NOT(ISNUMBER(X77)),"Excluded",IF(AND(J77&lt;&gt;"",K77&lt;&gt;"",L77&lt;&gt;"",COUNTIF('SOW caps'!$N$7:$N$36,A77&amp;"|"&amp;K77)=1),"Mapped","Needs allocation"))))</x:f>
      </x:c>
      <x:c r="N77" s="8" t="str">
        <x:f>IF(B77="","",IF(M77="Mapped",_xlfn.XLOOKUP(A77&amp;"|"&amp;K77,'SOW caps'!$N$7:$N$36,'SOW caps'!$E$7:$E$36,""),IF(ISNUMBER('SOW caps'!$B$3),'SOW caps'!$B$3,"")))</x:f>
      </x:c>
      <x:c r="O77" s="8" t="str">
        <x:f>IF(AND(ISNUMBER(X77),ISNUMBER(N77),N77&gt;=0),X77*N77,"")</x:f>
      </x:c>
      <x:c r="P77" s="3"/>
      <x:c r="Q77" s="3"/>
      <x:c r="R77" s="3"/>
      <x:c r="S77" s="3"/>
      <x:c r="T77" s="3"/>
      <x:c r="U77" s="8" t="str">
        <x:f>IF(M77="Mapped",IF(OR(_xlfn.XLOOKUP(A77&amp;"|"&amp;K77,'SOW caps'!$N$7:$N$36,'SOW caps'!$M$7:$M$36,"")="Ready",_xlfn.XLOOKUP(A77&amp;"|"&amp;K77,'SOW caps'!$N$7:$N$36,'SOW caps'!$M$7:$M$36,"")="No hours"),_xlfn.XLOOKUP(A77&amp;"|"&amp;K77,'SOW caps'!$N$7:$N$36,'SOW caps'!$O$7:$O$36,""),""),"")</x:f>
      </x:c>
      <x:c r="V77" s="8" t="str">
        <x:f>IF(AND(ISNUMBER(U77),ISNUMBER(X77)),ROUND(SUMIFS($X$7:X77,$A$7:A77,A77,$K$7:K77,K77,$M$7:M77,"Mapped")*U77,2)-ROUND((SUMIFS($X$7:X77,$A$7:A77,A77,$K$7:K77,K77,$M$7:M77,"Mapped")-X77)*U77,2),"")</x:f>
      </x:c>
      <x:c r="W77" s="1" t="str">
        <x:f>IF(B77="","",IF(OR(NOT(ISNUMBER(I77)),I77&lt;0),"Invalid hours",IF(NOT(ISNUMBER(R77)),"Manual hours",IF(ROUND(I77*3600000,0)=R77,"Source hours","Adjusted hours"))))</x:f>
      </x:c>
      <x:c r="X77" s="10" t="str">
        <x:f>IF(B77="","",IF(AND(ISNUMBER(I77),I77&gt;=0,Q77="In period"),I77,""))</x:f>
      </x:c>
    </x:row>
    <x:row r="78" ht="23" customHeight="1">
      <x:c r="A78" s="3"/>
      <x:c r="B78" s="3"/>
      <x:c r="C78" s="3"/>
      <x:c r="D78" s="3"/>
      <x:c r="E78" s="3"/>
      <x:c r="F78" s="3"/>
      <x:c r="G78" s="3"/>
      <x:c r="H78" s="3"/>
      <x:c r="I78" s="9"/>
      <x:c r="J78" s="3"/>
      <x:c r="K78" s="3"/>
      <x:c r="L78" s="3"/>
      <x:c r="M78" s="1" t="str">
        <x:f>IF(B78="","",IF(W78="Invalid hours","Invalid hours",IF(NOT(ISNUMBER(X78)),"Excluded",IF(AND(J78&lt;&gt;"",K78&lt;&gt;"",L78&lt;&gt;"",COUNTIF('SOW caps'!$N$7:$N$36,A78&amp;"|"&amp;K78)=1),"Mapped","Needs allocation"))))</x:f>
      </x:c>
      <x:c r="N78" s="8" t="str">
        <x:f>IF(B78="","",IF(M78="Mapped",_xlfn.XLOOKUP(A78&amp;"|"&amp;K78,'SOW caps'!$N$7:$N$36,'SOW caps'!$E$7:$E$36,""),IF(ISNUMBER('SOW caps'!$B$3),'SOW caps'!$B$3,"")))</x:f>
      </x:c>
      <x:c r="O78" s="8" t="str">
        <x:f>IF(AND(ISNUMBER(X78),ISNUMBER(N78),N78&gt;=0),X78*N78,"")</x:f>
      </x:c>
      <x:c r="P78" s="3"/>
      <x:c r="Q78" s="3"/>
      <x:c r="R78" s="3"/>
      <x:c r="S78" s="3"/>
      <x:c r="T78" s="3"/>
      <x:c r="U78" s="8" t="str">
        <x:f>IF(M78="Mapped",IF(OR(_xlfn.XLOOKUP(A78&amp;"|"&amp;K78,'SOW caps'!$N$7:$N$36,'SOW caps'!$M$7:$M$36,"")="Ready",_xlfn.XLOOKUP(A78&amp;"|"&amp;K78,'SOW caps'!$N$7:$N$36,'SOW caps'!$M$7:$M$36,"")="No hours"),_xlfn.XLOOKUP(A78&amp;"|"&amp;K78,'SOW caps'!$N$7:$N$36,'SOW caps'!$O$7:$O$36,""),""),"")</x:f>
      </x:c>
      <x:c r="V78" s="8" t="str">
        <x:f>IF(AND(ISNUMBER(U78),ISNUMBER(X78)),ROUND(SUMIFS($X$7:X78,$A$7:A78,A78,$K$7:K78,K78,$M$7:M78,"Mapped")*U78,2)-ROUND((SUMIFS($X$7:X78,$A$7:A78,A78,$K$7:K78,K78,$M$7:M78,"Mapped")-X78)*U78,2),"")</x:f>
      </x:c>
      <x:c r="W78" s="1" t="str">
        <x:f>IF(B78="","",IF(OR(NOT(ISNUMBER(I78)),I78&lt;0),"Invalid hours",IF(NOT(ISNUMBER(R78)),"Manual hours",IF(ROUND(I78*3600000,0)=R78,"Source hours","Adjusted hours"))))</x:f>
      </x:c>
      <x:c r="X78" s="10" t="str">
        <x:f>IF(B78="","",IF(AND(ISNUMBER(I78),I78&gt;=0,Q78="In period"),I78,""))</x:f>
      </x:c>
    </x:row>
    <x:row r="79" ht="23" customHeight="1">
      <x:c r="A79" s="3"/>
      <x:c r="B79" s="3"/>
      <x:c r="C79" s="3"/>
      <x:c r="D79" s="3"/>
      <x:c r="E79" s="3"/>
      <x:c r="F79" s="3"/>
      <x:c r="G79" s="3"/>
      <x:c r="H79" s="3"/>
      <x:c r="I79" s="9"/>
      <x:c r="J79" s="3"/>
      <x:c r="K79" s="3"/>
      <x:c r="L79" s="3"/>
      <x:c r="M79" s="1" t="str">
        <x:f>IF(B79="","",IF(W79="Invalid hours","Invalid hours",IF(NOT(ISNUMBER(X79)),"Excluded",IF(AND(J79&lt;&gt;"",K79&lt;&gt;"",L79&lt;&gt;"",COUNTIF('SOW caps'!$N$7:$N$36,A79&amp;"|"&amp;K79)=1),"Mapped","Needs allocation"))))</x:f>
      </x:c>
      <x:c r="N79" s="8" t="str">
        <x:f>IF(B79="","",IF(M79="Mapped",_xlfn.XLOOKUP(A79&amp;"|"&amp;K79,'SOW caps'!$N$7:$N$36,'SOW caps'!$E$7:$E$36,""),IF(ISNUMBER('SOW caps'!$B$3),'SOW caps'!$B$3,"")))</x:f>
      </x:c>
      <x:c r="O79" s="8" t="str">
        <x:f>IF(AND(ISNUMBER(X79),ISNUMBER(N79),N79&gt;=0),X79*N79,"")</x:f>
      </x:c>
      <x:c r="P79" s="3"/>
      <x:c r="Q79" s="3"/>
      <x:c r="R79" s="3"/>
      <x:c r="S79" s="3"/>
      <x:c r="T79" s="3"/>
      <x:c r="U79" s="8" t="str">
        <x:f>IF(M79="Mapped",IF(OR(_xlfn.XLOOKUP(A79&amp;"|"&amp;K79,'SOW caps'!$N$7:$N$36,'SOW caps'!$M$7:$M$36,"")="Ready",_xlfn.XLOOKUP(A79&amp;"|"&amp;K79,'SOW caps'!$N$7:$N$36,'SOW caps'!$M$7:$M$36,"")="No hours"),_xlfn.XLOOKUP(A79&amp;"|"&amp;K79,'SOW caps'!$N$7:$N$36,'SOW caps'!$O$7:$O$36,""),""),"")</x:f>
      </x:c>
      <x:c r="V79" s="8" t="str">
        <x:f>IF(AND(ISNUMBER(U79),ISNUMBER(X79)),ROUND(SUMIFS($X$7:X79,$A$7:A79,A79,$K$7:K79,K79,$M$7:M79,"Mapped")*U79,2)-ROUND((SUMIFS($X$7:X79,$A$7:A79,A79,$K$7:K79,K79,$M$7:M79,"Mapped")-X79)*U79,2),"")</x:f>
      </x:c>
      <x:c r="W79" s="1" t="str">
        <x:f>IF(B79="","",IF(OR(NOT(ISNUMBER(I79)),I79&lt;0),"Invalid hours",IF(NOT(ISNUMBER(R79)),"Manual hours",IF(ROUND(I79*3600000,0)=R79,"Source hours","Adjusted hours"))))</x:f>
      </x:c>
      <x:c r="X79" s="10" t="str">
        <x:f>IF(B79="","",IF(AND(ISNUMBER(I79),I79&gt;=0,Q79="In period"),I79,""))</x:f>
      </x:c>
    </x:row>
    <x:row r="80" ht="23" customHeight="1">
      <x:c r="A80" s="3"/>
      <x:c r="B80" s="3"/>
      <x:c r="C80" s="3"/>
      <x:c r="D80" s="3"/>
      <x:c r="E80" s="3"/>
      <x:c r="F80" s="3"/>
      <x:c r="G80" s="3"/>
      <x:c r="H80" s="3"/>
      <x:c r="I80" s="9"/>
      <x:c r="J80" s="3"/>
      <x:c r="K80" s="3"/>
      <x:c r="L80" s="3"/>
      <x:c r="M80" s="1" t="str">
        <x:f>IF(B80="","",IF(W80="Invalid hours","Invalid hours",IF(NOT(ISNUMBER(X80)),"Excluded",IF(AND(J80&lt;&gt;"",K80&lt;&gt;"",L80&lt;&gt;"",COUNTIF('SOW caps'!$N$7:$N$36,A80&amp;"|"&amp;K80)=1),"Mapped","Needs allocation"))))</x:f>
      </x:c>
      <x:c r="N80" s="8" t="str">
        <x:f>IF(B80="","",IF(M80="Mapped",_xlfn.XLOOKUP(A80&amp;"|"&amp;K80,'SOW caps'!$N$7:$N$36,'SOW caps'!$E$7:$E$36,""),IF(ISNUMBER('SOW caps'!$B$3),'SOW caps'!$B$3,"")))</x:f>
      </x:c>
      <x:c r="O80" s="8" t="str">
        <x:f>IF(AND(ISNUMBER(X80),ISNUMBER(N80),N80&gt;=0),X80*N80,"")</x:f>
      </x:c>
      <x:c r="P80" s="3"/>
      <x:c r="Q80" s="3"/>
      <x:c r="R80" s="3"/>
      <x:c r="S80" s="3"/>
      <x:c r="T80" s="3"/>
      <x:c r="U80" s="8" t="str">
        <x:f>IF(M80="Mapped",IF(OR(_xlfn.XLOOKUP(A80&amp;"|"&amp;K80,'SOW caps'!$N$7:$N$36,'SOW caps'!$M$7:$M$36,"")="Ready",_xlfn.XLOOKUP(A80&amp;"|"&amp;K80,'SOW caps'!$N$7:$N$36,'SOW caps'!$M$7:$M$36,"")="No hours"),_xlfn.XLOOKUP(A80&amp;"|"&amp;K80,'SOW caps'!$N$7:$N$36,'SOW caps'!$O$7:$O$36,""),""),"")</x:f>
      </x:c>
      <x:c r="V80" s="8" t="str">
        <x:f>IF(AND(ISNUMBER(U80),ISNUMBER(X80)),ROUND(SUMIFS($X$7:X80,$A$7:A80,A80,$K$7:K80,K80,$M$7:M80,"Mapped")*U80,2)-ROUND((SUMIFS($X$7:X80,$A$7:A80,A80,$K$7:K80,K80,$M$7:M80,"Mapped")-X80)*U80,2),"")</x:f>
      </x:c>
      <x:c r="W80" s="1" t="str">
        <x:f>IF(B80="","",IF(OR(NOT(ISNUMBER(I80)),I80&lt;0),"Invalid hours",IF(NOT(ISNUMBER(R80)),"Manual hours",IF(ROUND(I80*3600000,0)=R80,"Source hours","Adjusted hours"))))</x:f>
      </x:c>
      <x:c r="X80" s="10" t="str">
        <x:f>IF(B80="","",IF(AND(ISNUMBER(I80),I80&gt;=0,Q80="In period"),I80,""))</x:f>
      </x:c>
    </x:row>
    <x:row r="81" ht="23" customHeight="1">
      <x:c r="A81" s="3"/>
      <x:c r="B81" s="3"/>
      <x:c r="C81" s="3"/>
      <x:c r="D81" s="3"/>
      <x:c r="E81" s="3"/>
      <x:c r="F81" s="3"/>
      <x:c r="G81" s="3"/>
      <x:c r="H81" s="3"/>
      <x:c r="I81" s="9"/>
      <x:c r="J81" s="3"/>
      <x:c r="K81" s="3"/>
      <x:c r="L81" s="3"/>
      <x:c r="M81" s="1" t="str">
        <x:f>IF(B81="","",IF(W81="Invalid hours","Invalid hours",IF(NOT(ISNUMBER(X81)),"Excluded",IF(AND(J81&lt;&gt;"",K81&lt;&gt;"",L81&lt;&gt;"",COUNTIF('SOW caps'!$N$7:$N$36,A81&amp;"|"&amp;K81)=1),"Mapped","Needs allocation"))))</x:f>
      </x:c>
      <x:c r="N81" s="8" t="str">
        <x:f>IF(B81="","",IF(M81="Mapped",_xlfn.XLOOKUP(A81&amp;"|"&amp;K81,'SOW caps'!$N$7:$N$36,'SOW caps'!$E$7:$E$36,""),IF(ISNUMBER('SOW caps'!$B$3),'SOW caps'!$B$3,"")))</x:f>
      </x:c>
      <x:c r="O81" s="8" t="str">
        <x:f>IF(AND(ISNUMBER(X81),ISNUMBER(N81),N81&gt;=0),X81*N81,"")</x:f>
      </x:c>
      <x:c r="P81" s="3"/>
      <x:c r="Q81" s="3"/>
      <x:c r="R81" s="3"/>
      <x:c r="S81" s="3"/>
      <x:c r="T81" s="3"/>
      <x:c r="U81" s="8" t="str">
        <x:f>IF(M81="Mapped",IF(OR(_xlfn.XLOOKUP(A81&amp;"|"&amp;K81,'SOW caps'!$N$7:$N$36,'SOW caps'!$M$7:$M$36,"")="Ready",_xlfn.XLOOKUP(A81&amp;"|"&amp;K81,'SOW caps'!$N$7:$N$36,'SOW caps'!$M$7:$M$36,"")="No hours"),_xlfn.XLOOKUP(A81&amp;"|"&amp;K81,'SOW caps'!$N$7:$N$36,'SOW caps'!$O$7:$O$36,""),""),"")</x:f>
      </x:c>
      <x:c r="V81" s="8" t="str">
        <x:f>IF(AND(ISNUMBER(U81),ISNUMBER(X81)),ROUND(SUMIFS($X$7:X81,$A$7:A81,A81,$K$7:K81,K81,$M$7:M81,"Mapped")*U81,2)-ROUND((SUMIFS($X$7:X81,$A$7:A81,A81,$K$7:K81,K81,$M$7:M81,"Mapped")-X81)*U81,2),"")</x:f>
      </x:c>
      <x:c r="W81" s="1" t="str">
        <x:f>IF(B81="","",IF(OR(NOT(ISNUMBER(I81)),I81&lt;0),"Invalid hours",IF(NOT(ISNUMBER(R81)),"Manual hours",IF(ROUND(I81*3600000,0)=R81,"Source hours","Adjusted hours"))))</x:f>
      </x:c>
      <x:c r="X81" s="10" t="str">
        <x:f>IF(B81="","",IF(AND(ISNUMBER(I81),I81&gt;=0,Q81="In period"),I81,""))</x:f>
      </x:c>
    </x:row>
    <x:row r="82" ht="23" customHeight="1">
      <x:c r="A82" s="3"/>
      <x:c r="B82" s="3"/>
      <x:c r="C82" s="3"/>
      <x:c r="D82" s="3"/>
      <x:c r="E82" s="3"/>
      <x:c r="F82" s="3"/>
      <x:c r="G82" s="3"/>
      <x:c r="H82" s="3"/>
      <x:c r="I82" s="9"/>
      <x:c r="J82" s="3"/>
      <x:c r="K82" s="3"/>
      <x:c r="L82" s="3"/>
      <x:c r="M82" s="1" t="str">
        <x:f>IF(B82="","",IF(W82="Invalid hours","Invalid hours",IF(NOT(ISNUMBER(X82)),"Excluded",IF(AND(J82&lt;&gt;"",K82&lt;&gt;"",L82&lt;&gt;"",COUNTIF('SOW caps'!$N$7:$N$36,A82&amp;"|"&amp;K82)=1),"Mapped","Needs allocation"))))</x:f>
      </x:c>
      <x:c r="N82" s="8" t="str">
        <x:f>IF(B82="","",IF(M82="Mapped",_xlfn.XLOOKUP(A82&amp;"|"&amp;K82,'SOW caps'!$N$7:$N$36,'SOW caps'!$E$7:$E$36,""),IF(ISNUMBER('SOW caps'!$B$3),'SOW caps'!$B$3,"")))</x:f>
      </x:c>
      <x:c r="O82" s="8" t="str">
        <x:f>IF(AND(ISNUMBER(X82),ISNUMBER(N82),N82&gt;=0),X82*N82,"")</x:f>
      </x:c>
      <x:c r="P82" s="3"/>
      <x:c r="Q82" s="3"/>
      <x:c r="R82" s="3"/>
      <x:c r="S82" s="3"/>
      <x:c r="T82" s="3"/>
      <x:c r="U82" s="8" t="str">
        <x:f>IF(M82="Mapped",IF(OR(_xlfn.XLOOKUP(A82&amp;"|"&amp;K82,'SOW caps'!$N$7:$N$36,'SOW caps'!$M$7:$M$36,"")="Ready",_xlfn.XLOOKUP(A82&amp;"|"&amp;K82,'SOW caps'!$N$7:$N$36,'SOW caps'!$M$7:$M$36,"")="No hours"),_xlfn.XLOOKUP(A82&amp;"|"&amp;K82,'SOW caps'!$N$7:$N$36,'SOW caps'!$O$7:$O$36,""),""),"")</x:f>
      </x:c>
      <x:c r="V82" s="8" t="str">
        <x:f>IF(AND(ISNUMBER(U82),ISNUMBER(X82)),ROUND(SUMIFS($X$7:X82,$A$7:A82,A82,$K$7:K82,K82,$M$7:M82,"Mapped")*U82,2)-ROUND((SUMIFS($X$7:X82,$A$7:A82,A82,$K$7:K82,K82,$M$7:M82,"Mapped")-X82)*U82,2),"")</x:f>
      </x:c>
      <x:c r="W82" s="1" t="str">
        <x:f>IF(B82="","",IF(OR(NOT(ISNUMBER(I82)),I82&lt;0),"Invalid hours",IF(NOT(ISNUMBER(R82)),"Manual hours",IF(ROUND(I82*3600000,0)=R82,"Source hours","Adjusted hours"))))</x:f>
      </x:c>
      <x:c r="X82" s="10" t="str">
        <x:f>IF(B82="","",IF(AND(ISNUMBER(I82),I82&gt;=0,Q82="In period"),I82,""))</x:f>
      </x:c>
    </x:row>
    <x:row r="83" ht="23" customHeight="1">
      <x:c r="A83" s="3"/>
      <x:c r="B83" s="3"/>
      <x:c r="C83" s="3"/>
      <x:c r="D83" s="3"/>
      <x:c r="E83" s="3"/>
      <x:c r="F83" s="3"/>
      <x:c r="G83" s="3"/>
      <x:c r="H83" s="3"/>
      <x:c r="I83" s="9"/>
      <x:c r="J83" s="3"/>
      <x:c r="K83" s="3"/>
      <x:c r="L83" s="3"/>
      <x:c r="M83" s="1" t="str">
        <x:f>IF(B83="","",IF(W83="Invalid hours","Invalid hours",IF(NOT(ISNUMBER(X83)),"Excluded",IF(AND(J83&lt;&gt;"",K83&lt;&gt;"",L83&lt;&gt;"",COUNTIF('SOW caps'!$N$7:$N$36,A83&amp;"|"&amp;K83)=1),"Mapped","Needs allocation"))))</x:f>
      </x:c>
      <x:c r="N83" s="8" t="str">
        <x:f>IF(B83="","",IF(M83="Mapped",_xlfn.XLOOKUP(A83&amp;"|"&amp;K83,'SOW caps'!$N$7:$N$36,'SOW caps'!$E$7:$E$36,""),IF(ISNUMBER('SOW caps'!$B$3),'SOW caps'!$B$3,"")))</x:f>
      </x:c>
      <x:c r="O83" s="8" t="str">
        <x:f>IF(AND(ISNUMBER(X83),ISNUMBER(N83),N83&gt;=0),X83*N83,"")</x:f>
      </x:c>
      <x:c r="P83" s="3"/>
      <x:c r="Q83" s="3"/>
      <x:c r="R83" s="3"/>
      <x:c r="S83" s="3"/>
      <x:c r="T83" s="3"/>
      <x:c r="U83" s="8" t="str">
        <x:f>IF(M83="Mapped",IF(OR(_xlfn.XLOOKUP(A83&amp;"|"&amp;K83,'SOW caps'!$N$7:$N$36,'SOW caps'!$M$7:$M$36,"")="Ready",_xlfn.XLOOKUP(A83&amp;"|"&amp;K83,'SOW caps'!$N$7:$N$36,'SOW caps'!$M$7:$M$36,"")="No hours"),_xlfn.XLOOKUP(A83&amp;"|"&amp;K83,'SOW caps'!$N$7:$N$36,'SOW caps'!$O$7:$O$36,""),""),"")</x:f>
      </x:c>
      <x:c r="V83" s="8" t="str">
        <x:f>IF(AND(ISNUMBER(U83),ISNUMBER(X83)),ROUND(SUMIFS($X$7:X83,$A$7:A83,A83,$K$7:K83,K83,$M$7:M83,"Mapped")*U83,2)-ROUND((SUMIFS($X$7:X83,$A$7:A83,A83,$K$7:K83,K83,$M$7:M83,"Mapped")-X83)*U83,2),"")</x:f>
      </x:c>
      <x:c r="W83" s="1" t="str">
        <x:f>IF(B83="","",IF(OR(NOT(ISNUMBER(I83)),I83&lt;0),"Invalid hours",IF(NOT(ISNUMBER(R83)),"Manual hours",IF(ROUND(I83*3600000,0)=R83,"Source hours","Adjusted hours"))))</x:f>
      </x:c>
      <x:c r="X83" s="10" t="str">
        <x:f>IF(B83="","",IF(AND(ISNUMBER(I83),I83&gt;=0,Q83="In period"),I83,""))</x:f>
      </x:c>
    </x:row>
    <x:row r="84" ht="23" customHeight="1">
      <x:c r="A84" s="3"/>
      <x:c r="B84" s="3"/>
      <x:c r="C84" s="3"/>
      <x:c r="D84" s="3"/>
      <x:c r="E84" s="3"/>
      <x:c r="F84" s="3"/>
      <x:c r="G84" s="3"/>
      <x:c r="H84" s="3"/>
      <x:c r="I84" s="9"/>
      <x:c r="J84" s="3"/>
      <x:c r="K84" s="3"/>
      <x:c r="L84" s="3"/>
      <x:c r="M84" s="1" t="str">
        <x:f>IF(B84="","",IF(W84="Invalid hours","Invalid hours",IF(NOT(ISNUMBER(X84)),"Excluded",IF(AND(J84&lt;&gt;"",K84&lt;&gt;"",L84&lt;&gt;"",COUNTIF('SOW caps'!$N$7:$N$36,A84&amp;"|"&amp;K84)=1),"Mapped","Needs allocation"))))</x:f>
      </x:c>
      <x:c r="N84" s="8" t="str">
        <x:f>IF(B84="","",IF(M84="Mapped",_xlfn.XLOOKUP(A84&amp;"|"&amp;K84,'SOW caps'!$N$7:$N$36,'SOW caps'!$E$7:$E$36,""),IF(ISNUMBER('SOW caps'!$B$3),'SOW caps'!$B$3,"")))</x:f>
      </x:c>
      <x:c r="O84" s="8" t="str">
        <x:f>IF(AND(ISNUMBER(X84),ISNUMBER(N84),N84&gt;=0),X84*N84,"")</x:f>
      </x:c>
      <x:c r="P84" s="3"/>
      <x:c r="Q84" s="3"/>
      <x:c r="R84" s="3"/>
      <x:c r="S84" s="3"/>
      <x:c r="T84" s="3"/>
      <x:c r="U84" s="8" t="str">
        <x:f>IF(M84="Mapped",IF(OR(_xlfn.XLOOKUP(A84&amp;"|"&amp;K84,'SOW caps'!$N$7:$N$36,'SOW caps'!$M$7:$M$36,"")="Ready",_xlfn.XLOOKUP(A84&amp;"|"&amp;K84,'SOW caps'!$N$7:$N$36,'SOW caps'!$M$7:$M$36,"")="No hours"),_xlfn.XLOOKUP(A84&amp;"|"&amp;K84,'SOW caps'!$N$7:$N$36,'SOW caps'!$O$7:$O$36,""),""),"")</x:f>
      </x:c>
      <x:c r="V84" s="8" t="str">
        <x:f>IF(AND(ISNUMBER(U84),ISNUMBER(X84)),ROUND(SUMIFS($X$7:X84,$A$7:A84,A84,$K$7:K84,K84,$M$7:M84,"Mapped")*U84,2)-ROUND((SUMIFS($X$7:X84,$A$7:A84,A84,$K$7:K84,K84,$M$7:M84,"Mapped")-X84)*U84,2),"")</x:f>
      </x:c>
      <x:c r="W84" s="1" t="str">
        <x:f>IF(B84="","",IF(OR(NOT(ISNUMBER(I84)),I84&lt;0),"Invalid hours",IF(NOT(ISNUMBER(R84)),"Manual hours",IF(ROUND(I84*3600000,0)=R84,"Source hours","Adjusted hours"))))</x:f>
      </x:c>
      <x:c r="X84" s="10" t="str">
        <x:f>IF(B84="","",IF(AND(ISNUMBER(I84),I84&gt;=0,Q84="In period"),I84,""))</x:f>
      </x:c>
    </x:row>
    <x:row r="85" ht="23" customHeight="1">
      <x:c r="A85" s="3"/>
      <x:c r="B85" s="3"/>
      <x:c r="C85" s="3"/>
      <x:c r="D85" s="3"/>
      <x:c r="E85" s="3"/>
      <x:c r="F85" s="3"/>
      <x:c r="G85" s="3"/>
      <x:c r="H85" s="3"/>
      <x:c r="I85" s="9"/>
      <x:c r="J85" s="3"/>
      <x:c r="K85" s="3"/>
      <x:c r="L85" s="3"/>
      <x:c r="M85" s="1" t="str">
        <x:f>IF(B85="","",IF(W85="Invalid hours","Invalid hours",IF(NOT(ISNUMBER(X85)),"Excluded",IF(AND(J85&lt;&gt;"",K85&lt;&gt;"",L85&lt;&gt;"",COUNTIF('SOW caps'!$N$7:$N$36,A85&amp;"|"&amp;K85)=1),"Mapped","Needs allocation"))))</x:f>
      </x:c>
      <x:c r="N85" s="8" t="str">
        <x:f>IF(B85="","",IF(M85="Mapped",_xlfn.XLOOKUP(A85&amp;"|"&amp;K85,'SOW caps'!$N$7:$N$36,'SOW caps'!$E$7:$E$36,""),IF(ISNUMBER('SOW caps'!$B$3),'SOW caps'!$B$3,"")))</x:f>
      </x:c>
      <x:c r="O85" s="8" t="str">
        <x:f>IF(AND(ISNUMBER(X85),ISNUMBER(N85),N85&gt;=0),X85*N85,"")</x:f>
      </x:c>
      <x:c r="P85" s="3"/>
      <x:c r="Q85" s="3"/>
      <x:c r="R85" s="3"/>
      <x:c r="S85" s="3"/>
      <x:c r="T85" s="3"/>
      <x:c r="U85" s="8" t="str">
        <x:f>IF(M85="Mapped",IF(OR(_xlfn.XLOOKUP(A85&amp;"|"&amp;K85,'SOW caps'!$N$7:$N$36,'SOW caps'!$M$7:$M$36,"")="Ready",_xlfn.XLOOKUP(A85&amp;"|"&amp;K85,'SOW caps'!$N$7:$N$36,'SOW caps'!$M$7:$M$36,"")="No hours"),_xlfn.XLOOKUP(A85&amp;"|"&amp;K85,'SOW caps'!$N$7:$N$36,'SOW caps'!$O$7:$O$36,""),""),"")</x:f>
      </x:c>
      <x:c r="V85" s="8" t="str">
        <x:f>IF(AND(ISNUMBER(U85),ISNUMBER(X85)),ROUND(SUMIFS($X$7:X85,$A$7:A85,A85,$K$7:K85,K85,$M$7:M85,"Mapped")*U85,2)-ROUND((SUMIFS($X$7:X85,$A$7:A85,A85,$K$7:K85,K85,$M$7:M85,"Mapped")-X85)*U85,2),"")</x:f>
      </x:c>
      <x:c r="W85" s="1" t="str">
        <x:f>IF(B85="","",IF(OR(NOT(ISNUMBER(I85)),I85&lt;0),"Invalid hours",IF(NOT(ISNUMBER(R85)),"Manual hours",IF(ROUND(I85*3600000,0)=R85,"Source hours","Adjusted hours"))))</x:f>
      </x:c>
      <x:c r="X85" s="10" t="str">
        <x:f>IF(B85="","",IF(AND(ISNUMBER(I85),I85&gt;=0,Q85="In period"),I85,""))</x:f>
      </x:c>
    </x:row>
    <x:row r="86" ht="23" customHeight="1">
      <x:c r="A86" s="3"/>
      <x:c r="B86" s="3"/>
      <x:c r="C86" s="3"/>
      <x:c r="D86" s="3"/>
      <x:c r="E86" s="3"/>
      <x:c r="F86" s="3"/>
      <x:c r="G86" s="3"/>
      <x:c r="H86" s="3"/>
      <x:c r="I86" s="9"/>
      <x:c r="J86" s="3"/>
      <x:c r="K86" s="3"/>
      <x:c r="L86" s="3"/>
      <x:c r="M86" s="1" t="str">
        <x:f>IF(B86="","",IF(W86="Invalid hours","Invalid hours",IF(NOT(ISNUMBER(X86)),"Excluded",IF(AND(J86&lt;&gt;"",K86&lt;&gt;"",L86&lt;&gt;"",COUNTIF('SOW caps'!$N$7:$N$36,A86&amp;"|"&amp;K86)=1),"Mapped","Needs allocation"))))</x:f>
      </x:c>
      <x:c r="N86" s="8" t="str">
        <x:f>IF(B86="","",IF(M86="Mapped",_xlfn.XLOOKUP(A86&amp;"|"&amp;K86,'SOW caps'!$N$7:$N$36,'SOW caps'!$E$7:$E$36,""),IF(ISNUMBER('SOW caps'!$B$3),'SOW caps'!$B$3,"")))</x:f>
      </x:c>
      <x:c r="O86" s="8" t="str">
        <x:f>IF(AND(ISNUMBER(X86),ISNUMBER(N86),N86&gt;=0),X86*N86,"")</x:f>
      </x:c>
      <x:c r="P86" s="3"/>
      <x:c r="Q86" s="3"/>
      <x:c r="R86" s="3"/>
      <x:c r="S86" s="3"/>
      <x:c r="T86" s="3"/>
      <x:c r="U86" s="8" t="str">
        <x:f>IF(M86="Mapped",IF(OR(_xlfn.XLOOKUP(A86&amp;"|"&amp;K86,'SOW caps'!$N$7:$N$36,'SOW caps'!$M$7:$M$36,"")="Ready",_xlfn.XLOOKUP(A86&amp;"|"&amp;K86,'SOW caps'!$N$7:$N$36,'SOW caps'!$M$7:$M$36,"")="No hours"),_xlfn.XLOOKUP(A86&amp;"|"&amp;K86,'SOW caps'!$N$7:$N$36,'SOW caps'!$O$7:$O$36,""),""),"")</x:f>
      </x:c>
      <x:c r="V86" s="8" t="str">
        <x:f>IF(AND(ISNUMBER(U86),ISNUMBER(X86)),ROUND(SUMIFS($X$7:X86,$A$7:A86,A86,$K$7:K86,K86,$M$7:M86,"Mapped")*U86,2)-ROUND((SUMIFS($X$7:X86,$A$7:A86,A86,$K$7:K86,K86,$M$7:M86,"Mapped")-X86)*U86,2),"")</x:f>
      </x:c>
      <x:c r="W86" s="1" t="str">
        <x:f>IF(B86="","",IF(OR(NOT(ISNUMBER(I86)),I86&lt;0),"Invalid hours",IF(NOT(ISNUMBER(R86)),"Manual hours",IF(ROUND(I86*3600000,0)=R86,"Source hours","Adjusted hours"))))</x:f>
      </x:c>
      <x:c r="X86" s="10" t="str">
        <x:f>IF(B86="","",IF(AND(ISNUMBER(I86),I86&gt;=0,Q86="In period"),I86,""))</x:f>
      </x:c>
    </x:row>
    <x:row r="87" ht="23" customHeight="1">
      <x:c r="A87" s="3"/>
      <x:c r="B87" s="3"/>
      <x:c r="C87" s="3"/>
      <x:c r="D87" s="3"/>
      <x:c r="E87" s="3"/>
      <x:c r="F87" s="3"/>
      <x:c r="G87" s="3"/>
      <x:c r="H87" s="3"/>
      <x:c r="I87" s="9"/>
      <x:c r="J87" s="3"/>
      <x:c r="K87" s="3"/>
      <x:c r="L87" s="3"/>
      <x:c r="M87" s="1" t="str">
        <x:f>IF(B87="","",IF(W87="Invalid hours","Invalid hours",IF(NOT(ISNUMBER(X87)),"Excluded",IF(AND(J87&lt;&gt;"",K87&lt;&gt;"",L87&lt;&gt;"",COUNTIF('SOW caps'!$N$7:$N$36,A87&amp;"|"&amp;K87)=1),"Mapped","Needs allocation"))))</x:f>
      </x:c>
      <x:c r="N87" s="8" t="str">
        <x:f>IF(B87="","",IF(M87="Mapped",_xlfn.XLOOKUP(A87&amp;"|"&amp;K87,'SOW caps'!$N$7:$N$36,'SOW caps'!$E$7:$E$36,""),IF(ISNUMBER('SOW caps'!$B$3),'SOW caps'!$B$3,"")))</x:f>
      </x:c>
      <x:c r="O87" s="8" t="str">
        <x:f>IF(AND(ISNUMBER(X87),ISNUMBER(N87),N87&gt;=0),X87*N87,"")</x:f>
      </x:c>
      <x:c r="P87" s="3"/>
      <x:c r="Q87" s="3"/>
      <x:c r="R87" s="3"/>
      <x:c r="S87" s="3"/>
      <x:c r="T87" s="3"/>
      <x:c r="U87" s="8" t="str">
        <x:f>IF(M87="Mapped",IF(OR(_xlfn.XLOOKUP(A87&amp;"|"&amp;K87,'SOW caps'!$N$7:$N$36,'SOW caps'!$M$7:$M$36,"")="Ready",_xlfn.XLOOKUP(A87&amp;"|"&amp;K87,'SOW caps'!$N$7:$N$36,'SOW caps'!$M$7:$M$36,"")="No hours"),_xlfn.XLOOKUP(A87&amp;"|"&amp;K87,'SOW caps'!$N$7:$N$36,'SOW caps'!$O$7:$O$36,""),""),"")</x:f>
      </x:c>
      <x:c r="V87" s="8" t="str">
        <x:f>IF(AND(ISNUMBER(U87),ISNUMBER(X87)),ROUND(SUMIFS($X$7:X87,$A$7:A87,A87,$K$7:K87,K87,$M$7:M87,"Mapped")*U87,2)-ROUND((SUMIFS($X$7:X87,$A$7:A87,A87,$K$7:K87,K87,$M$7:M87,"Mapped")-X87)*U87,2),"")</x:f>
      </x:c>
      <x:c r="W87" s="1" t="str">
        <x:f>IF(B87="","",IF(OR(NOT(ISNUMBER(I87)),I87&lt;0),"Invalid hours",IF(NOT(ISNUMBER(R87)),"Manual hours",IF(ROUND(I87*3600000,0)=R87,"Source hours","Adjusted hours"))))</x:f>
      </x:c>
      <x:c r="X87" s="10" t="str">
        <x:f>IF(B87="","",IF(AND(ISNUMBER(I87),I87&gt;=0,Q87="In period"),I87,""))</x:f>
      </x:c>
    </x:row>
    <x:row r="88" ht="23" customHeight="1">
      <x:c r="A88" s="3"/>
      <x:c r="B88" s="3"/>
      <x:c r="C88" s="3"/>
      <x:c r="D88" s="3"/>
      <x:c r="E88" s="3"/>
      <x:c r="F88" s="3"/>
      <x:c r="G88" s="3"/>
      <x:c r="H88" s="3"/>
      <x:c r="I88" s="9"/>
      <x:c r="J88" s="3"/>
      <x:c r="K88" s="3"/>
      <x:c r="L88" s="3"/>
      <x:c r="M88" s="1" t="str">
        <x:f>IF(B88="","",IF(W88="Invalid hours","Invalid hours",IF(NOT(ISNUMBER(X88)),"Excluded",IF(AND(J88&lt;&gt;"",K88&lt;&gt;"",L88&lt;&gt;"",COUNTIF('SOW caps'!$N$7:$N$36,A88&amp;"|"&amp;K88)=1),"Mapped","Needs allocation"))))</x:f>
      </x:c>
      <x:c r="N88" s="8" t="str">
        <x:f>IF(B88="","",IF(M88="Mapped",_xlfn.XLOOKUP(A88&amp;"|"&amp;K88,'SOW caps'!$N$7:$N$36,'SOW caps'!$E$7:$E$36,""),IF(ISNUMBER('SOW caps'!$B$3),'SOW caps'!$B$3,"")))</x:f>
      </x:c>
      <x:c r="O88" s="8" t="str">
        <x:f>IF(AND(ISNUMBER(X88),ISNUMBER(N88),N88&gt;=0),X88*N88,"")</x:f>
      </x:c>
      <x:c r="P88" s="3"/>
      <x:c r="Q88" s="3"/>
      <x:c r="R88" s="3"/>
      <x:c r="S88" s="3"/>
      <x:c r="T88" s="3"/>
      <x:c r="U88" s="8" t="str">
        <x:f>IF(M88="Mapped",IF(OR(_xlfn.XLOOKUP(A88&amp;"|"&amp;K88,'SOW caps'!$N$7:$N$36,'SOW caps'!$M$7:$M$36,"")="Ready",_xlfn.XLOOKUP(A88&amp;"|"&amp;K88,'SOW caps'!$N$7:$N$36,'SOW caps'!$M$7:$M$36,"")="No hours"),_xlfn.XLOOKUP(A88&amp;"|"&amp;K88,'SOW caps'!$N$7:$N$36,'SOW caps'!$O$7:$O$36,""),""),"")</x:f>
      </x:c>
      <x:c r="V88" s="8" t="str">
        <x:f>IF(AND(ISNUMBER(U88),ISNUMBER(X88)),ROUND(SUMIFS($X$7:X88,$A$7:A88,A88,$K$7:K88,K88,$M$7:M88,"Mapped")*U88,2)-ROUND((SUMIFS($X$7:X88,$A$7:A88,A88,$K$7:K88,K88,$M$7:M88,"Mapped")-X88)*U88,2),"")</x:f>
      </x:c>
      <x:c r="W88" s="1" t="str">
        <x:f>IF(B88="","",IF(OR(NOT(ISNUMBER(I88)),I88&lt;0),"Invalid hours",IF(NOT(ISNUMBER(R88)),"Manual hours",IF(ROUND(I88*3600000,0)=R88,"Source hours","Adjusted hours"))))</x:f>
      </x:c>
      <x:c r="X88" s="10" t="str">
        <x:f>IF(B88="","",IF(AND(ISNUMBER(I88),I88&gt;=0,Q88="In period"),I88,""))</x:f>
      </x:c>
    </x:row>
    <x:row r="89" ht="23" customHeight="1">
      <x:c r="A89" s="3"/>
      <x:c r="B89" s="3"/>
      <x:c r="C89" s="3"/>
      <x:c r="D89" s="3"/>
      <x:c r="E89" s="3"/>
      <x:c r="F89" s="3"/>
      <x:c r="G89" s="3"/>
      <x:c r="H89" s="3"/>
      <x:c r="I89" s="9"/>
      <x:c r="J89" s="3"/>
      <x:c r="K89" s="3"/>
      <x:c r="L89" s="3"/>
      <x:c r="M89" s="1" t="str">
        <x:f>IF(B89="","",IF(W89="Invalid hours","Invalid hours",IF(NOT(ISNUMBER(X89)),"Excluded",IF(AND(J89&lt;&gt;"",K89&lt;&gt;"",L89&lt;&gt;"",COUNTIF('SOW caps'!$N$7:$N$36,A89&amp;"|"&amp;K89)=1),"Mapped","Needs allocation"))))</x:f>
      </x:c>
      <x:c r="N89" s="8" t="str">
        <x:f>IF(B89="","",IF(M89="Mapped",_xlfn.XLOOKUP(A89&amp;"|"&amp;K89,'SOW caps'!$N$7:$N$36,'SOW caps'!$E$7:$E$36,""),IF(ISNUMBER('SOW caps'!$B$3),'SOW caps'!$B$3,"")))</x:f>
      </x:c>
      <x:c r="O89" s="8" t="str">
        <x:f>IF(AND(ISNUMBER(X89),ISNUMBER(N89),N89&gt;=0),X89*N89,"")</x:f>
      </x:c>
      <x:c r="P89" s="3"/>
      <x:c r="Q89" s="3"/>
      <x:c r="R89" s="3"/>
      <x:c r="S89" s="3"/>
      <x:c r="T89" s="3"/>
      <x:c r="U89" s="8" t="str">
        <x:f>IF(M89="Mapped",IF(OR(_xlfn.XLOOKUP(A89&amp;"|"&amp;K89,'SOW caps'!$N$7:$N$36,'SOW caps'!$M$7:$M$36,"")="Ready",_xlfn.XLOOKUP(A89&amp;"|"&amp;K89,'SOW caps'!$N$7:$N$36,'SOW caps'!$M$7:$M$36,"")="No hours"),_xlfn.XLOOKUP(A89&amp;"|"&amp;K89,'SOW caps'!$N$7:$N$36,'SOW caps'!$O$7:$O$36,""),""),"")</x:f>
      </x:c>
      <x:c r="V89" s="8" t="str">
        <x:f>IF(AND(ISNUMBER(U89),ISNUMBER(X89)),ROUND(SUMIFS($X$7:X89,$A$7:A89,A89,$K$7:K89,K89,$M$7:M89,"Mapped")*U89,2)-ROUND((SUMIFS($X$7:X89,$A$7:A89,A89,$K$7:K89,K89,$M$7:M89,"Mapped")-X89)*U89,2),"")</x:f>
      </x:c>
      <x:c r="W89" s="1" t="str">
        <x:f>IF(B89="","",IF(OR(NOT(ISNUMBER(I89)),I89&lt;0),"Invalid hours",IF(NOT(ISNUMBER(R89)),"Manual hours",IF(ROUND(I89*3600000,0)=R89,"Source hours","Adjusted hours"))))</x:f>
      </x:c>
      <x:c r="X89" s="10" t="str">
        <x:f>IF(B89="","",IF(AND(ISNUMBER(I89),I89&gt;=0,Q89="In period"),I89,""))</x:f>
      </x:c>
    </x:row>
    <x:row r="90" ht="23" customHeight="1">
      <x:c r="A90" s="3"/>
      <x:c r="B90" s="3"/>
      <x:c r="C90" s="3"/>
      <x:c r="D90" s="3"/>
      <x:c r="E90" s="3"/>
      <x:c r="F90" s="3"/>
      <x:c r="G90" s="3"/>
      <x:c r="H90" s="3"/>
      <x:c r="I90" s="9"/>
      <x:c r="J90" s="3"/>
      <x:c r="K90" s="3"/>
      <x:c r="L90" s="3"/>
      <x:c r="M90" s="1" t="str">
        <x:f>IF(B90="","",IF(W90="Invalid hours","Invalid hours",IF(NOT(ISNUMBER(X90)),"Excluded",IF(AND(J90&lt;&gt;"",K90&lt;&gt;"",L90&lt;&gt;"",COUNTIF('SOW caps'!$N$7:$N$36,A90&amp;"|"&amp;K90)=1),"Mapped","Needs allocation"))))</x:f>
      </x:c>
      <x:c r="N90" s="8" t="str">
        <x:f>IF(B90="","",IF(M90="Mapped",_xlfn.XLOOKUP(A90&amp;"|"&amp;K90,'SOW caps'!$N$7:$N$36,'SOW caps'!$E$7:$E$36,""),IF(ISNUMBER('SOW caps'!$B$3),'SOW caps'!$B$3,"")))</x:f>
      </x:c>
      <x:c r="O90" s="8" t="str">
        <x:f>IF(AND(ISNUMBER(X90),ISNUMBER(N90),N90&gt;=0),X90*N90,"")</x:f>
      </x:c>
      <x:c r="P90" s="3"/>
      <x:c r="Q90" s="3"/>
      <x:c r="R90" s="3"/>
      <x:c r="S90" s="3"/>
      <x:c r="T90" s="3"/>
      <x:c r="U90" s="8" t="str">
        <x:f>IF(M90="Mapped",IF(OR(_xlfn.XLOOKUP(A90&amp;"|"&amp;K90,'SOW caps'!$N$7:$N$36,'SOW caps'!$M$7:$M$36,"")="Ready",_xlfn.XLOOKUP(A90&amp;"|"&amp;K90,'SOW caps'!$N$7:$N$36,'SOW caps'!$M$7:$M$36,"")="No hours"),_xlfn.XLOOKUP(A90&amp;"|"&amp;K90,'SOW caps'!$N$7:$N$36,'SOW caps'!$O$7:$O$36,""),""),"")</x:f>
      </x:c>
      <x:c r="V90" s="8" t="str">
        <x:f>IF(AND(ISNUMBER(U90),ISNUMBER(X90)),ROUND(SUMIFS($X$7:X90,$A$7:A90,A90,$K$7:K90,K90,$M$7:M90,"Mapped")*U90,2)-ROUND((SUMIFS($X$7:X90,$A$7:A90,A90,$K$7:K90,K90,$M$7:M90,"Mapped")-X90)*U90,2),"")</x:f>
      </x:c>
      <x:c r="W90" s="1" t="str">
        <x:f>IF(B90="","",IF(OR(NOT(ISNUMBER(I90)),I90&lt;0),"Invalid hours",IF(NOT(ISNUMBER(R90)),"Manual hours",IF(ROUND(I90*3600000,0)=R90,"Source hours","Adjusted hours"))))</x:f>
      </x:c>
      <x:c r="X90" s="10" t="str">
        <x:f>IF(B90="","",IF(AND(ISNUMBER(I90),I90&gt;=0,Q90="In period"),I90,""))</x:f>
      </x:c>
    </x:row>
    <x:row r="91" ht="23" customHeight="1">
      <x:c r="A91" s="3"/>
      <x:c r="B91" s="3"/>
      <x:c r="C91" s="3"/>
      <x:c r="D91" s="3"/>
      <x:c r="E91" s="3"/>
      <x:c r="F91" s="3"/>
      <x:c r="G91" s="3"/>
      <x:c r="H91" s="3"/>
      <x:c r="I91" s="9"/>
      <x:c r="J91" s="3"/>
      <x:c r="K91" s="3"/>
      <x:c r="L91" s="3"/>
      <x:c r="M91" s="1" t="str">
        <x:f>IF(B91="","",IF(W91="Invalid hours","Invalid hours",IF(NOT(ISNUMBER(X91)),"Excluded",IF(AND(J91&lt;&gt;"",K91&lt;&gt;"",L91&lt;&gt;"",COUNTIF('SOW caps'!$N$7:$N$36,A91&amp;"|"&amp;K91)=1),"Mapped","Needs allocation"))))</x:f>
      </x:c>
      <x:c r="N91" s="8" t="str">
        <x:f>IF(B91="","",IF(M91="Mapped",_xlfn.XLOOKUP(A91&amp;"|"&amp;K91,'SOW caps'!$N$7:$N$36,'SOW caps'!$E$7:$E$36,""),IF(ISNUMBER('SOW caps'!$B$3),'SOW caps'!$B$3,"")))</x:f>
      </x:c>
      <x:c r="O91" s="8" t="str">
        <x:f>IF(AND(ISNUMBER(X91),ISNUMBER(N91),N91&gt;=0),X91*N91,"")</x:f>
      </x:c>
      <x:c r="P91" s="3"/>
      <x:c r="Q91" s="3"/>
      <x:c r="R91" s="3"/>
      <x:c r="S91" s="3"/>
      <x:c r="T91" s="3"/>
      <x:c r="U91" s="8" t="str">
        <x:f>IF(M91="Mapped",IF(OR(_xlfn.XLOOKUP(A91&amp;"|"&amp;K91,'SOW caps'!$N$7:$N$36,'SOW caps'!$M$7:$M$36,"")="Ready",_xlfn.XLOOKUP(A91&amp;"|"&amp;K91,'SOW caps'!$N$7:$N$36,'SOW caps'!$M$7:$M$36,"")="No hours"),_xlfn.XLOOKUP(A91&amp;"|"&amp;K91,'SOW caps'!$N$7:$N$36,'SOW caps'!$O$7:$O$36,""),""),"")</x:f>
      </x:c>
      <x:c r="V91" s="8" t="str">
        <x:f>IF(AND(ISNUMBER(U91),ISNUMBER(X91)),ROUND(SUMIFS($X$7:X91,$A$7:A91,A91,$K$7:K91,K91,$M$7:M91,"Mapped")*U91,2)-ROUND((SUMIFS($X$7:X91,$A$7:A91,A91,$K$7:K91,K91,$M$7:M91,"Mapped")-X91)*U91,2),"")</x:f>
      </x:c>
      <x:c r="W91" s="1" t="str">
        <x:f>IF(B91="","",IF(OR(NOT(ISNUMBER(I91)),I91&lt;0),"Invalid hours",IF(NOT(ISNUMBER(R91)),"Manual hours",IF(ROUND(I91*3600000,0)=R91,"Source hours","Adjusted hours"))))</x:f>
      </x:c>
      <x:c r="X91" s="10" t="str">
        <x:f>IF(B91="","",IF(AND(ISNUMBER(I91),I91&gt;=0,Q91="In period"),I91,""))</x:f>
      </x:c>
    </x:row>
    <x:row r="92" ht="23" customHeight="1">
      <x:c r="A92" s="3"/>
      <x:c r="B92" s="3"/>
      <x:c r="C92" s="3"/>
      <x:c r="D92" s="3"/>
      <x:c r="E92" s="3"/>
      <x:c r="F92" s="3"/>
      <x:c r="G92" s="3"/>
      <x:c r="H92" s="3"/>
      <x:c r="I92" s="9"/>
      <x:c r="J92" s="3"/>
      <x:c r="K92" s="3"/>
      <x:c r="L92" s="3"/>
      <x:c r="M92" s="1" t="str">
        <x:f>IF(B92="","",IF(W92="Invalid hours","Invalid hours",IF(NOT(ISNUMBER(X92)),"Excluded",IF(AND(J92&lt;&gt;"",K92&lt;&gt;"",L92&lt;&gt;"",COUNTIF('SOW caps'!$N$7:$N$36,A92&amp;"|"&amp;K92)=1),"Mapped","Needs allocation"))))</x:f>
      </x:c>
      <x:c r="N92" s="8" t="str">
        <x:f>IF(B92="","",IF(M92="Mapped",_xlfn.XLOOKUP(A92&amp;"|"&amp;K92,'SOW caps'!$N$7:$N$36,'SOW caps'!$E$7:$E$36,""),IF(ISNUMBER('SOW caps'!$B$3),'SOW caps'!$B$3,"")))</x:f>
      </x:c>
      <x:c r="O92" s="8" t="str">
        <x:f>IF(AND(ISNUMBER(X92),ISNUMBER(N92),N92&gt;=0),X92*N92,"")</x:f>
      </x:c>
      <x:c r="P92" s="3"/>
      <x:c r="Q92" s="3"/>
      <x:c r="R92" s="3"/>
      <x:c r="S92" s="3"/>
      <x:c r="T92" s="3"/>
      <x:c r="U92" s="8" t="str">
        <x:f>IF(M92="Mapped",IF(OR(_xlfn.XLOOKUP(A92&amp;"|"&amp;K92,'SOW caps'!$N$7:$N$36,'SOW caps'!$M$7:$M$36,"")="Ready",_xlfn.XLOOKUP(A92&amp;"|"&amp;K92,'SOW caps'!$N$7:$N$36,'SOW caps'!$M$7:$M$36,"")="No hours"),_xlfn.XLOOKUP(A92&amp;"|"&amp;K92,'SOW caps'!$N$7:$N$36,'SOW caps'!$O$7:$O$36,""),""),"")</x:f>
      </x:c>
      <x:c r="V92" s="8" t="str">
        <x:f>IF(AND(ISNUMBER(U92),ISNUMBER(X92)),ROUND(SUMIFS($X$7:X92,$A$7:A92,A92,$K$7:K92,K92,$M$7:M92,"Mapped")*U92,2)-ROUND((SUMIFS($X$7:X92,$A$7:A92,A92,$K$7:K92,K92,$M$7:M92,"Mapped")-X92)*U92,2),"")</x:f>
      </x:c>
      <x:c r="W92" s="1" t="str">
        <x:f>IF(B92="","",IF(OR(NOT(ISNUMBER(I92)),I92&lt;0),"Invalid hours",IF(NOT(ISNUMBER(R92)),"Manual hours",IF(ROUND(I92*3600000,0)=R92,"Source hours","Adjusted hours"))))</x:f>
      </x:c>
      <x:c r="X92" s="10" t="str">
        <x:f>IF(B92="","",IF(AND(ISNUMBER(I92),I92&gt;=0,Q92="In period"),I92,""))</x:f>
      </x:c>
    </x:row>
    <x:row r="93" ht="23" customHeight="1">
      <x:c r="A93" s="3"/>
      <x:c r="B93" s="3"/>
      <x:c r="C93" s="3"/>
      <x:c r="D93" s="3"/>
      <x:c r="E93" s="3"/>
      <x:c r="F93" s="3"/>
      <x:c r="G93" s="3"/>
      <x:c r="H93" s="3"/>
      <x:c r="I93" s="9"/>
      <x:c r="J93" s="3"/>
      <x:c r="K93" s="3"/>
      <x:c r="L93" s="3"/>
      <x:c r="M93" s="1" t="str">
        <x:f>IF(B93="","",IF(W93="Invalid hours","Invalid hours",IF(NOT(ISNUMBER(X93)),"Excluded",IF(AND(J93&lt;&gt;"",K93&lt;&gt;"",L93&lt;&gt;"",COUNTIF('SOW caps'!$N$7:$N$36,A93&amp;"|"&amp;K93)=1),"Mapped","Needs allocation"))))</x:f>
      </x:c>
      <x:c r="N93" s="8" t="str">
        <x:f>IF(B93="","",IF(M93="Mapped",_xlfn.XLOOKUP(A93&amp;"|"&amp;K93,'SOW caps'!$N$7:$N$36,'SOW caps'!$E$7:$E$36,""),IF(ISNUMBER('SOW caps'!$B$3),'SOW caps'!$B$3,"")))</x:f>
      </x:c>
      <x:c r="O93" s="8" t="str">
        <x:f>IF(AND(ISNUMBER(X93),ISNUMBER(N93),N93&gt;=0),X93*N93,"")</x:f>
      </x:c>
      <x:c r="P93" s="3"/>
      <x:c r="Q93" s="3"/>
      <x:c r="R93" s="3"/>
      <x:c r="S93" s="3"/>
      <x:c r="T93" s="3"/>
      <x:c r="U93" s="8" t="str">
        <x:f>IF(M93="Mapped",IF(OR(_xlfn.XLOOKUP(A93&amp;"|"&amp;K93,'SOW caps'!$N$7:$N$36,'SOW caps'!$M$7:$M$36,"")="Ready",_xlfn.XLOOKUP(A93&amp;"|"&amp;K93,'SOW caps'!$N$7:$N$36,'SOW caps'!$M$7:$M$36,"")="No hours"),_xlfn.XLOOKUP(A93&amp;"|"&amp;K93,'SOW caps'!$N$7:$N$36,'SOW caps'!$O$7:$O$36,""),""),"")</x:f>
      </x:c>
      <x:c r="V93" s="8" t="str">
        <x:f>IF(AND(ISNUMBER(U93),ISNUMBER(X93)),ROUND(SUMIFS($X$7:X93,$A$7:A93,A93,$K$7:K93,K93,$M$7:M93,"Mapped")*U93,2)-ROUND((SUMIFS($X$7:X93,$A$7:A93,A93,$K$7:K93,K93,$M$7:M93,"Mapped")-X93)*U93,2),"")</x:f>
      </x:c>
      <x:c r="W93" s="1" t="str">
        <x:f>IF(B93="","",IF(OR(NOT(ISNUMBER(I93)),I93&lt;0),"Invalid hours",IF(NOT(ISNUMBER(R93)),"Manual hours",IF(ROUND(I93*3600000,0)=R93,"Source hours","Adjusted hours"))))</x:f>
      </x:c>
      <x:c r="X93" s="10" t="str">
        <x:f>IF(B93="","",IF(AND(ISNUMBER(I93),I93&gt;=0,Q93="In period"),I93,""))</x:f>
      </x:c>
    </x:row>
    <x:row r="94" ht="23" customHeight="1">
      <x:c r="A94" s="3"/>
      <x:c r="B94" s="3"/>
      <x:c r="C94" s="3"/>
      <x:c r="D94" s="3"/>
      <x:c r="E94" s="3"/>
      <x:c r="F94" s="3"/>
      <x:c r="G94" s="3"/>
      <x:c r="H94" s="3"/>
      <x:c r="I94" s="9"/>
      <x:c r="J94" s="3"/>
      <x:c r="K94" s="3"/>
      <x:c r="L94" s="3"/>
      <x:c r="M94" s="1" t="str">
        <x:f>IF(B94="","",IF(W94="Invalid hours","Invalid hours",IF(NOT(ISNUMBER(X94)),"Excluded",IF(AND(J94&lt;&gt;"",K94&lt;&gt;"",L94&lt;&gt;"",COUNTIF('SOW caps'!$N$7:$N$36,A94&amp;"|"&amp;K94)=1),"Mapped","Needs allocation"))))</x:f>
      </x:c>
      <x:c r="N94" s="8" t="str">
        <x:f>IF(B94="","",IF(M94="Mapped",_xlfn.XLOOKUP(A94&amp;"|"&amp;K94,'SOW caps'!$N$7:$N$36,'SOW caps'!$E$7:$E$36,""),IF(ISNUMBER('SOW caps'!$B$3),'SOW caps'!$B$3,"")))</x:f>
      </x:c>
      <x:c r="O94" s="8" t="str">
        <x:f>IF(AND(ISNUMBER(X94),ISNUMBER(N94),N94&gt;=0),X94*N94,"")</x:f>
      </x:c>
      <x:c r="P94" s="3"/>
      <x:c r="Q94" s="3"/>
      <x:c r="R94" s="3"/>
      <x:c r="S94" s="3"/>
      <x:c r="T94" s="3"/>
      <x:c r="U94" s="8" t="str">
        <x:f>IF(M94="Mapped",IF(OR(_xlfn.XLOOKUP(A94&amp;"|"&amp;K94,'SOW caps'!$N$7:$N$36,'SOW caps'!$M$7:$M$36,"")="Ready",_xlfn.XLOOKUP(A94&amp;"|"&amp;K94,'SOW caps'!$N$7:$N$36,'SOW caps'!$M$7:$M$36,"")="No hours"),_xlfn.XLOOKUP(A94&amp;"|"&amp;K94,'SOW caps'!$N$7:$N$36,'SOW caps'!$O$7:$O$36,""),""),"")</x:f>
      </x:c>
      <x:c r="V94" s="8" t="str">
        <x:f>IF(AND(ISNUMBER(U94),ISNUMBER(X94)),ROUND(SUMIFS($X$7:X94,$A$7:A94,A94,$K$7:K94,K94,$M$7:M94,"Mapped")*U94,2)-ROUND((SUMIFS($X$7:X94,$A$7:A94,A94,$K$7:K94,K94,$M$7:M94,"Mapped")-X94)*U94,2),"")</x:f>
      </x:c>
      <x:c r="W94" s="1" t="str">
        <x:f>IF(B94="","",IF(OR(NOT(ISNUMBER(I94)),I94&lt;0),"Invalid hours",IF(NOT(ISNUMBER(R94)),"Manual hours",IF(ROUND(I94*3600000,0)=R94,"Source hours","Adjusted hours"))))</x:f>
      </x:c>
      <x:c r="X94" s="10" t="str">
        <x:f>IF(B94="","",IF(AND(ISNUMBER(I94),I94&gt;=0,Q94="In period"),I94,""))</x:f>
      </x:c>
    </x:row>
    <x:row r="95" ht="23" customHeight="1">
      <x:c r="A95" s="3"/>
      <x:c r="B95" s="3"/>
      <x:c r="C95" s="3"/>
      <x:c r="D95" s="3"/>
      <x:c r="E95" s="3"/>
      <x:c r="F95" s="3"/>
      <x:c r="G95" s="3"/>
      <x:c r="H95" s="3"/>
      <x:c r="I95" s="9"/>
      <x:c r="J95" s="3"/>
      <x:c r="K95" s="3"/>
      <x:c r="L95" s="3"/>
      <x:c r="M95" s="1" t="str">
        <x:f>IF(B95="","",IF(W95="Invalid hours","Invalid hours",IF(NOT(ISNUMBER(X95)),"Excluded",IF(AND(J95&lt;&gt;"",K95&lt;&gt;"",L95&lt;&gt;"",COUNTIF('SOW caps'!$N$7:$N$36,A95&amp;"|"&amp;K95)=1),"Mapped","Needs allocation"))))</x:f>
      </x:c>
      <x:c r="N95" s="8" t="str">
        <x:f>IF(B95="","",IF(M95="Mapped",_xlfn.XLOOKUP(A95&amp;"|"&amp;K95,'SOW caps'!$N$7:$N$36,'SOW caps'!$E$7:$E$36,""),IF(ISNUMBER('SOW caps'!$B$3),'SOW caps'!$B$3,"")))</x:f>
      </x:c>
      <x:c r="O95" s="8" t="str">
        <x:f>IF(AND(ISNUMBER(X95),ISNUMBER(N95),N95&gt;=0),X95*N95,"")</x:f>
      </x:c>
      <x:c r="P95" s="3"/>
      <x:c r="Q95" s="3"/>
      <x:c r="R95" s="3"/>
      <x:c r="S95" s="3"/>
      <x:c r="T95" s="3"/>
      <x:c r="U95" s="8" t="str">
        <x:f>IF(M95="Mapped",IF(OR(_xlfn.XLOOKUP(A95&amp;"|"&amp;K95,'SOW caps'!$N$7:$N$36,'SOW caps'!$M$7:$M$36,"")="Ready",_xlfn.XLOOKUP(A95&amp;"|"&amp;K95,'SOW caps'!$N$7:$N$36,'SOW caps'!$M$7:$M$36,"")="No hours"),_xlfn.XLOOKUP(A95&amp;"|"&amp;K95,'SOW caps'!$N$7:$N$36,'SOW caps'!$O$7:$O$36,""),""),"")</x:f>
      </x:c>
      <x:c r="V95" s="8" t="str">
        <x:f>IF(AND(ISNUMBER(U95),ISNUMBER(X95)),ROUND(SUMIFS($X$7:X95,$A$7:A95,A95,$K$7:K95,K95,$M$7:M95,"Mapped")*U95,2)-ROUND((SUMIFS($X$7:X95,$A$7:A95,A95,$K$7:K95,K95,$M$7:M95,"Mapped")-X95)*U95,2),"")</x:f>
      </x:c>
      <x:c r="W95" s="1" t="str">
        <x:f>IF(B95="","",IF(OR(NOT(ISNUMBER(I95)),I95&lt;0),"Invalid hours",IF(NOT(ISNUMBER(R95)),"Manual hours",IF(ROUND(I95*3600000,0)=R95,"Source hours","Adjusted hours"))))</x:f>
      </x:c>
      <x:c r="X95" s="10" t="str">
        <x:f>IF(B95="","",IF(AND(ISNUMBER(I95),I95&gt;=0,Q95="In period"),I95,""))</x:f>
      </x:c>
    </x:row>
    <x:row r="96" ht="23" customHeight="1">
      <x:c r="A96" s="3"/>
      <x:c r="B96" s="3"/>
      <x:c r="C96" s="3"/>
      <x:c r="D96" s="3"/>
      <x:c r="E96" s="3"/>
      <x:c r="F96" s="3"/>
      <x:c r="G96" s="3"/>
      <x:c r="H96" s="3"/>
      <x:c r="I96" s="9"/>
      <x:c r="J96" s="3"/>
      <x:c r="K96" s="3"/>
      <x:c r="L96" s="3"/>
      <x:c r="M96" s="1" t="str">
        <x:f>IF(B96="","",IF(W96="Invalid hours","Invalid hours",IF(NOT(ISNUMBER(X96)),"Excluded",IF(AND(J96&lt;&gt;"",K96&lt;&gt;"",L96&lt;&gt;"",COUNTIF('SOW caps'!$N$7:$N$36,A96&amp;"|"&amp;K96)=1),"Mapped","Needs allocation"))))</x:f>
      </x:c>
      <x:c r="N96" s="8" t="str">
        <x:f>IF(B96="","",IF(M96="Mapped",_xlfn.XLOOKUP(A96&amp;"|"&amp;K96,'SOW caps'!$N$7:$N$36,'SOW caps'!$E$7:$E$36,""),IF(ISNUMBER('SOW caps'!$B$3),'SOW caps'!$B$3,"")))</x:f>
      </x:c>
      <x:c r="O96" s="8" t="str">
        <x:f>IF(AND(ISNUMBER(X96),ISNUMBER(N96),N96&gt;=0),X96*N96,"")</x:f>
      </x:c>
      <x:c r="P96" s="3"/>
      <x:c r="Q96" s="3"/>
      <x:c r="R96" s="3"/>
      <x:c r="S96" s="3"/>
      <x:c r="T96" s="3"/>
      <x:c r="U96" s="8" t="str">
        <x:f>IF(M96="Mapped",IF(OR(_xlfn.XLOOKUP(A96&amp;"|"&amp;K96,'SOW caps'!$N$7:$N$36,'SOW caps'!$M$7:$M$36,"")="Ready",_xlfn.XLOOKUP(A96&amp;"|"&amp;K96,'SOW caps'!$N$7:$N$36,'SOW caps'!$M$7:$M$36,"")="No hours"),_xlfn.XLOOKUP(A96&amp;"|"&amp;K96,'SOW caps'!$N$7:$N$36,'SOW caps'!$O$7:$O$36,""),""),"")</x:f>
      </x:c>
      <x:c r="V96" s="8" t="str">
        <x:f>IF(AND(ISNUMBER(U96),ISNUMBER(X96)),ROUND(SUMIFS($X$7:X96,$A$7:A96,A96,$K$7:K96,K96,$M$7:M96,"Mapped")*U96,2)-ROUND((SUMIFS($X$7:X96,$A$7:A96,A96,$K$7:K96,K96,$M$7:M96,"Mapped")-X96)*U96,2),"")</x:f>
      </x:c>
      <x:c r="W96" s="1" t="str">
        <x:f>IF(B96="","",IF(OR(NOT(ISNUMBER(I96)),I96&lt;0),"Invalid hours",IF(NOT(ISNUMBER(R96)),"Manual hours",IF(ROUND(I96*3600000,0)=R96,"Source hours","Adjusted hours"))))</x:f>
      </x:c>
      <x:c r="X96" s="10" t="str">
        <x:f>IF(B96="","",IF(AND(ISNUMBER(I96),I96&gt;=0,Q96="In period"),I96,""))</x:f>
      </x:c>
    </x:row>
    <x:row r="97" ht="23" customHeight="1">
      <x:c r="A97" s="3"/>
      <x:c r="B97" s="3"/>
      <x:c r="C97" s="3"/>
      <x:c r="D97" s="3"/>
      <x:c r="E97" s="3"/>
      <x:c r="F97" s="3"/>
      <x:c r="G97" s="3"/>
      <x:c r="H97" s="3"/>
      <x:c r="I97" s="9"/>
      <x:c r="J97" s="3"/>
      <x:c r="K97" s="3"/>
      <x:c r="L97" s="3"/>
      <x:c r="M97" s="1" t="str">
        <x:f>IF(B97="","",IF(W97="Invalid hours","Invalid hours",IF(NOT(ISNUMBER(X97)),"Excluded",IF(AND(J97&lt;&gt;"",K97&lt;&gt;"",L97&lt;&gt;"",COUNTIF('SOW caps'!$N$7:$N$36,A97&amp;"|"&amp;K97)=1),"Mapped","Needs allocation"))))</x:f>
      </x:c>
      <x:c r="N97" s="8" t="str">
        <x:f>IF(B97="","",IF(M97="Mapped",_xlfn.XLOOKUP(A97&amp;"|"&amp;K97,'SOW caps'!$N$7:$N$36,'SOW caps'!$E$7:$E$36,""),IF(ISNUMBER('SOW caps'!$B$3),'SOW caps'!$B$3,"")))</x:f>
      </x:c>
      <x:c r="O97" s="8" t="str">
        <x:f>IF(AND(ISNUMBER(X97),ISNUMBER(N97),N97&gt;=0),X97*N97,"")</x:f>
      </x:c>
      <x:c r="P97" s="3"/>
      <x:c r="Q97" s="3"/>
      <x:c r="R97" s="3"/>
      <x:c r="S97" s="3"/>
      <x:c r="T97" s="3"/>
      <x:c r="U97" s="8" t="str">
        <x:f>IF(M97="Mapped",IF(OR(_xlfn.XLOOKUP(A97&amp;"|"&amp;K97,'SOW caps'!$N$7:$N$36,'SOW caps'!$M$7:$M$36,"")="Ready",_xlfn.XLOOKUP(A97&amp;"|"&amp;K97,'SOW caps'!$N$7:$N$36,'SOW caps'!$M$7:$M$36,"")="No hours"),_xlfn.XLOOKUP(A97&amp;"|"&amp;K97,'SOW caps'!$N$7:$N$36,'SOW caps'!$O$7:$O$36,""),""),"")</x:f>
      </x:c>
      <x:c r="V97" s="8" t="str">
        <x:f>IF(AND(ISNUMBER(U97),ISNUMBER(X97)),ROUND(SUMIFS($X$7:X97,$A$7:A97,A97,$K$7:K97,K97,$M$7:M97,"Mapped")*U97,2)-ROUND((SUMIFS($X$7:X97,$A$7:A97,A97,$K$7:K97,K97,$M$7:M97,"Mapped")-X97)*U97,2),"")</x:f>
      </x:c>
      <x:c r="W97" s="1" t="str">
        <x:f>IF(B97="","",IF(OR(NOT(ISNUMBER(I97)),I97&lt;0),"Invalid hours",IF(NOT(ISNUMBER(R97)),"Manual hours",IF(ROUND(I97*3600000,0)=R97,"Source hours","Adjusted hours"))))</x:f>
      </x:c>
      <x:c r="X97" s="10" t="str">
        <x:f>IF(B97="","",IF(AND(ISNUMBER(I97),I97&gt;=0,Q97="In period"),I97,""))</x:f>
      </x:c>
    </x:row>
    <x:row r="98" ht="23" customHeight="1">
      <x:c r="A98" s="3"/>
      <x:c r="B98" s="3"/>
      <x:c r="C98" s="3"/>
      <x:c r="D98" s="3"/>
      <x:c r="E98" s="3"/>
      <x:c r="F98" s="3"/>
      <x:c r="G98" s="3"/>
      <x:c r="H98" s="3"/>
      <x:c r="I98" s="9"/>
      <x:c r="J98" s="3"/>
      <x:c r="K98" s="3"/>
      <x:c r="L98" s="3"/>
      <x:c r="M98" s="1" t="str">
        <x:f>IF(B98="","",IF(W98="Invalid hours","Invalid hours",IF(NOT(ISNUMBER(X98)),"Excluded",IF(AND(J98&lt;&gt;"",K98&lt;&gt;"",L98&lt;&gt;"",COUNTIF('SOW caps'!$N$7:$N$36,A98&amp;"|"&amp;K98)=1),"Mapped","Needs allocation"))))</x:f>
      </x:c>
      <x:c r="N98" s="8" t="str">
        <x:f>IF(B98="","",IF(M98="Mapped",_xlfn.XLOOKUP(A98&amp;"|"&amp;K98,'SOW caps'!$N$7:$N$36,'SOW caps'!$E$7:$E$36,""),IF(ISNUMBER('SOW caps'!$B$3),'SOW caps'!$B$3,"")))</x:f>
      </x:c>
      <x:c r="O98" s="8" t="str">
        <x:f>IF(AND(ISNUMBER(X98),ISNUMBER(N98),N98&gt;=0),X98*N98,"")</x:f>
      </x:c>
      <x:c r="P98" s="3"/>
      <x:c r="Q98" s="3"/>
      <x:c r="R98" s="3"/>
      <x:c r="S98" s="3"/>
      <x:c r="T98" s="3"/>
      <x:c r="U98" s="8" t="str">
        <x:f>IF(M98="Mapped",IF(OR(_xlfn.XLOOKUP(A98&amp;"|"&amp;K98,'SOW caps'!$N$7:$N$36,'SOW caps'!$M$7:$M$36,"")="Ready",_xlfn.XLOOKUP(A98&amp;"|"&amp;K98,'SOW caps'!$N$7:$N$36,'SOW caps'!$M$7:$M$36,"")="No hours"),_xlfn.XLOOKUP(A98&amp;"|"&amp;K98,'SOW caps'!$N$7:$N$36,'SOW caps'!$O$7:$O$36,""),""),"")</x:f>
      </x:c>
      <x:c r="V98" s="8" t="str">
        <x:f>IF(AND(ISNUMBER(U98),ISNUMBER(X98)),ROUND(SUMIFS($X$7:X98,$A$7:A98,A98,$K$7:K98,K98,$M$7:M98,"Mapped")*U98,2)-ROUND((SUMIFS($X$7:X98,$A$7:A98,A98,$K$7:K98,K98,$M$7:M98,"Mapped")-X98)*U98,2),"")</x:f>
      </x:c>
      <x:c r="W98" s="1" t="str">
        <x:f>IF(B98="","",IF(OR(NOT(ISNUMBER(I98)),I98&lt;0),"Invalid hours",IF(NOT(ISNUMBER(R98)),"Manual hours",IF(ROUND(I98*3600000,0)=R98,"Source hours","Adjusted hours"))))</x:f>
      </x:c>
      <x:c r="X98" s="10" t="str">
        <x:f>IF(B98="","",IF(AND(ISNUMBER(I98),I98&gt;=0,Q98="In period"),I98,""))</x:f>
      </x:c>
    </x:row>
    <x:row r="99" ht="23" customHeight="1">
      <x:c r="A99" s="3"/>
      <x:c r="B99" s="3"/>
      <x:c r="C99" s="3"/>
      <x:c r="D99" s="3"/>
      <x:c r="E99" s="3"/>
      <x:c r="F99" s="3"/>
      <x:c r="G99" s="3"/>
      <x:c r="H99" s="3"/>
      <x:c r="I99" s="9"/>
      <x:c r="J99" s="3"/>
      <x:c r="K99" s="3"/>
      <x:c r="L99" s="3"/>
      <x:c r="M99" s="1" t="str">
        <x:f>IF(B99="","",IF(W99="Invalid hours","Invalid hours",IF(NOT(ISNUMBER(X99)),"Excluded",IF(AND(J99&lt;&gt;"",K99&lt;&gt;"",L99&lt;&gt;"",COUNTIF('SOW caps'!$N$7:$N$36,A99&amp;"|"&amp;K99)=1),"Mapped","Needs allocation"))))</x:f>
      </x:c>
      <x:c r="N99" s="8" t="str">
        <x:f>IF(B99="","",IF(M99="Mapped",_xlfn.XLOOKUP(A99&amp;"|"&amp;K99,'SOW caps'!$N$7:$N$36,'SOW caps'!$E$7:$E$36,""),IF(ISNUMBER('SOW caps'!$B$3),'SOW caps'!$B$3,"")))</x:f>
      </x:c>
      <x:c r="O99" s="8" t="str">
        <x:f>IF(AND(ISNUMBER(X99),ISNUMBER(N99),N99&gt;=0),X99*N99,"")</x:f>
      </x:c>
      <x:c r="P99" s="3"/>
      <x:c r="Q99" s="3"/>
      <x:c r="R99" s="3"/>
      <x:c r="S99" s="3"/>
      <x:c r="T99" s="3"/>
      <x:c r="U99" s="8" t="str">
        <x:f>IF(M99="Mapped",IF(OR(_xlfn.XLOOKUP(A99&amp;"|"&amp;K99,'SOW caps'!$N$7:$N$36,'SOW caps'!$M$7:$M$36,"")="Ready",_xlfn.XLOOKUP(A99&amp;"|"&amp;K99,'SOW caps'!$N$7:$N$36,'SOW caps'!$M$7:$M$36,"")="No hours"),_xlfn.XLOOKUP(A99&amp;"|"&amp;K99,'SOW caps'!$N$7:$N$36,'SOW caps'!$O$7:$O$36,""),""),"")</x:f>
      </x:c>
      <x:c r="V99" s="8" t="str">
        <x:f>IF(AND(ISNUMBER(U99),ISNUMBER(X99)),ROUND(SUMIFS($X$7:X99,$A$7:A99,A99,$K$7:K99,K99,$M$7:M99,"Mapped")*U99,2)-ROUND((SUMIFS($X$7:X99,$A$7:A99,A99,$K$7:K99,K99,$M$7:M99,"Mapped")-X99)*U99,2),"")</x:f>
      </x:c>
      <x:c r="W99" s="1" t="str">
        <x:f>IF(B99="","",IF(OR(NOT(ISNUMBER(I99)),I99&lt;0),"Invalid hours",IF(NOT(ISNUMBER(R99)),"Manual hours",IF(ROUND(I99*3600000,0)=R99,"Source hours","Adjusted hours"))))</x:f>
      </x:c>
      <x:c r="X99" s="10" t="str">
        <x:f>IF(B99="","",IF(AND(ISNUMBER(I99),I99&gt;=0,Q99="In period"),I99,""))</x:f>
      </x:c>
    </x:row>
    <x:row r="100" ht="23" customHeight="1">
      <x:c r="A100" s="3"/>
      <x:c r="B100" s="3"/>
      <x:c r="C100" s="3"/>
      <x:c r="D100" s="3"/>
      <x:c r="E100" s="3"/>
      <x:c r="F100" s="3"/>
      <x:c r="G100" s="3"/>
      <x:c r="H100" s="3"/>
      <x:c r="I100" s="9"/>
      <x:c r="J100" s="3"/>
      <x:c r="K100" s="3"/>
      <x:c r="L100" s="3"/>
      <x:c r="M100" s="1" t="str">
        <x:f>IF(B100="","",IF(W100="Invalid hours","Invalid hours",IF(NOT(ISNUMBER(X100)),"Excluded",IF(AND(J100&lt;&gt;"",K100&lt;&gt;"",L100&lt;&gt;"",COUNTIF('SOW caps'!$N$7:$N$36,A100&amp;"|"&amp;K100)=1),"Mapped","Needs allocation"))))</x:f>
      </x:c>
      <x:c r="N100" s="8" t="str">
        <x:f>IF(B100="","",IF(M100="Mapped",_xlfn.XLOOKUP(A100&amp;"|"&amp;K100,'SOW caps'!$N$7:$N$36,'SOW caps'!$E$7:$E$36,""),IF(ISNUMBER('SOW caps'!$B$3),'SOW caps'!$B$3,"")))</x:f>
      </x:c>
      <x:c r="O100" s="8" t="str">
        <x:f>IF(AND(ISNUMBER(X100),ISNUMBER(N100),N100&gt;=0),X100*N100,"")</x:f>
      </x:c>
      <x:c r="P100" s="3"/>
      <x:c r="Q100" s="3"/>
      <x:c r="R100" s="3"/>
      <x:c r="S100" s="3"/>
      <x:c r="T100" s="3"/>
      <x:c r="U100" s="8" t="str">
        <x:f>IF(M100="Mapped",IF(OR(_xlfn.XLOOKUP(A100&amp;"|"&amp;K100,'SOW caps'!$N$7:$N$36,'SOW caps'!$M$7:$M$36,"")="Ready",_xlfn.XLOOKUP(A100&amp;"|"&amp;K100,'SOW caps'!$N$7:$N$36,'SOW caps'!$M$7:$M$36,"")="No hours"),_xlfn.XLOOKUP(A100&amp;"|"&amp;K100,'SOW caps'!$N$7:$N$36,'SOW caps'!$O$7:$O$36,""),""),"")</x:f>
      </x:c>
      <x:c r="V100" s="8" t="str">
        <x:f>IF(AND(ISNUMBER(U100),ISNUMBER(X100)),ROUND(SUMIFS($X$7:X100,$A$7:A100,A100,$K$7:K100,K100,$M$7:M100,"Mapped")*U100,2)-ROUND((SUMIFS($X$7:X100,$A$7:A100,A100,$K$7:K100,K100,$M$7:M100,"Mapped")-X100)*U100,2),"")</x:f>
      </x:c>
      <x:c r="W100" s="1" t="str">
        <x:f>IF(B100="","",IF(OR(NOT(ISNUMBER(I100)),I100&lt;0),"Invalid hours",IF(NOT(ISNUMBER(R100)),"Manual hours",IF(ROUND(I100*3600000,0)=R100,"Source hours","Adjusted hours"))))</x:f>
      </x:c>
      <x:c r="X100" s="10" t="str">
        <x:f>IF(B100="","",IF(AND(ISNUMBER(I100),I100&gt;=0,Q100="In period"),I100,""))</x:f>
      </x:c>
    </x:row>
    <x:row r="101" ht="23" customHeight="1">
      <x:c r="A101" s="3"/>
      <x:c r="B101" s="3"/>
      <x:c r="C101" s="3"/>
      <x:c r="D101" s="3"/>
      <x:c r="E101" s="3"/>
      <x:c r="F101" s="3"/>
      <x:c r="G101" s="3"/>
      <x:c r="H101" s="3"/>
      <x:c r="I101" s="9"/>
      <x:c r="J101" s="3"/>
      <x:c r="K101" s="3"/>
      <x:c r="L101" s="3"/>
      <x:c r="M101" s="1" t="str">
        <x:f>IF(B101="","",IF(W101="Invalid hours","Invalid hours",IF(NOT(ISNUMBER(X101)),"Excluded",IF(AND(J101&lt;&gt;"",K101&lt;&gt;"",L101&lt;&gt;"",COUNTIF('SOW caps'!$N$7:$N$36,A101&amp;"|"&amp;K101)=1),"Mapped","Needs allocation"))))</x:f>
      </x:c>
      <x:c r="N101" s="8" t="str">
        <x:f>IF(B101="","",IF(M101="Mapped",_xlfn.XLOOKUP(A101&amp;"|"&amp;K101,'SOW caps'!$N$7:$N$36,'SOW caps'!$E$7:$E$36,""),IF(ISNUMBER('SOW caps'!$B$3),'SOW caps'!$B$3,"")))</x:f>
      </x:c>
      <x:c r="O101" s="8" t="str">
        <x:f>IF(AND(ISNUMBER(X101),ISNUMBER(N101),N101&gt;=0),X101*N101,"")</x:f>
      </x:c>
      <x:c r="P101" s="3"/>
      <x:c r="Q101" s="3"/>
      <x:c r="R101" s="3"/>
      <x:c r="S101" s="3"/>
      <x:c r="T101" s="3"/>
      <x:c r="U101" s="8" t="str">
        <x:f>IF(M101="Mapped",IF(OR(_xlfn.XLOOKUP(A101&amp;"|"&amp;K101,'SOW caps'!$N$7:$N$36,'SOW caps'!$M$7:$M$36,"")="Ready",_xlfn.XLOOKUP(A101&amp;"|"&amp;K101,'SOW caps'!$N$7:$N$36,'SOW caps'!$M$7:$M$36,"")="No hours"),_xlfn.XLOOKUP(A101&amp;"|"&amp;K101,'SOW caps'!$N$7:$N$36,'SOW caps'!$O$7:$O$36,""),""),"")</x:f>
      </x:c>
      <x:c r="V101" s="8" t="str">
        <x:f>IF(AND(ISNUMBER(U101),ISNUMBER(X101)),ROUND(SUMIFS($X$7:X101,$A$7:A101,A101,$K$7:K101,K101,$M$7:M101,"Mapped")*U101,2)-ROUND((SUMIFS($X$7:X101,$A$7:A101,A101,$K$7:K101,K101,$M$7:M101,"Mapped")-X101)*U101,2),"")</x:f>
      </x:c>
      <x:c r="W101" s="1" t="str">
        <x:f>IF(B101="","",IF(OR(NOT(ISNUMBER(I101)),I101&lt;0),"Invalid hours",IF(NOT(ISNUMBER(R101)),"Manual hours",IF(ROUND(I101*3600000,0)=R101,"Source hours","Adjusted hours"))))</x:f>
      </x:c>
      <x:c r="X101" s="10" t="str">
        <x:f>IF(B101="","",IF(AND(ISNUMBER(I101),I101&gt;=0,Q101="In period"),I101,""))</x:f>
      </x:c>
    </x:row>
    <x:row r="102" ht="23" customHeight="1">
      <x:c r="A102" s="3"/>
      <x:c r="B102" s="3"/>
      <x:c r="C102" s="3"/>
      <x:c r="D102" s="3"/>
      <x:c r="E102" s="3"/>
      <x:c r="F102" s="3"/>
      <x:c r="G102" s="3"/>
      <x:c r="H102" s="3"/>
      <x:c r="I102" s="9"/>
      <x:c r="J102" s="3"/>
      <x:c r="K102" s="3"/>
      <x:c r="L102" s="3"/>
      <x:c r="M102" s="1" t="str">
        <x:f>IF(B102="","",IF(W102="Invalid hours","Invalid hours",IF(NOT(ISNUMBER(X102)),"Excluded",IF(AND(J102&lt;&gt;"",K102&lt;&gt;"",L102&lt;&gt;"",COUNTIF('SOW caps'!$N$7:$N$36,A102&amp;"|"&amp;K102)=1),"Mapped","Needs allocation"))))</x:f>
      </x:c>
      <x:c r="N102" s="8" t="str">
        <x:f>IF(B102="","",IF(M102="Mapped",_xlfn.XLOOKUP(A102&amp;"|"&amp;K102,'SOW caps'!$N$7:$N$36,'SOW caps'!$E$7:$E$36,""),IF(ISNUMBER('SOW caps'!$B$3),'SOW caps'!$B$3,"")))</x:f>
      </x:c>
      <x:c r="O102" s="8" t="str">
        <x:f>IF(AND(ISNUMBER(X102),ISNUMBER(N102),N102&gt;=0),X102*N102,"")</x:f>
      </x:c>
      <x:c r="P102" s="3"/>
      <x:c r="Q102" s="3"/>
      <x:c r="R102" s="3"/>
      <x:c r="S102" s="3"/>
      <x:c r="T102" s="3"/>
      <x:c r="U102" s="8" t="str">
        <x:f>IF(M102="Mapped",IF(OR(_xlfn.XLOOKUP(A102&amp;"|"&amp;K102,'SOW caps'!$N$7:$N$36,'SOW caps'!$M$7:$M$36,"")="Ready",_xlfn.XLOOKUP(A102&amp;"|"&amp;K102,'SOW caps'!$N$7:$N$36,'SOW caps'!$M$7:$M$36,"")="No hours"),_xlfn.XLOOKUP(A102&amp;"|"&amp;K102,'SOW caps'!$N$7:$N$36,'SOW caps'!$O$7:$O$36,""),""),"")</x:f>
      </x:c>
      <x:c r="V102" s="8" t="str">
        <x:f>IF(AND(ISNUMBER(U102),ISNUMBER(X102)),ROUND(SUMIFS($X$7:X102,$A$7:A102,A102,$K$7:K102,K102,$M$7:M102,"Mapped")*U102,2)-ROUND((SUMIFS($X$7:X102,$A$7:A102,A102,$K$7:K102,K102,$M$7:M102,"Mapped")-X102)*U102,2),"")</x:f>
      </x:c>
      <x:c r="W102" s="1" t="str">
        <x:f>IF(B102="","",IF(OR(NOT(ISNUMBER(I102)),I102&lt;0),"Invalid hours",IF(NOT(ISNUMBER(R102)),"Manual hours",IF(ROUND(I102*3600000,0)=R102,"Source hours","Adjusted hours"))))</x:f>
      </x:c>
      <x:c r="X102" s="10" t="str">
        <x:f>IF(B102="","",IF(AND(ISNUMBER(I102),I102&gt;=0,Q102="In period"),I102,""))</x:f>
      </x:c>
    </x:row>
    <x:row r="103" ht="23" customHeight="1">
      <x:c r="A103" s="3"/>
      <x:c r="B103" s="3"/>
      <x:c r="C103" s="3"/>
      <x:c r="D103" s="3"/>
      <x:c r="E103" s="3"/>
      <x:c r="F103" s="3"/>
      <x:c r="G103" s="3"/>
      <x:c r="H103" s="3"/>
      <x:c r="I103" s="9"/>
      <x:c r="J103" s="3"/>
      <x:c r="K103" s="3"/>
      <x:c r="L103" s="3"/>
      <x:c r="M103" s="1" t="str">
        <x:f>IF(B103="","",IF(W103="Invalid hours","Invalid hours",IF(NOT(ISNUMBER(X103)),"Excluded",IF(AND(J103&lt;&gt;"",K103&lt;&gt;"",L103&lt;&gt;"",COUNTIF('SOW caps'!$N$7:$N$36,A103&amp;"|"&amp;K103)=1),"Mapped","Needs allocation"))))</x:f>
      </x:c>
      <x:c r="N103" s="8" t="str">
        <x:f>IF(B103="","",IF(M103="Mapped",_xlfn.XLOOKUP(A103&amp;"|"&amp;K103,'SOW caps'!$N$7:$N$36,'SOW caps'!$E$7:$E$36,""),IF(ISNUMBER('SOW caps'!$B$3),'SOW caps'!$B$3,"")))</x:f>
      </x:c>
      <x:c r="O103" s="8" t="str">
        <x:f>IF(AND(ISNUMBER(X103),ISNUMBER(N103),N103&gt;=0),X103*N103,"")</x:f>
      </x:c>
      <x:c r="P103" s="3"/>
      <x:c r="Q103" s="3"/>
      <x:c r="R103" s="3"/>
      <x:c r="S103" s="3"/>
      <x:c r="T103" s="3"/>
      <x:c r="U103" s="8" t="str">
        <x:f>IF(M103="Mapped",IF(OR(_xlfn.XLOOKUP(A103&amp;"|"&amp;K103,'SOW caps'!$N$7:$N$36,'SOW caps'!$M$7:$M$36,"")="Ready",_xlfn.XLOOKUP(A103&amp;"|"&amp;K103,'SOW caps'!$N$7:$N$36,'SOW caps'!$M$7:$M$36,"")="No hours"),_xlfn.XLOOKUP(A103&amp;"|"&amp;K103,'SOW caps'!$N$7:$N$36,'SOW caps'!$O$7:$O$36,""),""),"")</x:f>
      </x:c>
      <x:c r="V103" s="8" t="str">
        <x:f>IF(AND(ISNUMBER(U103),ISNUMBER(X103)),ROUND(SUMIFS($X$7:X103,$A$7:A103,A103,$K$7:K103,K103,$M$7:M103,"Mapped")*U103,2)-ROUND((SUMIFS($X$7:X103,$A$7:A103,A103,$K$7:K103,K103,$M$7:M103,"Mapped")-X103)*U103,2),"")</x:f>
      </x:c>
      <x:c r="W103" s="1" t="str">
        <x:f>IF(B103="","",IF(OR(NOT(ISNUMBER(I103)),I103&lt;0),"Invalid hours",IF(NOT(ISNUMBER(R103)),"Manual hours",IF(ROUND(I103*3600000,0)=R103,"Source hours","Adjusted hours"))))</x:f>
      </x:c>
      <x:c r="X103" s="10" t="str">
        <x:f>IF(B103="","",IF(AND(ISNUMBER(I103),I103&gt;=0,Q103="In period"),I103,""))</x:f>
      </x:c>
    </x:row>
    <x:row r="104" ht="23" customHeight="1">
      <x:c r="A104" s="3"/>
      <x:c r="B104" s="3"/>
      <x:c r="C104" s="3"/>
      <x:c r="D104" s="3"/>
      <x:c r="E104" s="3"/>
      <x:c r="F104" s="3"/>
      <x:c r="G104" s="3"/>
      <x:c r="H104" s="3"/>
      <x:c r="I104" s="9"/>
      <x:c r="J104" s="3"/>
      <x:c r="K104" s="3"/>
      <x:c r="L104" s="3"/>
      <x:c r="M104" s="1" t="str">
        <x:f>IF(B104="","",IF(W104="Invalid hours","Invalid hours",IF(NOT(ISNUMBER(X104)),"Excluded",IF(AND(J104&lt;&gt;"",K104&lt;&gt;"",L104&lt;&gt;"",COUNTIF('SOW caps'!$N$7:$N$36,A104&amp;"|"&amp;K104)=1),"Mapped","Needs allocation"))))</x:f>
      </x:c>
      <x:c r="N104" s="8" t="str">
        <x:f>IF(B104="","",IF(M104="Mapped",_xlfn.XLOOKUP(A104&amp;"|"&amp;K104,'SOW caps'!$N$7:$N$36,'SOW caps'!$E$7:$E$36,""),IF(ISNUMBER('SOW caps'!$B$3),'SOW caps'!$B$3,"")))</x:f>
      </x:c>
      <x:c r="O104" s="8" t="str">
        <x:f>IF(AND(ISNUMBER(X104),ISNUMBER(N104),N104&gt;=0),X104*N104,"")</x:f>
      </x:c>
      <x:c r="P104" s="3"/>
      <x:c r="Q104" s="3"/>
      <x:c r="R104" s="3"/>
      <x:c r="S104" s="3"/>
      <x:c r="T104" s="3"/>
      <x:c r="U104" s="8" t="str">
        <x:f>IF(M104="Mapped",IF(OR(_xlfn.XLOOKUP(A104&amp;"|"&amp;K104,'SOW caps'!$N$7:$N$36,'SOW caps'!$M$7:$M$36,"")="Ready",_xlfn.XLOOKUP(A104&amp;"|"&amp;K104,'SOW caps'!$N$7:$N$36,'SOW caps'!$M$7:$M$36,"")="No hours"),_xlfn.XLOOKUP(A104&amp;"|"&amp;K104,'SOW caps'!$N$7:$N$36,'SOW caps'!$O$7:$O$36,""),""),"")</x:f>
      </x:c>
      <x:c r="V104" s="8" t="str">
        <x:f>IF(AND(ISNUMBER(U104),ISNUMBER(X104)),ROUND(SUMIFS($X$7:X104,$A$7:A104,A104,$K$7:K104,K104,$M$7:M104,"Mapped")*U104,2)-ROUND((SUMIFS($X$7:X104,$A$7:A104,A104,$K$7:K104,K104,$M$7:M104,"Mapped")-X104)*U104,2),"")</x:f>
      </x:c>
      <x:c r="W104" s="1" t="str">
        <x:f>IF(B104="","",IF(OR(NOT(ISNUMBER(I104)),I104&lt;0),"Invalid hours",IF(NOT(ISNUMBER(R104)),"Manual hours",IF(ROUND(I104*3600000,0)=R104,"Source hours","Adjusted hours"))))</x:f>
      </x:c>
      <x:c r="X104" s="10" t="str">
        <x:f>IF(B104="","",IF(AND(ISNUMBER(I104),I104&gt;=0,Q104="In period"),I104,""))</x:f>
      </x:c>
    </x:row>
    <x:row r="105" ht="23" customHeight="1">
      <x:c r="A105" s="3"/>
      <x:c r="B105" s="3"/>
      <x:c r="C105" s="3"/>
      <x:c r="D105" s="3"/>
      <x:c r="E105" s="3"/>
      <x:c r="F105" s="3"/>
      <x:c r="G105" s="3"/>
      <x:c r="H105" s="3"/>
      <x:c r="I105" s="9"/>
      <x:c r="J105" s="3"/>
      <x:c r="K105" s="3"/>
      <x:c r="L105" s="3"/>
      <x:c r="M105" s="1" t="str">
        <x:f>IF(B105="","",IF(W105="Invalid hours","Invalid hours",IF(NOT(ISNUMBER(X105)),"Excluded",IF(AND(J105&lt;&gt;"",K105&lt;&gt;"",L105&lt;&gt;"",COUNTIF('SOW caps'!$N$7:$N$36,A105&amp;"|"&amp;K105)=1),"Mapped","Needs allocation"))))</x:f>
      </x:c>
      <x:c r="N105" s="8" t="str">
        <x:f>IF(B105="","",IF(M105="Mapped",_xlfn.XLOOKUP(A105&amp;"|"&amp;K105,'SOW caps'!$N$7:$N$36,'SOW caps'!$E$7:$E$36,""),IF(ISNUMBER('SOW caps'!$B$3),'SOW caps'!$B$3,"")))</x:f>
      </x:c>
      <x:c r="O105" s="8" t="str">
        <x:f>IF(AND(ISNUMBER(X105),ISNUMBER(N105),N105&gt;=0),X105*N105,"")</x:f>
      </x:c>
      <x:c r="P105" s="3"/>
      <x:c r="Q105" s="3"/>
      <x:c r="R105" s="3"/>
      <x:c r="S105" s="3"/>
      <x:c r="T105" s="3"/>
      <x:c r="U105" s="8" t="str">
        <x:f>IF(M105="Mapped",IF(OR(_xlfn.XLOOKUP(A105&amp;"|"&amp;K105,'SOW caps'!$N$7:$N$36,'SOW caps'!$M$7:$M$36,"")="Ready",_xlfn.XLOOKUP(A105&amp;"|"&amp;K105,'SOW caps'!$N$7:$N$36,'SOW caps'!$M$7:$M$36,"")="No hours"),_xlfn.XLOOKUP(A105&amp;"|"&amp;K105,'SOW caps'!$N$7:$N$36,'SOW caps'!$O$7:$O$36,""),""),"")</x:f>
      </x:c>
      <x:c r="V105" s="8" t="str">
        <x:f>IF(AND(ISNUMBER(U105),ISNUMBER(X105)),ROUND(SUMIFS($X$7:X105,$A$7:A105,A105,$K$7:K105,K105,$M$7:M105,"Mapped")*U105,2)-ROUND((SUMIFS($X$7:X105,$A$7:A105,A105,$K$7:K105,K105,$M$7:M105,"Mapped")-X105)*U105,2),"")</x:f>
      </x:c>
      <x:c r="W105" s="1" t="str">
        <x:f>IF(B105="","",IF(OR(NOT(ISNUMBER(I105)),I105&lt;0),"Invalid hours",IF(NOT(ISNUMBER(R105)),"Manual hours",IF(ROUND(I105*3600000,0)=R105,"Source hours","Adjusted hours"))))</x:f>
      </x:c>
      <x:c r="X105" s="10" t="str">
        <x:f>IF(B105="","",IF(AND(ISNUMBER(I105),I105&gt;=0,Q105="In period"),I105,""))</x:f>
      </x:c>
    </x:row>
    <x:row r="106" ht="23" customHeight="1">
      <x:c r="A106" s="3"/>
      <x:c r="B106" s="3"/>
      <x:c r="C106" s="3"/>
      <x:c r="D106" s="3"/>
      <x:c r="E106" s="3"/>
      <x:c r="F106" s="3"/>
      <x:c r="G106" s="3"/>
      <x:c r="H106" s="3"/>
      <x:c r="I106" s="9"/>
      <x:c r="J106" s="3"/>
      <x:c r="K106" s="3"/>
      <x:c r="L106" s="3"/>
      <x:c r="M106" s="1" t="str">
        <x:f>IF(B106="","",IF(W106="Invalid hours","Invalid hours",IF(NOT(ISNUMBER(X106)),"Excluded",IF(AND(J106&lt;&gt;"",K106&lt;&gt;"",L106&lt;&gt;"",COUNTIF('SOW caps'!$N$7:$N$36,A106&amp;"|"&amp;K106)=1),"Mapped","Needs allocation"))))</x:f>
      </x:c>
      <x:c r="N106" s="8" t="str">
        <x:f>IF(B106="","",IF(M106="Mapped",_xlfn.XLOOKUP(A106&amp;"|"&amp;K106,'SOW caps'!$N$7:$N$36,'SOW caps'!$E$7:$E$36,""),IF(ISNUMBER('SOW caps'!$B$3),'SOW caps'!$B$3,"")))</x:f>
      </x:c>
      <x:c r="O106" s="8" t="str">
        <x:f>IF(AND(ISNUMBER(X106),ISNUMBER(N106),N106&gt;=0),X106*N106,"")</x:f>
      </x:c>
      <x:c r="P106" s="3"/>
      <x:c r="Q106" s="3"/>
      <x:c r="R106" s="3"/>
      <x:c r="S106" s="3"/>
      <x:c r="T106" s="3"/>
      <x:c r="U106" s="8" t="str">
        <x:f>IF(M106="Mapped",IF(OR(_xlfn.XLOOKUP(A106&amp;"|"&amp;K106,'SOW caps'!$N$7:$N$36,'SOW caps'!$M$7:$M$36,"")="Ready",_xlfn.XLOOKUP(A106&amp;"|"&amp;K106,'SOW caps'!$N$7:$N$36,'SOW caps'!$M$7:$M$36,"")="No hours"),_xlfn.XLOOKUP(A106&amp;"|"&amp;K106,'SOW caps'!$N$7:$N$36,'SOW caps'!$O$7:$O$36,""),""),"")</x:f>
      </x:c>
      <x:c r="V106" s="8" t="str">
        <x:f>IF(AND(ISNUMBER(U106),ISNUMBER(X106)),ROUND(SUMIFS($X$7:X106,$A$7:A106,A106,$K$7:K106,K106,$M$7:M106,"Mapped")*U106,2)-ROUND((SUMIFS($X$7:X106,$A$7:A106,A106,$K$7:K106,K106,$M$7:M106,"Mapped")-X106)*U106,2),"")</x:f>
      </x:c>
      <x:c r="W106" s="1" t="str">
        <x:f>IF(B106="","",IF(OR(NOT(ISNUMBER(I106)),I106&lt;0),"Invalid hours",IF(NOT(ISNUMBER(R106)),"Manual hours",IF(ROUND(I106*3600000,0)=R106,"Source hours","Adjusted hours"))))</x:f>
      </x:c>
      <x:c r="X106" s="10" t="str">
        <x:f>IF(B106="","",IF(AND(ISNUMBER(I106),I106&gt;=0,Q106="In period"),I106,""))</x:f>
      </x:c>
    </x:row>
    <x:row r="107" ht="23" customHeight="1">
      <x:c r="A107" s="3"/>
      <x:c r="B107" s="3"/>
      <x:c r="C107" s="3"/>
      <x:c r="D107" s="3"/>
      <x:c r="E107" s="3"/>
      <x:c r="F107" s="3"/>
      <x:c r="G107" s="3"/>
      <x:c r="H107" s="3"/>
      <x:c r="I107" s="9"/>
      <x:c r="J107" s="3"/>
      <x:c r="K107" s="3"/>
      <x:c r="L107" s="3"/>
      <x:c r="M107" s="1" t="str">
        <x:f>IF(B107="","",IF(W107="Invalid hours","Invalid hours",IF(NOT(ISNUMBER(X107)),"Excluded",IF(AND(J107&lt;&gt;"",K107&lt;&gt;"",L107&lt;&gt;"",COUNTIF('SOW caps'!$N$7:$N$36,A107&amp;"|"&amp;K107)=1),"Mapped","Needs allocation"))))</x:f>
      </x:c>
      <x:c r="N107" s="8" t="str">
        <x:f>IF(B107="","",IF(M107="Mapped",_xlfn.XLOOKUP(A107&amp;"|"&amp;K107,'SOW caps'!$N$7:$N$36,'SOW caps'!$E$7:$E$36,""),IF(ISNUMBER('SOW caps'!$B$3),'SOW caps'!$B$3,"")))</x:f>
      </x:c>
      <x:c r="O107" s="8" t="str">
        <x:f>IF(AND(ISNUMBER(X107),ISNUMBER(N107),N107&gt;=0),X107*N107,"")</x:f>
      </x:c>
      <x:c r="P107" s="3"/>
      <x:c r="Q107" s="3"/>
      <x:c r="R107" s="3"/>
      <x:c r="S107" s="3"/>
      <x:c r="T107" s="3"/>
      <x:c r="U107" s="8" t="str">
        <x:f>IF(M107="Mapped",IF(OR(_xlfn.XLOOKUP(A107&amp;"|"&amp;K107,'SOW caps'!$N$7:$N$36,'SOW caps'!$M$7:$M$36,"")="Ready",_xlfn.XLOOKUP(A107&amp;"|"&amp;K107,'SOW caps'!$N$7:$N$36,'SOW caps'!$M$7:$M$36,"")="No hours"),_xlfn.XLOOKUP(A107&amp;"|"&amp;K107,'SOW caps'!$N$7:$N$36,'SOW caps'!$O$7:$O$36,""),""),"")</x:f>
      </x:c>
      <x:c r="V107" s="8" t="str">
        <x:f>IF(AND(ISNUMBER(U107),ISNUMBER(X107)),ROUND(SUMIFS($X$7:X107,$A$7:A107,A107,$K$7:K107,K107,$M$7:M107,"Mapped")*U107,2)-ROUND((SUMIFS($X$7:X107,$A$7:A107,A107,$K$7:K107,K107,$M$7:M107,"Mapped")-X107)*U107,2),"")</x:f>
      </x:c>
      <x:c r="W107" s="1" t="str">
        <x:f>IF(B107="","",IF(OR(NOT(ISNUMBER(I107)),I107&lt;0),"Invalid hours",IF(NOT(ISNUMBER(R107)),"Manual hours",IF(ROUND(I107*3600000,0)=R107,"Source hours","Adjusted hours"))))</x:f>
      </x:c>
      <x:c r="X107" s="10" t="str">
        <x:f>IF(B107="","",IF(AND(ISNUMBER(I107),I107&gt;=0,Q107="In period"),I107,""))</x:f>
      </x:c>
    </x:row>
    <x:row r="108" ht="23" customHeight="1">
      <x:c r="A108" s="3"/>
      <x:c r="B108" s="3"/>
      <x:c r="C108" s="3"/>
      <x:c r="D108" s="3"/>
      <x:c r="E108" s="3"/>
      <x:c r="F108" s="3"/>
      <x:c r="G108" s="3"/>
      <x:c r="H108" s="3"/>
      <x:c r="I108" s="9"/>
      <x:c r="J108" s="3"/>
      <x:c r="K108" s="3"/>
      <x:c r="L108" s="3"/>
      <x:c r="M108" s="1" t="str">
        <x:f>IF(B108="","",IF(W108="Invalid hours","Invalid hours",IF(NOT(ISNUMBER(X108)),"Excluded",IF(AND(J108&lt;&gt;"",K108&lt;&gt;"",L108&lt;&gt;"",COUNTIF('SOW caps'!$N$7:$N$36,A108&amp;"|"&amp;K108)=1),"Mapped","Needs allocation"))))</x:f>
      </x:c>
      <x:c r="N108" s="8" t="str">
        <x:f>IF(B108="","",IF(M108="Mapped",_xlfn.XLOOKUP(A108&amp;"|"&amp;K108,'SOW caps'!$N$7:$N$36,'SOW caps'!$E$7:$E$36,""),IF(ISNUMBER('SOW caps'!$B$3),'SOW caps'!$B$3,"")))</x:f>
      </x:c>
      <x:c r="O108" s="8" t="str">
        <x:f>IF(AND(ISNUMBER(X108),ISNUMBER(N108),N108&gt;=0),X108*N108,"")</x:f>
      </x:c>
      <x:c r="P108" s="3"/>
      <x:c r="Q108" s="3"/>
      <x:c r="R108" s="3"/>
      <x:c r="S108" s="3"/>
      <x:c r="T108" s="3"/>
      <x:c r="U108" s="8" t="str">
        <x:f>IF(M108="Mapped",IF(OR(_xlfn.XLOOKUP(A108&amp;"|"&amp;K108,'SOW caps'!$N$7:$N$36,'SOW caps'!$M$7:$M$36,"")="Ready",_xlfn.XLOOKUP(A108&amp;"|"&amp;K108,'SOW caps'!$N$7:$N$36,'SOW caps'!$M$7:$M$36,"")="No hours"),_xlfn.XLOOKUP(A108&amp;"|"&amp;K108,'SOW caps'!$N$7:$N$36,'SOW caps'!$O$7:$O$36,""),""),"")</x:f>
      </x:c>
      <x:c r="V108" s="8" t="str">
        <x:f>IF(AND(ISNUMBER(U108),ISNUMBER(X108)),ROUND(SUMIFS($X$7:X108,$A$7:A108,A108,$K$7:K108,K108,$M$7:M108,"Mapped")*U108,2)-ROUND((SUMIFS($X$7:X108,$A$7:A108,A108,$K$7:K108,K108,$M$7:M108,"Mapped")-X108)*U108,2),"")</x:f>
      </x:c>
      <x:c r="W108" s="1" t="str">
        <x:f>IF(B108="","",IF(OR(NOT(ISNUMBER(I108)),I108&lt;0),"Invalid hours",IF(NOT(ISNUMBER(R108)),"Manual hours",IF(ROUND(I108*3600000,0)=R108,"Source hours","Adjusted hours"))))</x:f>
      </x:c>
      <x:c r="X108" s="10" t="str">
        <x:f>IF(B108="","",IF(AND(ISNUMBER(I108),I108&gt;=0,Q108="In period"),I108,""))</x:f>
      </x:c>
    </x:row>
    <x:row r="109" ht="23" customHeight="1">
      <x:c r="A109" s="3"/>
      <x:c r="B109" s="3"/>
      <x:c r="C109" s="3"/>
      <x:c r="D109" s="3"/>
      <x:c r="E109" s="3"/>
      <x:c r="F109" s="3"/>
      <x:c r="G109" s="3"/>
      <x:c r="H109" s="3"/>
      <x:c r="I109" s="9"/>
      <x:c r="J109" s="3"/>
      <x:c r="K109" s="3"/>
      <x:c r="L109" s="3"/>
      <x:c r="M109" s="1" t="str">
        <x:f>IF(B109="","",IF(W109="Invalid hours","Invalid hours",IF(NOT(ISNUMBER(X109)),"Excluded",IF(AND(J109&lt;&gt;"",K109&lt;&gt;"",L109&lt;&gt;"",COUNTIF('SOW caps'!$N$7:$N$36,A109&amp;"|"&amp;K109)=1),"Mapped","Needs allocation"))))</x:f>
      </x:c>
      <x:c r="N109" s="8" t="str">
        <x:f>IF(B109="","",IF(M109="Mapped",_xlfn.XLOOKUP(A109&amp;"|"&amp;K109,'SOW caps'!$N$7:$N$36,'SOW caps'!$E$7:$E$36,""),IF(ISNUMBER('SOW caps'!$B$3),'SOW caps'!$B$3,"")))</x:f>
      </x:c>
      <x:c r="O109" s="8" t="str">
        <x:f>IF(AND(ISNUMBER(X109),ISNUMBER(N109),N109&gt;=0),X109*N109,"")</x:f>
      </x:c>
      <x:c r="P109" s="3"/>
      <x:c r="Q109" s="3"/>
      <x:c r="R109" s="3"/>
      <x:c r="S109" s="3"/>
      <x:c r="T109" s="3"/>
      <x:c r="U109" s="8" t="str">
        <x:f>IF(M109="Mapped",IF(OR(_xlfn.XLOOKUP(A109&amp;"|"&amp;K109,'SOW caps'!$N$7:$N$36,'SOW caps'!$M$7:$M$36,"")="Ready",_xlfn.XLOOKUP(A109&amp;"|"&amp;K109,'SOW caps'!$N$7:$N$36,'SOW caps'!$M$7:$M$36,"")="No hours"),_xlfn.XLOOKUP(A109&amp;"|"&amp;K109,'SOW caps'!$N$7:$N$36,'SOW caps'!$O$7:$O$36,""),""),"")</x:f>
      </x:c>
      <x:c r="V109" s="8" t="str">
        <x:f>IF(AND(ISNUMBER(U109),ISNUMBER(X109)),ROUND(SUMIFS($X$7:X109,$A$7:A109,A109,$K$7:K109,K109,$M$7:M109,"Mapped")*U109,2)-ROUND((SUMIFS($X$7:X109,$A$7:A109,A109,$K$7:K109,K109,$M$7:M109,"Mapped")-X109)*U109,2),"")</x:f>
      </x:c>
      <x:c r="W109" s="1" t="str">
        <x:f>IF(B109="","",IF(OR(NOT(ISNUMBER(I109)),I109&lt;0),"Invalid hours",IF(NOT(ISNUMBER(R109)),"Manual hours",IF(ROUND(I109*3600000,0)=R109,"Source hours","Adjusted hours"))))</x:f>
      </x:c>
      <x:c r="X109" s="10" t="str">
        <x:f>IF(B109="","",IF(AND(ISNUMBER(I109),I109&gt;=0,Q109="In period"),I109,""))</x:f>
      </x:c>
    </x:row>
    <x:row r="110" ht="23" customHeight="1">
      <x:c r="A110" s="3"/>
      <x:c r="B110" s="3"/>
      <x:c r="C110" s="3"/>
      <x:c r="D110" s="3"/>
      <x:c r="E110" s="3"/>
      <x:c r="F110" s="3"/>
      <x:c r="G110" s="3"/>
      <x:c r="H110" s="3"/>
      <x:c r="I110" s="9"/>
      <x:c r="J110" s="3"/>
      <x:c r="K110" s="3"/>
      <x:c r="L110" s="3"/>
      <x:c r="M110" s="1" t="str">
        <x:f>IF(B110="","",IF(W110="Invalid hours","Invalid hours",IF(NOT(ISNUMBER(X110)),"Excluded",IF(AND(J110&lt;&gt;"",K110&lt;&gt;"",L110&lt;&gt;"",COUNTIF('SOW caps'!$N$7:$N$36,A110&amp;"|"&amp;K110)=1),"Mapped","Needs allocation"))))</x:f>
      </x:c>
      <x:c r="N110" s="8" t="str">
        <x:f>IF(B110="","",IF(M110="Mapped",_xlfn.XLOOKUP(A110&amp;"|"&amp;K110,'SOW caps'!$N$7:$N$36,'SOW caps'!$E$7:$E$36,""),IF(ISNUMBER('SOW caps'!$B$3),'SOW caps'!$B$3,"")))</x:f>
      </x:c>
      <x:c r="O110" s="8" t="str">
        <x:f>IF(AND(ISNUMBER(X110),ISNUMBER(N110),N110&gt;=0),X110*N110,"")</x:f>
      </x:c>
      <x:c r="P110" s="3"/>
      <x:c r="Q110" s="3"/>
      <x:c r="R110" s="3"/>
      <x:c r="S110" s="3"/>
      <x:c r="T110" s="3"/>
      <x:c r="U110" s="8" t="str">
        <x:f>IF(M110="Mapped",IF(OR(_xlfn.XLOOKUP(A110&amp;"|"&amp;K110,'SOW caps'!$N$7:$N$36,'SOW caps'!$M$7:$M$36,"")="Ready",_xlfn.XLOOKUP(A110&amp;"|"&amp;K110,'SOW caps'!$N$7:$N$36,'SOW caps'!$M$7:$M$36,"")="No hours"),_xlfn.XLOOKUP(A110&amp;"|"&amp;K110,'SOW caps'!$N$7:$N$36,'SOW caps'!$O$7:$O$36,""),""),"")</x:f>
      </x:c>
      <x:c r="V110" s="8" t="str">
        <x:f>IF(AND(ISNUMBER(U110),ISNUMBER(X110)),ROUND(SUMIFS($X$7:X110,$A$7:A110,A110,$K$7:K110,K110,$M$7:M110,"Mapped")*U110,2)-ROUND((SUMIFS($X$7:X110,$A$7:A110,A110,$K$7:K110,K110,$M$7:M110,"Mapped")-X110)*U110,2),"")</x:f>
      </x:c>
      <x:c r="W110" s="1" t="str">
        <x:f>IF(B110="","",IF(OR(NOT(ISNUMBER(I110)),I110&lt;0),"Invalid hours",IF(NOT(ISNUMBER(R110)),"Manual hours",IF(ROUND(I110*3600000,0)=R110,"Source hours","Adjusted hours"))))</x:f>
      </x:c>
      <x:c r="X110" s="10" t="str">
        <x:f>IF(B110="","",IF(AND(ISNUMBER(I110),I110&gt;=0,Q110="In period"),I110,""))</x:f>
      </x:c>
    </x:row>
    <x:row r="111" ht="23" customHeight="1">
      <x:c r="A111" s="3"/>
      <x:c r="B111" s="3"/>
      <x:c r="C111" s="3"/>
      <x:c r="D111" s="3"/>
      <x:c r="E111" s="3"/>
      <x:c r="F111" s="3"/>
      <x:c r="G111" s="3"/>
      <x:c r="H111" s="3"/>
      <x:c r="I111" s="9"/>
      <x:c r="J111" s="3"/>
      <x:c r="K111" s="3"/>
      <x:c r="L111" s="3"/>
      <x:c r="M111" s="1" t="str">
        <x:f>IF(B111="","",IF(W111="Invalid hours","Invalid hours",IF(NOT(ISNUMBER(X111)),"Excluded",IF(AND(J111&lt;&gt;"",K111&lt;&gt;"",L111&lt;&gt;"",COUNTIF('SOW caps'!$N$7:$N$36,A111&amp;"|"&amp;K111)=1),"Mapped","Needs allocation"))))</x:f>
      </x:c>
      <x:c r="N111" s="8" t="str">
        <x:f>IF(B111="","",IF(M111="Mapped",_xlfn.XLOOKUP(A111&amp;"|"&amp;K111,'SOW caps'!$N$7:$N$36,'SOW caps'!$E$7:$E$36,""),IF(ISNUMBER('SOW caps'!$B$3),'SOW caps'!$B$3,"")))</x:f>
      </x:c>
      <x:c r="O111" s="8" t="str">
        <x:f>IF(AND(ISNUMBER(X111),ISNUMBER(N111),N111&gt;=0),X111*N111,"")</x:f>
      </x:c>
      <x:c r="P111" s="3"/>
      <x:c r="Q111" s="3"/>
      <x:c r="R111" s="3"/>
      <x:c r="S111" s="3"/>
      <x:c r="T111" s="3"/>
      <x:c r="U111" s="8" t="str">
        <x:f>IF(M111="Mapped",IF(OR(_xlfn.XLOOKUP(A111&amp;"|"&amp;K111,'SOW caps'!$N$7:$N$36,'SOW caps'!$M$7:$M$36,"")="Ready",_xlfn.XLOOKUP(A111&amp;"|"&amp;K111,'SOW caps'!$N$7:$N$36,'SOW caps'!$M$7:$M$36,"")="No hours"),_xlfn.XLOOKUP(A111&amp;"|"&amp;K111,'SOW caps'!$N$7:$N$36,'SOW caps'!$O$7:$O$36,""),""),"")</x:f>
      </x:c>
      <x:c r="V111" s="8" t="str">
        <x:f>IF(AND(ISNUMBER(U111),ISNUMBER(X111)),ROUND(SUMIFS($X$7:X111,$A$7:A111,A111,$K$7:K111,K111,$M$7:M111,"Mapped")*U111,2)-ROUND((SUMIFS($X$7:X111,$A$7:A111,A111,$K$7:K111,K111,$M$7:M111,"Mapped")-X111)*U111,2),"")</x:f>
      </x:c>
      <x:c r="W111" s="1" t="str">
        <x:f>IF(B111="","",IF(OR(NOT(ISNUMBER(I111)),I111&lt;0),"Invalid hours",IF(NOT(ISNUMBER(R111)),"Manual hours",IF(ROUND(I111*3600000,0)=R111,"Source hours","Adjusted hours"))))</x:f>
      </x:c>
      <x:c r="X111" s="10" t="str">
        <x:f>IF(B111="","",IF(AND(ISNUMBER(I111),I111&gt;=0,Q111="In period"),I111,""))</x:f>
      </x:c>
    </x:row>
    <x:row r="112" ht="23" customHeight="1">
      <x:c r="A112" s="3"/>
      <x:c r="B112" s="3"/>
      <x:c r="C112" s="3"/>
      <x:c r="D112" s="3"/>
      <x:c r="E112" s="3"/>
      <x:c r="F112" s="3"/>
      <x:c r="G112" s="3"/>
      <x:c r="H112" s="3"/>
      <x:c r="I112" s="9"/>
      <x:c r="J112" s="3"/>
      <x:c r="K112" s="3"/>
      <x:c r="L112" s="3"/>
      <x:c r="M112" s="1" t="str">
        <x:f>IF(B112="","",IF(W112="Invalid hours","Invalid hours",IF(NOT(ISNUMBER(X112)),"Excluded",IF(AND(J112&lt;&gt;"",K112&lt;&gt;"",L112&lt;&gt;"",COUNTIF('SOW caps'!$N$7:$N$36,A112&amp;"|"&amp;K112)=1),"Mapped","Needs allocation"))))</x:f>
      </x:c>
      <x:c r="N112" s="8" t="str">
        <x:f>IF(B112="","",IF(M112="Mapped",_xlfn.XLOOKUP(A112&amp;"|"&amp;K112,'SOW caps'!$N$7:$N$36,'SOW caps'!$E$7:$E$36,""),IF(ISNUMBER('SOW caps'!$B$3),'SOW caps'!$B$3,"")))</x:f>
      </x:c>
      <x:c r="O112" s="8" t="str">
        <x:f>IF(AND(ISNUMBER(X112),ISNUMBER(N112),N112&gt;=0),X112*N112,"")</x:f>
      </x:c>
      <x:c r="P112" s="3"/>
      <x:c r="Q112" s="3"/>
      <x:c r="R112" s="3"/>
      <x:c r="S112" s="3"/>
      <x:c r="T112" s="3"/>
      <x:c r="U112" s="8" t="str">
        <x:f>IF(M112="Mapped",IF(OR(_xlfn.XLOOKUP(A112&amp;"|"&amp;K112,'SOW caps'!$N$7:$N$36,'SOW caps'!$M$7:$M$36,"")="Ready",_xlfn.XLOOKUP(A112&amp;"|"&amp;K112,'SOW caps'!$N$7:$N$36,'SOW caps'!$M$7:$M$36,"")="No hours"),_xlfn.XLOOKUP(A112&amp;"|"&amp;K112,'SOW caps'!$N$7:$N$36,'SOW caps'!$O$7:$O$36,""),""),"")</x:f>
      </x:c>
      <x:c r="V112" s="8" t="str">
        <x:f>IF(AND(ISNUMBER(U112),ISNUMBER(X112)),ROUND(SUMIFS($X$7:X112,$A$7:A112,A112,$K$7:K112,K112,$M$7:M112,"Mapped")*U112,2)-ROUND((SUMIFS($X$7:X112,$A$7:A112,A112,$K$7:K112,K112,$M$7:M112,"Mapped")-X112)*U112,2),"")</x:f>
      </x:c>
      <x:c r="W112" s="1" t="str">
        <x:f>IF(B112="","",IF(OR(NOT(ISNUMBER(I112)),I112&lt;0),"Invalid hours",IF(NOT(ISNUMBER(R112)),"Manual hours",IF(ROUND(I112*3600000,0)=R112,"Source hours","Adjusted hours"))))</x:f>
      </x:c>
      <x:c r="X112" s="10" t="str">
        <x:f>IF(B112="","",IF(AND(ISNUMBER(I112),I112&gt;=0,Q112="In period"),I112,""))</x:f>
      </x:c>
    </x:row>
    <x:row r="113" ht="23" customHeight="1">
      <x:c r="A113" s="3"/>
      <x:c r="B113" s="3"/>
      <x:c r="C113" s="3"/>
      <x:c r="D113" s="3"/>
      <x:c r="E113" s="3"/>
      <x:c r="F113" s="3"/>
      <x:c r="G113" s="3"/>
      <x:c r="H113" s="3"/>
      <x:c r="I113" s="9"/>
      <x:c r="J113" s="3"/>
      <x:c r="K113" s="3"/>
      <x:c r="L113" s="3"/>
      <x:c r="M113" s="1" t="str">
        <x:f>IF(B113="","",IF(W113="Invalid hours","Invalid hours",IF(NOT(ISNUMBER(X113)),"Excluded",IF(AND(J113&lt;&gt;"",K113&lt;&gt;"",L113&lt;&gt;"",COUNTIF('SOW caps'!$N$7:$N$36,A113&amp;"|"&amp;K113)=1),"Mapped","Needs allocation"))))</x:f>
      </x:c>
      <x:c r="N113" s="8" t="str">
        <x:f>IF(B113="","",IF(M113="Mapped",_xlfn.XLOOKUP(A113&amp;"|"&amp;K113,'SOW caps'!$N$7:$N$36,'SOW caps'!$E$7:$E$36,""),IF(ISNUMBER('SOW caps'!$B$3),'SOW caps'!$B$3,"")))</x:f>
      </x:c>
      <x:c r="O113" s="8" t="str">
        <x:f>IF(AND(ISNUMBER(X113),ISNUMBER(N113),N113&gt;=0),X113*N113,"")</x:f>
      </x:c>
      <x:c r="P113" s="3"/>
      <x:c r="Q113" s="3"/>
      <x:c r="R113" s="3"/>
      <x:c r="S113" s="3"/>
      <x:c r="T113" s="3"/>
      <x:c r="U113" s="8" t="str">
        <x:f>IF(M113="Mapped",IF(OR(_xlfn.XLOOKUP(A113&amp;"|"&amp;K113,'SOW caps'!$N$7:$N$36,'SOW caps'!$M$7:$M$36,"")="Ready",_xlfn.XLOOKUP(A113&amp;"|"&amp;K113,'SOW caps'!$N$7:$N$36,'SOW caps'!$M$7:$M$36,"")="No hours"),_xlfn.XLOOKUP(A113&amp;"|"&amp;K113,'SOW caps'!$N$7:$N$36,'SOW caps'!$O$7:$O$36,""),""),"")</x:f>
      </x:c>
      <x:c r="V113" s="8" t="str">
        <x:f>IF(AND(ISNUMBER(U113),ISNUMBER(X113)),ROUND(SUMIFS($X$7:X113,$A$7:A113,A113,$K$7:K113,K113,$M$7:M113,"Mapped")*U113,2)-ROUND((SUMIFS($X$7:X113,$A$7:A113,A113,$K$7:K113,K113,$M$7:M113,"Mapped")-X113)*U113,2),"")</x:f>
      </x:c>
      <x:c r="W113" s="1" t="str">
        <x:f>IF(B113="","",IF(OR(NOT(ISNUMBER(I113)),I113&lt;0),"Invalid hours",IF(NOT(ISNUMBER(R113)),"Manual hours",IF(ROUND(I113*3600000,0)=R113,"Source hours","Adjusted hours"))))</x:f>
      </x:c>
      <x:c r="X113" s="10" t="str">
        <x:f>IF(B113="","",IF(AND(ISNUMBER(I113),I113&gt;=0,Q113="In period"),I113,""))</x:f>
      </x:c>
    </x:row>
    <x:row r="114" ht="23" customHeight="1">
      <x:c r="A114" s="3"/>
      <x:c r="B114" s="3"/>
      <x:c r="C114" s="3"/>
      <x:c r="D114" s="3"/>
      <x:c r="E114" s="3"/>
      <x:c r="F114" s="3"/>
      <x:c r="G114" s="3"/>
      <x:c r="H114" s="3"/>
      <x:c r="I114" s="9"/>
      <x:c r="J114" s="3"/>
      <x:c r="K114" s="3"/>
      <x:c r="L114" s="3"/>
      <x:c r="M114" s="1" t="str">
        <x:f>IF(B114="","",IF(W114="Invalid hours","Invalid hours",IF(NOT(ISNUMBER(X114)),"Excluded",IF(AND(J114&lt;&gt;"",K114&lt;&gt;"",L114&lt;&gt;"",COUNTIF('SOW caps'!$N$7:$N$36,A114&amp;"|"&amp;K114)=1),"Mapped","Needs allocation"))))</x:f>
      </x:c>
      <x:c r="N114" s="8" t="str">
        <x:f>IF(B114="","",IF(M114="Mapped",_xlfn.XLOOKUP(A114&amp;"|"&amp;K114,'SOW caps'!$N$7:$N$36,'SOW caps'!$E$7:$E$36,""),IF(ISNUMBER('SOW caps'!$B$3),'SOW caps'!$B$3,"")))</x:f>
      </x:c>
      <x:c r="O114" s="8" t="str">
        <x:f>IF(AND(ISNUMBER(X114),ISNUMBER(N114),N114&gt;=0),X114*N114,"")</x:f>
      </x:c>
      <x:c r="P114" s="3"/>
      <x:c r="Q114" s="3"/>
      <x:c r="R114" s="3"/>
      <x:c r="S114" s="3"/>
      <x:c r="T114" s="3"/>
      <x:c r="U114" s="8" t="str">
        <x:f>IF(M114="Mapped",IF(OR(_xlfn.XLOOKUP(A114&amp;"|"&amp;K114,'SOW caps'!$N$7:$N$36,'SOW caps'!$M$7:$M$36,"")="Ready",_xlfn.XLOOKUP(A114&amp;"|"&amp;K114,'SOW caps'!$N$7:$N$36,'SOW caps'!$M$7:$M$36,"")="No hours"),_xlfn.XLOOKUP(A114&amp;"|"&amp;K114,'SOW caps'!$N$7:$N$36,'SOW caps'!$O$7:$O$36,""),""),"")</x:f>
      </x:c>
      <x:c r="V114" s="8" t="str">
        <x:f>IF(AND(ISNUMBER(U114),ISNUMBER(X114)),ROUND(SUMIFS($X$7:X114,$A$7:A114,A114,$K$7:K114,K114,$M$7:M114,"Mapped")*U114,2)-ROUND((SUMIFS($X$7:X114,$A$7:A114,A114,$K$7:K114,K114,$M$7:M114,"Mapped")-X114)*U114,2),"")</x:f>
      </x:c>
      <x:c r="W114" s="1" t="str">
        <x:f>IF(B114="","",IF(OR(NOT(ISNUMBER(I114)),I114&lt;0),"Invalid hours",IF(NOT(ISNUMBER(R114)),"Manual hours",IF(ROUND(I114*3600000,0)=R114,"Source hours","Adjusted hours"))))</x:f>
      </x:c>
      <x:c r="X114" s="10" t="str">
        <x:f>IF(B114="","",IF(AND(ISNUMBER(I114),I114&gt;=0,Q114="In period"),I114,""))</x:f>
      </x:c>
    </x:row>
    <x:row r="115" ht="23" customHeight="1">
      <x:c r="A115" s="3"/>
      <x:c r="B115" s="3"/>
      <x:c r="C115" s="3"/>
      <x:c r="D115" s="3"/>
      <x:c r="E115" s="3"/>
      <x:c r="F115" s="3"/>
      <x:c r="G115" s="3"/>
      <x:c r="H115" s="3"/>
      <x:c r="I115" s="9"/>
      <x:c r="J115" s="3"/>
      <x:c r="K115" s="3"/>
      <x:c r="L115" s="3"/>
      <x:c r="M115" s="1" t="str">
        <x:f>IF(B115="","",IF(W115="Invalid hours","Invalid hours",IF(NOT(ISNUMBER(X115)),"Excluded",IF(AND(J115&lt;&gt;"",K115&lt;&gt;"",L115&lt;&gt;"",COUNTIF('SOW caps'!$N$7:$N$36,A115&amp;"|"&amp;K115)=1),"Mapped","Needs allocation"))))</x:f>
      </x:c>
      <x:c r="N115" s="8" t="str">
        <x:f>IF(B115="","",IF(M115="Mapped",_xlfn.XLOOKUP(A115&amp;"|"&amp;K115,'SOW caps'!$N$7:$N$36,'SOW caps'!$E$7:$E$36,""),IF(ISNUMBER('SOW caps'!$B$3),'SOW caps'!$B$3,"")))</x:f>
      </x:c>
      <x:c r="O115" s="8" t="str">
        <x:f>IF(AND(ISNUMBER(X115),ISNUMBER(N115),N115&gt;=0),X115*N115,"")</x:f>
      </x:c>
      <x:c r="P115" s="3"/>
      <x:c r="Q115" s="3"/>
      <x:c r="R115" s="3"/>
      <x:c r="S115" s="3"/>
      <x:c r="T115" s="3"/>
      <x:c r="U115" s="8" t="str">
        <x:f>IF(M115="Mapped",IF(OR(_xlfn.XLOOKUP(A115&amp;"|"&amp;K115,'SOW caps'!$N$7:$N$36,'SOW caps'!$M$7:$M$36,"")="Ready",_xlfn.XLOOKUP(A115&amp;"|"&amp;K115,'SOW caps'!$N$7:$N$36,'SOW caps'!$M$7:$M$36,"")="No hours"),_xlfn.XLOOKUP(A115&amp;"|"&amp;K115,'SOW caps'!$N$7:$N$36,'SOW caps'!$O$7:$O$36,""),""),"")</x:f>
      </x:c>
      <x:c r="V115" s="8" t="str">
        <x:f>IF(AND(ISNUMBER(U115),ISNUMBER(X115)),ROUND(SUMIFS($X$7:X115,$A$7:A115,A115,$K$7:K115,K115,$M$7:M115,"Mapped")*U115,2)-ROUND((SUMIFS($X$7:X115,$A$7:A115,A115,$K$7:K115,K115,$M$7:M115,"Mapped")-X115)*U115,2),"")</x:f>
      </x:c>
      <x:c r="W115" s="1" t="str">
        <x:f>IF(B115="","",IF(OR(NOT(ISNUMBER(I115)),I115&lt;0),"Invalid hours",IF(NOT(ISNUMBER(R115)),"Manual hours",IF(ROUND(I115*3600000,0)=R115,"Source hours","Adjusted hours"))))</x:f>
      </x:c>
      <x:c r="X115" s="10" t="str">
        <x:f>IF(B115="","",IF(AND(ISNUMBER(I115),I115&gt;=0,Q115="In period"),I115,""))</x:f>
      </x:c>
    </x:row>
    <x:row r="116" ht="23" customHeight="1">
      <x:c r="A116" s="3"/>
      <x:c r="B116" s="3"/>
      <x:c r="C116" s="3"/>
      <x:c r="D116" s="3"/>
      <x:c r="E116" s="3"/>
      <x:c r="F116" s="3"/>
      <x:c r="G116" s="3"/>
      <x:c r="H116" s="3"/>
      <x:c r="I116" s="9"/>
      <x:c r="J116" s="3"/>
      <x:c r="K116" s="3"/>
      <x:c r="L116" s="3"/>
      <x:c r="M116" s="1" t="str">
        <x:f>IF(B116="","",IF(W116="Invalid hours","Invalid hours",IF(NOT(ISNUMBER(X116)),"Excluded",IF(AND(J116&lt;&gt;"",K116&lt;&gt;"",L116&lt;&gt;"",COUNTIF('SOW caps'!$N$7:$N$36,A116&amp;"|"&amp;K116)=1),"Mapped","Needs allocation"))))</x:f>
      </x:c>
      <x:c r="N116" s="8" t="str">
        <x:f>IF(B116="","",IF(M116="Mapped",_xlfn.XLOOKUP(A116&amp;"|"&amp;K116,'SOW caps'!$N$7:$N$36,'SOW caps'!$E$7:$E$36,""),IF(ISNUMBER('SOW caps'!$B$3),'SOW caps'!$B$3,"")))</x:f>
      </x:c>
      <x:c r="O116" s="8" t="str">
        <x:f>IF(AND(ISNUMBER(X116),ISNUMBER(N116),N116&gt;=0),X116*N116,"")</x:f>
      </x:c>
      <x:c r="P116" s="3"/>
      <x:c r="Q116" s="3"/>
      <x:c r="R116" s="3"/>
      <x:c r="S116" s="3"/>
      <x:c r="T116" s="3"/>
      <x:c r="U116" s="8" t="str">
        <x:f>IF(M116="Mapped",IF(OR(_xlfn.XLOOKUP(A116&amp;"|"&amp;K116,'SOW caps'!$N$7:$N$36,'SOW caps'!$M$7:$M$36,"")="Ready",_xlfn.XLOOKUP(A116&amp;"|"&amp;K116,'SOW caps'!$N$7:$N$36,'SOW caps'!$M$7:$M$36,"")="No hours"),_xlfn.XLOOKUP(A116&amp;"|"&amp;K116,'SOW caps'!$N$7:$N$36,'SOW caps'!$O$7:$O$36,""),""),"")</x:f>
      </x:c>
      <x:c r="V116" s="8" t="str">
        <x:f>IF(AND(ISNUMBER(U116),ISNUMBER(X116)),ROUND(SUMIFS($X$7:X116,$A$7:A116,A116,$K$7:K116,K116,$M$7:M116,"Mapped")*U116,2)-ROUND((SUMIFS($X$7:X116,$A$7:A116,A116,$K$7:K116,K116,$M$7:M116,"Mapped")-X116)*U116,2),"")</x:f>
      </x:c>
      <x:c r="W116" s="1" t="str">
        <x:f>IF(B116="","",IF(OR(NOT(ISNUMBER(I116)),I116&lt;0),"Invalid hours",IF(NOT(ISNUMBER(R116)),"Manual hours",IF(ROUND(I116*3600000,0)=R116,"Source hours","Adjusted hours"))))</x:f>
      </x:c>
      <x:c r="X116" s="10" t="str">
        <x:f>IF(B116="","",IF(AND(ISNUMBER(I116),I116&gt;=0,Q116="In period"),I116,""))</x:f>
      </x:c>
    </x:row>
    <x:row r="117" ht="23" customHeight="1">
      <x:c r="A117" s="3"/>
      <x:c r="B117" s="3"/>
      <x:c r="C117" s="3"/>
      <x:c r="D117" s="3"/>
      <x:c r="E117" s="3"/>
      <x:c r="F117" s="3"/>
      <x:c r="G117" s="3"/>
      <x:c r="H117" s="3"/>
      <x:c r="I117" s="9"/>
      <x:c r="J117" s="3"/>
      <x:c r="K117" s="3"/>
      <x:c r="L117" s="3"/>
      <x:c r="M117" s="1" t="str">
        <x:f>IF(B117="","",IF(W117="Invalid hours","Invalid hours",IF(NOT(ISNUMBER(X117)),"Excluded",IF(AND(J117&lt;&gt;"",K117&lt;&gt;"",L117&lt;&gt;"",COUNTIF('SOW caps'!$N$7:$N$36,A117&amp;"|"&amp;K117)=1),"Mapped","Needs allocation"))))</x:f>
      </x:c>
      <x:c r="N117" s="8" t="str">
        <x:f>IF(B117="","",IF(M117="Mapped",_xlfn.XLOOKUP(A117&amp;"|"&amp;K117,'SOW caps'!$N$7:$N$36,'SOW caps'!$E$7:$E$36,""),IF(ISNUMBER('SOW caps'!$B$3),'SOW caps'!$B$3,"")))</x:f>
      </x:c>
      <x:c r="O117" s="8" t="str">
        <x:f>IF(AND(ISNUMBER(X117),ISNUMBER(N117),N117&gt;=0),X117*N117,"")</x:f>
      </x:c>
      <x:c r="P117" s="3"/>
      <x:c r="Q117" s="3"/>
      <x:c r="R117" s="3"/>
      <x:c r="S117" s="3"/>
      <x:c r="T117" s="3"/>
      <x:c r="U117" s="8" t="str">
        <x:f>IF(M117="Mapped",IF(OR(_xlfn.XLOOKUP(A117&amp;"|"&amp;K117,'SOW caps'!$N$7:$N$36,'SOW caps'!$M$7:$M$36,"")="Ready",_xlfn.XLOOKUP(A117&amp;"|"&amp;K117,'SOW caps'!$N$7:$N$36,'SOW caps'!$M$7:$M$36,"")="No hours"),_xlfn.XLOOKUP(A117&amp;"|"&amp;K117,'SOW caps'!$N$7:$N$36,'SOW caps'!$O$7:$O$36,""),""),"")</x:f>
      </x:c>
      <x:c r="V117" s="8" t="str">
        <x:f>IF(AND(ISNUMBER(U117),ISNUMBER(X117)),ROUND(SUMIFS($X$7:X117,$A$7:A117,A117,$K$7:K117,K117,$M$7:M117,"Mapped")*U117,2)-ROUND((SUMIFS($X$7:X117,$A$7:A117,A117,$K$7:K117,K117,$M$7:M117,"Mapped")-X117)*U117,2),"")</x:f>
      </x:c>
      <x:c r="W117" s="1" t="str">
        <x:f>IF(B117="","",IF(OR(NOT(ISNUMBER(I117)),I117&lt;0),"Invalid hours",IF(NOT(ISNUMBER(R117)),"Manual hours",IF(ROUND(I117*3600000,0)=R117,"Source hours","Adjusted hours"))))</x:f>
      </x:c>
      <x:c r="X117" s="10" t="str">
        <x:f>IF(B117="","",IF(AND(ISNUMBER(I117),I117&gt;=0,Q117="In period"),I117,""))</x:f>
      </x:c>
    </x:row>
    <x:row r="118" ht="23" customHeight="1">
      <x:c r="A118" s="3"/>
      <x:c r="B118" s="3"/>
      <x:c r="C118" s="3"/>
      <x:c r="D118" s="3"/>
      <x:c r="E118" s="3"/>
      <x:c r="F118" s="3"/>
      <x:c r="G118" s="3"/>
      <x:c r="H118" s="3"/>
      <x:c r="I118" s="9"/>
      <x:c r="J118" s="3"/>
      <x:c r="K118" s="3"/>
      <x:c r="L118" s="3"/>
      <x:c r="M118" s="1" t="str">
        <x:f>IF(B118="","",IF(W118="Invalid hours","Invalid hours",IF(NOT(ISNUMBER(X118)),"Excluded",IF(AND(J118&lt;&gt;"",K118&lt;&gt;"",L118&lt;&gt;"",COUNTIF('SOW caps'!$N$7:$N$36,A118&amp;"|"&amp;K118)=1),"Mapped","Needs allocation"))))</x:f>
      </x:c>
      <x:c r="N118" s="8" t="str">
        <x:f>IF(B118="","",IF(M118="Mapped",_xlfn.XLOOKUP(A118&amp;"|"&amp;K118,'SOW caps'!$N$7:$N$36,'SOW caps'!$E$7:$E$36,""),IF(ISNUMBER('SOW caps'!$B$3),'SOW caps'!$B$3,"")))</x:f>
      </x:c>
      <x:c r="O118" s="8" t="str">
        <x:f>IF(AND(ISNUMBER(X118),ISNUMBER(N118),N118&gt;=0),X118*N118,"")</x:f>
      </x:c>
      <x:c r="P118" s="3"/>
      <x:c r="Q118" s="3"/>
      <x:c r="R118" s="3"/>
      <x:c r="S118" s="3"/>
      <x:c r="T118" s="3"/>
      <x:c r="U118" s="8" t="str">
        <x:f>IF(M118="Mapped",IF(OR(_xlfn.XLOOKUP(A118&amp;"|"&amp;K118,'SOW caps'!$N$7:$N$36,'SOW caps'!$M$7:$M$36,"")="Ready",_xlfn.XLOOKUP(A118&amp;"|"&amp;K118,'SOW caps'!$N$7:$N$36,'SOW caps'!$M$7:$M$36,"")="No hours"),_xlfn.XLOOKUP(A118&amp;"|"&amp;K118,'SOW caps'!$N$7:$N$36,'SOW caps'!$O$7:$O$36,""),""),"")</x:f>
      </x:c>
      <x:c r="V118" s="8" t="str">
        <x:f>IF(AND(ISNUMBER(U118),ISNUMBER(X118)),ROUND(SUMIFS($X$7:X118,$A$7:A118,A118,$K$7:K118,K118,$M$7:M118,"Mapped")*U118,2)-ROUND((SUMIFS($X$7:X118,$A$7:A118,A118,$K$7:K118,K118,$M$7:M118,"Mapped")-X118)*U118,2),"")</x:f>
      </x:c>
      <x:c r="W118" s="1" t="str">
        <x:f>IF(B118="","",IF(OR(NOT(ISNUMBER(I118)),I118&lt;0),"Invalid hours",IF(NOT(ISNUMBER(R118)),"Manual hours",IF(ROUND(I118*3600000,0)=R118,"Source hours","Adjusted hours"))))</x:f>
      </x:c>
      <x:c r="X118" s="10" t="str">
        <x:f>IF(B118="","",IF(AND(ISNUMBER(I118),I118&gt;=0,Q118="In period"),I118,""))</x:f>
      </x:c>
    </x:row>
    <x:row r="119" ht="23" customHeight="1">
      <x:c r="A119" s="3"/>
      <x:c r="B119" s="3"/>
      <x:c r="C119" s="3"/>
      <x:c r="D119" s="3"/>
      <x:c r="E119" s="3"/>
      <x:c r="F119" s="3"/>
      <x:c r="G119" s="3"/>
      <x:c r="H119" s="3"/>
      <x:c r="I119" s="9"/>
      <x:c r="J119" s="3"/>
      <x:c r="K119" s="3"/>
      <x:c r="L119" s="3"/>
      <x:c r="M119" s="1" t="str">
        <x:f>IF(B119="","",IF(W119="Invalid hours","Invalid hours",IF(NOT(ISNUMBER(X119)),"Excluded",IF(AND(J119&lt;&gt;"",K119&lt;&gt;"",L119&lt;&gt;"",COUNTIF('SOW caps'!$N$7:$N$36,A119&amp;"|"&amp;K119)=1),"Mapped","Needs allocation"))))</x:f>
      </x:c>
      <x:c r="N119" s="8" t="str">
        <x:f>IF(B119="","",IF(M119="Mapped",_xlfn.XLOOKUP(A119&amp;"|"&amp;K119,'SOW caps'!$N$7:$N$36,'SOW caps'!$E$7:$E$36,""),IF(ISNUMBER('SOW caps'!$B$3),'SOW caps'!$B$3,"")))</x:f>
      </x:c>
      <x:c r="O119" s="8" t="str">
        <x:f>IF(AND(ISNUMBER(X119),ISNUMBER(N119),N119&gt;=0),X119*N119,"")</x:f>
      </x:c>
      <x:c r="P119" s="3"/>
      <x:c r="Q119" s="3"/>
      <x:c r="R119" s="3"/>
      <x:c r="S119" s="3"/>
      <x:c r="T119" s="3"/>
      <x:c r="U119" s="8" t="str">
        <x:f>IF(M119="Mapped",IF(OR(_xlfn.XLOOKUP(A119&amp;"|"&amp;K119,'SOW caps'!$N$7:$N$36,'SOW caps'!$M$7:$M$36,"")="Ready",_xlfn.XLOOKUP(A119&amp;"|"&amp;K119,'SOW caps'!$N$7:$N$36,'SOW caps'!$M$7:$M$36,"")="No hours"),_xlfn.XLOOKUP(A119&amp;"|"&amp;K119,'SOW caps'!$N$7:$N$36,'SOW caps'!$O$7:$O$36,""),""),"")</x:f>
      </x:c>
      <x:c r="V119" s="8" t="str">
        <x:f>IF(AND(ISNUMBER(U119),ISNUMBER(X119)),ROUND(SUMIFS($X$7:X119,$A$7:A119,A119,$K$7:K119,K119,$M$7:M119,"Mapped")*U119,2)-ROUND((SUMIFS($X$7:X119,$A$7:A119,A119,$K$7:K119,K119,$M$7:M119,"Mapped")-X119)*U119,2),"")</x:f>
      </x:c>
      <x:c r="W119" s="1" t="str">
        <x:f>IF(B119="","",IF(OR(NOT(ISNUMBER(I119)),I119&lt;0),"Invalid hours",IF(NOT(ISNUMBER(R119)),"Manual hours",IF(ROUND(I119*3600000,0)=R119,"Source hours","Adjusted hours"))))</x:f>
      </x:c>
      <x:c r="X119" s="10" t="str">
        <x:f>IF(B119="","",IF(AND(ISNUMBER(I119),I119&gt;=0,Q119="In period"),I119,""))</x:f>
      </x:c>
    </x:row>
    <x:row r="120" ht="23" customHeight="1">
      <x:c r="A120" s="3"/>
      <x:c r="B120" s="3"/>
      <x:c r="C120" s="3"/>
      <x:c r="D120" s="3"/>
      <x:c r="E120" s="3"/>
      <x:c r="F120" s="3"/>
      <x:c r="G120" s="3"/>
      <x:c r="H120" s="3"/>
      <x:c r="I120" s="9"/>
      <x:c r="J120" s="3"/>
      <x:c r="K120" s="3"/>
      <x:c r="L120" s="3"/>
      <x:c r="M120" s="1" t="str">
        <x:f>IF(B120="","",IF(W120="Invalid hours","Invalid hours",IF(NOT(ISNUMBER(X120)),"Excluded",IF(AND(J120&lt;&gt;"",K120&lt;&gt;"",L120&lt;&gt;"",COUNTIF('SOW caps'!$N$7:$N$36,A120&amp;"|"&amp;K120)=1),"Mapped","Needs allocation"))))</x:f>
      </x:c>
      <x:c r="N120" s="8" t="str">
        <x:f>IF(B120="","",IF(M120="Mapped",_xlfn.XLOOKUP(A120&amp;"|"&amp;K120,'SOW caps'!$N$7:$N$36,'SOW caps'!$E$7:$E$36,""),IF(ISNUMBER('SOW caps'!$B$3),'SOW caps'!$B$3,"")))</x:f>
      </x:c>
      <x:c r="O120" s="8" t="str">
        <x:f>IF(AND(ISNUMBER(X120),ISNUMBER(N120),N120&gt;=0),X120*N120,"")</x:f>
      </x:c>
      <x:c r="P120" s="3"/>
      <x:c r="Q120" s="3"/>
      <x:c r="R120" s="3"/>
      <x:c r="S120" s="3"/>
      <x:c r="T120" s="3"/>
      <x:c r="U120" s="8" t="str">
        <x:f>IF(M120="Mapped",IF(OR(_xlfn.XLOOKUP(A120&amp;"|"&amp;K120,'SOW caps'!$N$7:$N$36,'SOW caps'!$M$7:$M$36,"")="Ready",_xlfn.XLOOKUP(A120&amp;"|"&amp;K120,'SOW caps'!$N$7:$N$36,'SOW caps'!$M$7:$M$36,"")="No hours"),_xlfn.XLOOKUP(A120&amp;"|"&amp;K120,'SOW caps'!$N$7:$N$36,'SOW caps'!$O$7:$O$36,""),""),"")</x:f>
      </x:c>
      <x:c r="V120" s="8" t="str">
        <x:f>IF(AND(ISNUMBER(U120),ISNUMBER(X120)),ROUND(SUMIFS($X$7:X120,$A$7:A120,A120,$K$7:K120,K120,$M$7:M120,"Mapped")*U120,2)-ROUND((SUMIFS($X$7:X120,$A$7:A120,A120,$K$7:K120,K120,$M$7:M120,"Mapped")-X120)*U120,2),"")</x:f>
      </x:c>
      <x:c r="W120" s="1" t="str">
        <x:f>IF(B120="","",IF(OR(NOT(ISNUMBER(I120)),I120&lt;0),"Invalid hours",IF(NOT(ISNUMBER(R120)),"Manual hours",IF(ROUND(I120*3600000,0)=R120,"Source hours","Adjusted hours"))))</x:f>
      </x:c>
      <x:c r="X120" s="10" t="str">
        <x:f>IF(B120="","",IF(AND(ISNUMBER(I120),I120&gt;=0,Q120="In period"),I120,""))</x:f>
      </x:c>
    </x:row>
    <x:row r="121" ht="23" customHeight="1">
      <x:c r="A121" s="3"/>
      <x:c r="B121" s="3"/>
      <x:c r="C121" s="3"/>
      <x:c r="D121" s="3"/>
      <x:c r="E121" s="3"/>
      <x:c r="F121" s="3"/>
      <x:c r="G121" s="3"/>
      <x:c r="H121" s="3"/>
      <x:c r="I121" s="9"/>
      <x:c r="J121" s="3"/>
      <x:c r="K121" s="3"/>
      <x:c r="L121" s="3"/>
      <x:c r="M121" s="1" t="str">
        <x:f>IF(B121="","",IF(W121="Invalid hours","Invalid hours",IF(NOT(ISNUMBER(X121)),"Excluded",IF(AND(J121&lt;&gt;"",K121&lt;&gt;"",L121&lt;&gt;"",COUNTIF('SOW caps'!$N$7:$N$36,A121&amp;"|"&amp;K121)=1),"Mapped","Needs allocation"))))</x:f>
      </x:c>
      <x:c r="N121" s="8" t="str">
        <x:f>IF(B121="","",IF(M121="Mapped",_xlfn.XLOOKUP(A121&amp;"|"&amp;K121,'SOW caps'!$N$7:$N$36,'SOW caps'!$E$7:$E$36,""),IF(ISNUMBER('SOW caps'!$B$3),'SOW caps'!$B$3,"")))</x:f>
      </x:c>
      <x:c r="O121" s="8" t="str">
        <x:f>IF(AND(ISNUMBER(X121),ISNUMBER(N121),N121&gt;=0),X121*N121,"")</x:f>
      </x:c>
      <x:c r="P121" s="3"/>
      <x:c r="Q121" s="3"/>
      <x:c r="R121" s="3"/>
      <x:c r="S121" s="3"/>
      <x:c r="T121" s="3"/>
      <x:c r="U121" s="8" t="str">
        <x:f>IF(M121="Mapped",IF(OR(_xlfn.XLOOKUP(A121&amp;"|"&amp;K121,'SOW caps'!$N$7:$N$36,'SOW caps'!$M$7:$M$36,"")="Ready",_xlfn.XLOOKUP(A121&amp;"|"&amp;K121,'SOW caps'!$N$7:$N$36,'SOW caps'!$M$7:$M$36,"")="No hours"),_xlfn.XLOOKUP(A121&amp;"|"&amp;K121,'SOW caps'!$N$7:$N$36,'SOW caps'!$O$7:$O$36,""),""),"")</x:f>
      </x:c>
      <x:c r="V121" s="8" t="str">
        <x:f>IF(AND(ISNUMBER(U121),ISNUMBER(X121)),ROUND(SUMIFS($X$7:X121,$A$7:A121,A121,$K$7:K121,K121,$M$7:M121,"Mapped")*U121,2)-ROUND((SUMIFS($X$7:X121,$A$7:A121,A121,$K$7:K121,K121,$M$7:M121,"Mapped")-X121)*U121,2),"")</x:f>
      </x:c>
      <x:c r="W121" s="1" t="str">
        <x:f>IF(B121="","",IF(OR(NOT(ISNUMBER(I121)),I121&lt;0),"Invalid hours",IF(NOT(ISNUMBER(R121)),"Manual hours",IF(ROUND(I121*3600000,0)=R121,"Source hours","Adjusted hours"))))</x:f>
      </x:c>
      <x:c r="X121" s="10" t="str">
        <x:f>IF(B121="","",IF(AND(ISNUMBER(I121),I121&gt;=0,Q121="In period"),I121,""))</x:f>
      </x:c>
    </x:row>
    <x:row r="122" ht="23" customHeight="1">
      <x:c r="A122" s="3"/>
      <x:c r="B122" s="3"/>
      <x:c r="C122" s="3"/>
      <x:c r="D122" s="3"/>
      <x:c r="E122" s="3"/>
      <x:c r="F122" s="3"/>
      <x:c r="G122" s="3"/>
      <x:c r="H122" s="3"/>
      <x:c r="I122" s="9"/>
      <x:c r="J122" s="3"/>
      <x:c r="K122" s="3"/>
      <x:c r="L122" s="3"/>
      <x:c r="M122" s="1" t="str">
        <x:f>IF(B122="","",IF(W122="Invalid hours","Invalid hours",IF(NOT(ISNUMBER(X122)),"Excluded",IF(AND(J122&lt;&gt;"",K122&lt;&gt;"",L122&lt;&gt;"",COUNTIF('SOW caps'!$N$7:$N$36,A122&amp;"|"&amp;K122)=1),"Mapped","Needs allocation"))))</x:f>
      </x:c>
      <x:c r="N122" s="8" t="str">
        <x:f>IF(B122="","",IF(M122="Mapped",_xlfn.XLOOKUP(A122&amp;"|"&amp;K122,'SOW caps'!$N$7:$N$36,'SOW caps'!$E$7:$E$36,""),IF(ISNUMBER('SOW caps'!$B$3),'SOW caps'!$B$3,"")))</x:f>
      </x:c>
      <x:c r="O122" s="8" t="str">
        <x:f>IF(AND(ISNUMBER(X122),ISNUMBER(N122),N122&gt;=0),X122*N122,"")</x:f>
      </x:c>
      <x:c r="P122" s="3"/>
      <x:c r="Q122" s="3"/>
      <x:c r="R122" s="3"/>
      <x:c r="S122" s="3"/>
      <x:c r="T122" s="3"/>
      <x:c r="U122" s="8" t="str">
        <x:f>IF(M122="Mapped",IF(OR(_xlfn.XLOOKUP(A122&amp;"|"&amp;K122,'SOW caps'!$N$7:$N$36,'SOW caps'!$M$7:$M$36,"")="Ready",_xlfn.XLOOKUP(A122&amp;"|"&amp;K122,'SOW caps'!$N$7:$N$36,'SOW caps'!$M$7:$M$36,"")="No hours"),_xlfn.XLOOKUP(A122&amp;"|"&amp;K122,'SOW caps'!$N$7:$N$36,'SOW caps'!$O$7:$O$36,""),""),"")</x:f>
      </x:c>
      <x:c r="V122" s="8" t="str">
        <x:f>IF(AND(ISNUMBER(U122),ISNUMBER(X122)),ROUND(SUMIFS($X$7:X122,$A$7:A122,A122,$K$7:K122,K122,$M$7:M122,"Mapped")*U122,2)-ROUND((SUMIFS($X$7:X122,$A$7:A122,A122,$K$7:K122,K122,$M$7:M122,"Mapped")-X122)*U122,2),"")</x:f>
      </x:c>
      <x:c r="W122" s="1" t="str">
        <x:f>IF(B122="","",IF(OR(NOT(ISNUMBER(I122)),I122&lt;0),"Invalid hours",IF(NOT(ISNUMBER(R122)),"Manual hours",IF(ROUND(I122*3600000,0)=R122,"Source hours","Adjusted hours"))))</x:f>
      </x:c>
      <x:c r="X122" s="10" t="str">
        <x:f>IF(B122="","",IF(AND(ISNUMBER(I122),I122&gt;=0,Q122="In period"),I122,""))</x:f>
      </x:c>
    </x:row>
    <x:row r="123" ht="23" customHeight="1">
      <x:c r="A123" s="3"/>
      <x:c r="B123" s="3"/>
      <x:c r="C123" s="3"/>
      <x:c r="D123" s="3"/>
      <x:c r="E123" s="3"/>
      <x:c r="F123" s="3"/>
      <x:c r="G123" s="3"/>
      <x:c r="H123" s="3"/>
      <x:c r="I123" s="9"/>
      <x:c r="J123" s="3"/>
      <x:c r="K123" s="3"/>
      <x:c r="L123" s="3"/>
      <x:c r="M123" s="1" t="str">
        <x:f>IF(B123="","",IF(W123="Invalid hours","Invalid hours",IF(NOT(ISNUMBER(X123)),"Excluded",IF(AND(J123&lt;&gt;"",K123&lt;&gt;"",L123&lt;&gt;"",COUNTIF('SOW caps'!$N$7:$N$36,A123&amp;"|"&amp;K123)=1),"Mapped","Needs allocation"))))</x:f>
      </x:c>
      <x:c r="N123" s="8" t="str">
        <x:f>IF(B123="","",IF(M123="Mapped",_xlfn.XLOOKUP(A123&amp;"|"&amp;K123,'SOW caps'!$N$7:$N$36,'SOW caps'!$E$7:$E$36,""),IF(ISNUMBER('SOW caps'!$B$3),'SOW caps'!$B$3,"")))</x:f>
      </x:c>
      <x:c r="O123" s="8" t="str">
        <x:f>IF(AND(ISNUMBER(X123),ISNUMBER(N123),N123&gt;=0),X123*N123,"")</x:f>
      </x:c>
      <x:c r="P123" s="3"/>
      <x:c r="Q123" s="3"/>
      <x:c r="R123" s="3"/>
      <x:c r="S123" s="3"/>
      <x:c r="T123" s="3"/>
      <x:c r="U123" s="8" t="str">
        <x:f>IF(M123="Mapped",IF(OR(_xlfn.XLOOKUP(A123&amp;"|"&amp;K123,'SOW caps'!$N$7:$N$36,'SOW caps'!$M$7:$M$36,"")="Ready",_xlfn.XLOOKUP(A123&amp;"|"&amp;K123,'SOW caps'!$N$7:$N$36,'SOW caps'!$M$7:$M$36,"")="No hours"),_xlfn.XLOOKUP(A123&amp;"|"&amp;K123,'SOW caps'!$N$7:$N$36,'SOW caps'!$O$7:$O$36,""),""),"")</x:f>
      </x:c>
      <x:c r="V123" s="8" t="str">
        <x:f>IF(AND(ISNUMBER(U123),ISNUMBER(X123)),ROUND(SUMIFS($X$7:X123,$A$7:A123,A123,$K$7:K123,K123,$M$7:M123,"Mapped")*U123,2)-ROUND((SUMIFS($X$7:X123,$A$7:A123,A123,$K$7:K123,K123,$M$7:M123,"Mapped")-X123)*U123,2),"")</x:f>
      </x:c>
      <x:c r="W123" s="1" t="str">
        <x:f>IF(B123="","",IF(OR(NOT(ISNUMBER(I123)),I123&lt;0),"Invalid hours",IF(NOT(ISNUMBER(R123)),"Manual hours",IF(ROUND(I123*3600000,0)=R123,"Source hours","Adjusted hours"))))</x:f>
      </x:c>
      <x:c r="X123" s="10" t="str">
        <x:f>IF(B123="","",IF(AND(ISNUMBER(I123),I123&gt;=0,Q123="In period"),I123,""))</x:f>
      </x:c>
    </x:row>
    <x:row r="124" ht="23" customHeight="1">
      <x:c r="A124" s="3"/>
      <x:c r="B124" s="3"/>
      <x:c r="C124" s="3"/>
      <x:c r="D124" s="3"/>
      <x:c r="E124" s="3"/>
      <x:c r="F124" s="3"/>
      <x:c r="G124" s="3"/>
      <x:c r="H124" s="3"/>
      <x:c r="I124" s="9"/>
      <x:c r="J124" s="3"/>
      <x:c r="K124" s="3"/>
      <x:c r="L124" s="3"/>
      <x:c r="M124" s="1" t="str">
        <x:f>IF(B124="","",IF(W124="Invalid hours","Invalid hours",IF(NOT(ISNUMBER(X124)),"Excluded",IF(AND(J124&lt;&gt;"",K124&lt;&gt;"",L124&lt;&gt;"",COUNTIF('SOW caps'!$N$7:$N$36,A124&amp;"|"&amp;K124)=1),"Mapped","Needs allocation"))))</x:f>
      </x:c>
      <x:c r="N124" s="8" t="str">
        <x:f>IF(B124="","",IF(M124="Mapped",_xlfn.XLOOKUP(A124&amp;"|"&amp;K124,'SOW caps'!$N$7:$N$36,'SOW caps'!$E$7:$E$36,""),IF(ISNUMBER('SOW caps'!$B$3),'SOW caps'!$B$3,"")))</x:f>
      </x:c>
      <x:c r="O124" s="8" t="str">
        <x:f>IF(AND(ISNUMBER(X124),ISNUMBER(N124),N124&gt;=0),X124*N124,"")</x:f>
      </x:c>
      <x:c r="P124" s="3"/>
      <x:c r="Q124" s="3"/>
      <x:c r="R124" s="3"/>
      <x:c r="S124" s="3"/>
      <x:c r="T124" s="3"/>
      <x:c r="U124" s="8" t="str">
        <x:f>IF(M124="Mapped",IF(OR(_xlfn.XLOOKUP(A124&amp;"|"&amp;K124,'SOW caps'!$N$7:$N$36,'SOW caps'!$M$7:$M$36,"")="Ready",_xlfn.XLOOKUP(A124&amp;"|"&amp;K124,'SOW caps'!$N$7:$N$36,'SOW caps'!$M$7:$M$36,"")="No hours"),_xlfn.XLOOKUP(A124&amp;"|"&amp;K124,'SOW caps'!$N$7:$N$36,'SOW caps'!$O$7:$O$36,""),""),"")</x:f>
      </x:c>
      <x:c r="V124" s="8" t="str">
        <x:f>IF(AND(ISNUMBER(U124),ISNUMBER(X124)),ROUND(SUMIFS($X$7:X124,$A$7:A124,A124,$K$7:K124,K124,$M$7:M124,"Mapped")*U124,2)-ROUND((SUMIFS($X$7:X124,$A$7:A124,A124,$K$7:K124,K124,$M$7:M124,"Mapped")-X124)*U124,2),"")</x:f>
      </x:c>
      <x:c r="W124" s="1" t="str">
        <x:f>IF(B124="","",IF(OR(NOT(ISNUMBER(I124)),I124&lt;0),"Invalid hours",IF(NOT(ISNUMBER(R124)),"Manual hours",IF(ROUND(I124*3600000,0)=R124,"Source hours","Adjusted hours"))))</x:f>
      </x:c>
      <x:c r="X124" s="10" t="str">
        <x:f>IF(B124="","",IF(AND(ISNUMBER(I124),I124&gt;=0,Q124="In period"),I124,""))</x:f>
      </x:c>
    </x:row>
    <x:row r="125" ht="23" customHeight="1">
      <x:c r="A125" s="3"/>
      <x:c r="B125" s="3"/>
      <x:c r="C125" s="3"/>
      <x:c r="D125" s="3"/>
      <x:c r="E125" s="3"/>
      <x:c r="F125" s="3"/>
      <x:c r="G125" s="3"/>
      <x:c r="H125" s="3"/>
      <x:c r="I125" s="9"/>
      <x:c r="J125" s="3"/>
      <x:c r="K125" s="3"/>
      <x:c r="L125" s="3"/>
      <x:c r="M125" s="1" t="str">
        <x:f>IF(B125="","",IF(W125="Invalid hours","Invalid hours",IF(NOT(ISNUMBER(X125)),"Excluded",IF(AND(J125&lt;&gt;"",K125&lt;&gt;"",L125&lt;&gt;"",COUNTIF('SOW caps'!$N$7:$N$36,A125&amp;"|"&amp;K125)=1),"Mapped","Needs allocation"))))</x:f>
      </x:c>
      <x:c r="N125" s="8" t="str">
        <x:f>IF(B125="","",IF(M125="Mapped",_xlfn.XLOOKUP(A125&amp;"|"&amp;K125,'SOW caps'!$N$7:$N$36,'SOW caps'!$E$7:$E$36,""),IF(ISNUMBER('SOW caps'!$B$3),'SOW caps'!$B$3,"")))</x:f>
      </x:c>
      <x:c r="O125" s="8" t="str">
        <x:f>IF(AND(ISNUMBER(X125),ISNUMBER(N125),N125&gt;=0),X125*N125,"")</x:f>
      </x:c>
      <x:c r="P125" s="3"/>
      <x:c r="Q125" s="3"/>
      <x:c r="R125" s="3"/>
      <x:c r="S125" s="3"/>
      <x:c r="T125" s="3"/>
      <x:c r="U125" s="8" t="str">
        <x:f>IF(M125="Mapped",IF(OR(_xlfn.XLOOKUP(A125&amp;"|"&amp;K125,'SOW caps'!$N$7:$N$36,'SOW caps'!$M$7:$M$36,"")="Ready",_xlfn.XLOOKUP(A125&amp;"|"&amp;K125,'SOW caps'!$N$7:$N$36,'SOW caps'!$M$7:$M$36,"")="No hours"),_xlfn.XLOOKUP(A125&amp;"|"&amp;K125,'SOW caps'!$N$7:$N$36,'SOW caps'!$O$7:$O$36,""),""),"")</x:f>
      </x:c>
      <x:c r="V125" s="8" t="str">
        <x:f>IF(AND(ISNUMBER(U125),ISNUMBER(X125)),ROUND(SUMIFS($X$7:X125,$A$7:A125,A125,$K$7:K125,K125,$M$7:M125,"Mapped")*U125,2)-ROUND((SUMIFS($X$7:X125,$A$7:A125,A125,$K$7:K125,K125,$M$7:M125,"Mapped")-X125)*U125,2),"")</x:f>
      </x:c>
      <x:c r="W125" s="1" t="str">
        <x:f>IF(B125="","",IF(OR(NOT(ISNUMBER(I125)),I125&lt;0),"Invalid hours",IF(NOT(ISNUMBER(R125)),"Manual hours",IF(ROUND(I125*3600000,0)=R125,"Source hours","Adjusted hours"))))</x:f>
      </x:c>
      <x:c r="X125" s="10" t="str">
        <x:f>IF(B125="","",IF(AND(ISNUMBER(I125),I125&gt;=0,Q125="In period"),I125,""))</x:f>
      </x:c>
    </x:row>
    <x:row r="126" ht="23" customHeight="1">
      <x:c r="A126" s="3"/>
      <x:c r="B126" s="3"/>
      <x:c r="C126" s="3"/>
      <x:c r="D126" s="3"/>
      <x:c r="E126" s="3"/>
      <x:c r="F126" s="3"/>
      <x:c r="G126" s="3"/>
      <x:c r="H126" s="3"/>
      <x:c r="I126" s="9"/>
      <x:c r="J126" s="3"/>
      <x:c r="K126" s="3"/>
      <x:c r="L126" s="3"/>
      <x:c r="M126" s="1" t="str">
        <x:f>IF(B126="","",IF(W126="Invalid hours","Invalid hours",IF(NOT(ISNUMBER(X126)),"Excluded",IF(AND(J126&lt;&gt;"",K126&lt;&gt;"",L126&lt;&gt;"",COUNTIF('SOW caps'!$N$7:$N$36,A126&amp;"|"&amp;K126)=1),"Mapped","Needs allocation"))))</x:f>
      </x:c>
      <x:c r="N126" s="8" t="str">
        <x:f>IF(B126="","",IF(M126="Mapped",_xlfn.XLOOKUP(A126&amp;"|"&amp;K126,'SOW caps'!$N$7:$N$36,'SOW caps'!$E$7:$E$36,""),IF(ISNUMBER('SOW caps'!$B$3),'SOW caps'!$B$3,"")))</x:f>
      </x:c>
      <x:c r="O126" s="8" t="str">
        <x:f>IF(AND(ISNUMBER(X126),ISNUMBER(N126),N126&gt;=0),X126*N126,"")</x:f>
      </x:c>
      <x:c r="P126" s="3"/>
      <x:c r="Q126" s="3"/>
      <x:c r="R126" s="3"/>
      <x:c r="S126" s="3"/>
      <x:c r="T126" s="3"/>
      <x:c r="U126" s="8" t="str">
        <x:f>IF(M126="Mapped",IF(OR(_xlfn.XLOOKUP(A126&amp;"|"&amp;K126,'SOW caps'!$N$7:$N$36,'SOW caps'!$M$7:$M$36,"")="Ready",_xlfn.XLOOKUP(A126&amp;"|"&amp;K126,'SOW caps'!$N$7:$N$36,'SOW caps'!$M$7:$M$36,"")="No hours"),_xlfn.XLOOKUP(A126&amp;"|"&amp;K126,'SOW caps'!$N$7:$N$36,'SOW caps'!$O$7:$O$36,""),""),"")</x:f>
      </x:c>
      <x:c r="V126" s="8" t="str">
        <x:f>IF(AND(ISNUMBER(U126),ISNUMBER(X126)),ROUND(SUMIFS($X$7:X126,$A$7:A126,A126,$K$7:K126,K126,$M$7:M126,"Mapped")*U126,2)-ROUND((SUMIFS($X$7:X126,$A$7:A126,A126,$K$7:K126,K126,$M$7:M126,"Mapped")-X126)*U126,2),"")</x:f>
      </x:c>
      <x:c r="W126" s="1" t="str">
        <x:f>IF(B126="","",IF(OR(NOT(ISNUMBER(I126)),I126&lt;0),"Invalid hours",IF(NOT(ISNUMBER(R126)),"Manual hours",IF(ROUND(I126*3600000,0)=R126,"Source hours","Adjusted hours"))))</x:f>
      </x:c>
      <x:c r="X126" s="10" t="str">
        <x:f>IF(B126="","",IF(AND(ISNUMBER(I126),I126&gt;=0,Q126="In period"),I126,""))</x:f>
      </x:c>
    </x:row>
    <x:row r="127" ht="23" customHeight="1">
      <x:c r="A127" s="3"/>
      <x:c r="B127" s="3"/>
      <x:c r="C127" s="3"/>
      <x:c r="D127" s="3"/>
      <x:c r="E127" s="3"/>
      <x:c r="F127" s="3"/>
      <x:c r="G127" s="3"/>
      <x:c r="H127" s="3"/>
      <x:c r="I127" s="9"/>
      <x:c r="J127" s="3"/>
      <x:c r="K127" s="3"/>
      <x:c r="L127" s="3"/>
      <x:c r="M127" s="1" t="str">
        <x:f>IF(B127="","",IF(W127="Invalid hours","Invalid hours",IF(NOT(ISNUMBER(X127)),"Excluded",IF(AND(J127&lt;&gt;"",K127&lt;&gt;"",L127&lt;&gt;"",COUNTIF('SOW caps'!$N$7:$N$36,A127&amp;"|"&amp;K127)=1),"Mapped","Needs allocation"))))</x:f>
      </x:c>
      <x:c r="N127" s="8" t="str">
        <x:f>IF(B127="","",IF(M127="Mapped",_xlfn.XLOOKUP(A127&amp;"|"&amp;K127,'SOW caps'!$N$7:$N$36,'SOW caps'!$E$7:$E$36,""),IF(ISNUMBER('SOW caps'!$B$3),'SOW caps'!$B$3,"")))</x:f>
      </x:c>
      <x:c r="O127" s="8" t="str">
        <x:f>IF(AND(ISNUMBER(X127),ISNUMBER(N127),N127&gt;=0),X127*N127,"")</x:f>
      </x:c>
      <x:c r="P127" s="3"/>
      <x:c r="Q127" s="3"/>
      <x:c r="R127" s="3"/>
      <x:c r="S127" s="3"/>
      <x:c r="T127" s="3"/>
      <x:c r="U127" s="8" t="str">
        <x:f>IF(M127="Mapped",IF(OR(_xlfn.XLOOKUP(A127&amp;"|"&amp;K127,'SOW caps'!$N$7:$N$36,'SOW caps'!$M$7:$M$36,"")="Ready",_xlfn.XLOOKUP(A127&amp;"|"&amp;K127,'SOW caps'!$N$7:$N$36,'SOW caps'!$M$7:$M$36,"")="No hours"),_xlfn.XLOOKUP(A127&amp;"|"&amp;K127,'SOW caps'!$N$7:$N$36,'SOW caps'!$O$7:$O$36,""),""),"")</x:f>
      </x:c>
      <x:c r="V127" s="8" t="str">
        <x:f>IF(AND(ISNUMBER(U127),ISNUMBER(X127)),ROUND(SUMIFS($X$7:X127,$A$7:A127,A127,$K$7:K127,K127,$M$7:M127,"Mapped")*U127,2)-ROUND((SUMIFS($X$7:X127,$A$7:A127,A127,$K$7:K127,K127,$M$7:M127,"Mapped")-X127)*U127,2),"")</x:f>
      </x:c>
      <x:c r="W127" s="1" t="str">
        <x:f>IF(B127="","",IF(OR(NOT(ISNUMBER(I127)),I127&lt;0),"Invalid hours",IF(NOT(ISNUMBER(R127)),"Manual hours",IF(ROUND(I127*3600000,0)=R127,"Source hours","Adjusted hours"))))</x:f>
      </x:c>
      <x:c r="X127" s="10" t="str">
        <x:f>IF(B127="","",IF(AND(ISNUMBER(I127),I127&gt;=0,Q127="In period"),I127,""))</x:f>
      </x:c>
    </x:row>
    <x:row r="128" ht="23" customHeight="1">
      <x:c r="A128" s="3"/>
      <x:c r="B128" s="3"/>
      <x:c r="C128" s="3"/>
      <x:c r="D128" s="3"/>
      <x:c r="E128" s="3"/>
      <x:c r="F128" s="3"/>
      <x:c r="G128" s="3"/>
      <x:c r="H128" s="3"/>
      <x:c r="I128" s="9"/>
      <x:c r="J128" s="3"/>
      <x:c r="K128" s="3"/>
      <x:c r="L128" s="3"/>
      <x:c r="M128" s="1" t="str">
        <x:f>IF(B128="","",IF(W128="Invalid hours","Invalid hours",IF(NOT(ISNUMBER(X128)),"Excluded",IF(AND(J128&lt;&gt;"",K128&lt;&gt;"",L128&lt;&gt;"",COUNTIF('SOW caps'!$N$7:$N$36,A128&amp;"|"&amp;K128)=1),"Mapped","Needs allocation"))))</x:f>
      </x:c>
      <x:c r="N128" s="8" t="str">
        <x:f>IF(B128="","",IF(M128="Mapped",_xlfn.XLOOKUP(A128&amp;"|"&amp;K128,'SOW caps'!$N$7:$N$36,'SOW caps'!$E$7:$E$36,""),IF(ISNUMBER('SOW caps'!$B$3),'SOW caps'!$B$3,"")))</x:f>
      </x:c>
      <x:c r="O128" s="8" t="str">
        <x:f>IF(AND(ISNUMBER(X128),ISNUMBER(N128),N128&gt;=0),X128*N128,"")</x:f>
      </x:c>
      <x:c r="P128" s="3"/>
      <x:c r="Q128" s="3"/>
      <x:c r="R128" s="3"/>
      <x:c r="S128" s="3"/>
      <x:c r="T128" s="3"/>
      <x:c r="U128" s="8" t="str">
        <x:f>IF(M128="Mapped",IF(OR(_xlfn.XLOOKUP(A128&amp;"|"&amp;K128,'SOW caps'!$N$7:$N$36,'SOW caps'!$M$7:$M$36,"")="Ready",_xlfn.XLOOKUP(A128&amp;"|"&amp;K128,'SOW caps'!$N$7:$N$36,'SOW caps'!$M$7:$M$36,"")="No hours"),_xlfn.XLOOKUP(A128&amp;"|"&amp;K128,'SOW caps'!$N$7:$N$36,'SOW caps'!$O$7:$O$36,""),""),"")</x:f>
      </x:c>
      <x:c r="V128" s="8" t="str">
        <x:f>IF(AND(ISNUMBER(U128),ISNUMBER(X128)),ROUND(SUMIFS($X$7:X128,$A$7:A128,A128,$K$7:K128,K128,$M$7:M128,"Mapped")*U128,2)-ROUND((SUMIFS($X$7:X128,$A$7:A128,A128,$K$7:K128,K128,$M$7:M128,"Mapped")-X128)*U128,2),"")</x:f>
      </x:c>
      <x:c r="W128" s="1" t="str">
        <x:f>IF(B128="","",IF(OR(NOT(ISNUMBER(I128)),I128&lt;0),"Invalid hours",IF(NOT(ISNUMBER(R128)),"Manual hours",IF(ROUND(I128*3600000,0)=R128,"Source hours","Adjusted hours"))))</x:f>
      </x:c>
      <x:c r="X128" s="10" t="str">
        <x:f>IF(B128="","",IF(AND(ISNUMBER(I128),I128&gt;=0,Q128="In period"),I128,""))</x:f>
      </x:c>
    </x:row>
    <x:row r="129" ht="23" customHeight="1">
      <x:c r="A129" s="3"/>
      <x:c r="B129" s="3"/>
      <x:c r="C129" s="3"/>
      <x:c r="D129" s="3"/>
      <x:c r="E129" s="3"/>
      <x:c r="F129" s="3"/>
      <x:c r="G129" s="3"/>
      <x:c r="H129" s="3"/>
      <x:c r="I129" s="9"/>
      <x:c r="J129" s="3"/>
      <x:c r="K129" s="3"/>
      <x:c r="L129" s="3"/>
      <x:c r="M129" s="1" t="str">
        <x:f>IF(B129="","",IF(W129="Invalid hours","Invalid hours",IF(NOT(ISNUMBER(X129)),"Excluded",IF(AND(J129&lt;&gt;"",K129&lt;&gt;"",L129&lt;&gt;"",COUNTIF('SOW caps'!$N$7:$N$36,A129&amp;"|"&amp;K129)=1),"Mapped","Needs allocation"))))</x:f>
      </x:c>
      <x:c r="N129" s="8" t="str">
        <x:f>IF(B129="","",IF(M129="Mapped",_xlfn.XLOOKUP(A129&amp;"|"&amp;K129,'SOW caps'!$N$7:$N$36,'SOW caps'!$E$7:$E$36,""),IF(ISNUMBER('SOW caps'!$B$3),'SOW caps'!$B$3,"")))</x:f>
      </x:c>
      <x:c r="O129" s="8" t="str">
        <x:f>IF(AND(ISNUMBER(X129),ISNUMBER(N129),N129&gt;=0),X129*N129,"")</x:f>
      </x:c>
      <x:c r="P129" s="3"/>
      <x:c r="Q129" s="3"/>
      <x:c r="R129" s="3"/>
      <x:c r="S129" s="3"/>
      <x:c r="T129" s="3"/>
      <x:c r="U129" s="8" t="str">
        <x:f>IF(M129="Mapped",IF(OR(_xlfn.XLOOKUP(A129&amp;"|"&amp;K129,'SOW caps'!$N$7:$N$36,'SOW caps'!$M$7:$M$36,"")="Ready",_xlfn.XLOOKUP(A129&amp;"|"&amp;K129,'SOW caps'!$N$7:$N$36,'SOW caps'!$M$7:$M$36,"")="No hours"),_xlfn.XLOOKUP(A129&amp;"|"&amp;K129,'SOW caps'!$N$7:$N$36,'SOW caps'!$O$7:$O$36,""),""),"")</x:f>
      </x:c>
      <x:c r="V129" s="8" t="str">
        <x:f>IF(AND(ISNUMBER(U129),ISNUMBER(X129)),ROUND(SUMIFS($X$7:X129,$A$7:A129,A129,$K$7:K129,K129,$M$7:M129,"Mapped")*U129,2)-ROUND((SUMIFS($X$7:X129,$A$7:A129,A129,$K$7:K129,K129,$M$7:M129,"Mapped")-X129)*U129,2),"")</x:f>
      </x:c>
      <x:c r="W129" s="1" t="str">
        <x:f>IF(B129="","",IF(OR(NOT(ISNUMBER(I129)),I129&lt;0),"Invalid hours",IF(NOT(ISNUMBER(R129)),"Manual hours",IF(ROUND(I129*3600000,0)=R129,"Source hours","Adjusted hours"))))</x:f>
      </x:c>
      <x:c r="X129" s="10" t="str">
        <x:f>IF(B129="","",IF(AND(ISNUMBER(I129),I129&gt;=0,Q129="In period"),I129,""))</x:f>
      </x:c>
    </x:row>
    <x:row r="130" ht="23" customHeight="1">
      <x:c r="A130" s="3"/>
      <x:c r="B130" s="3"/>
      <x:c r="C130" s="3"/>
      <x:c r="D130" s="3"/>
      <x:c r="E130" s="3"/>
      <x:c r="F130" s="3"/>
      <x:c r="G130" s="3"/>
      <x:c r="H130" s="3"/>
      <x:c r="I130" s="9"/>
      <x:c r="J130" s="3"/>
      <x:c r="K130" s="3"/>
      <x:c r="L130" s="3"/>
      <x:c r="M130" s="1" t="str">
        <x:f>IF(B130="","",IF(W130="Invalid hours","Invalid hours",IF(NOT(ISNUMBER(X130)),"Excluded",IF(AND(J130&lt;&gt;"",K130&lt;&gt;"",L130&lt;&gt;"",COUNTIF('SOW caps'!$N$7:$N$36,A130&amp;"|"&amp;K130)=1),"Mapped","Needs allocation"))))</x:f>
      </x:c>
      <x:c r="N130" s="8" t="str">
        <x:f>IF(B130="","",IF(M130="Mapped",_xlfn.XLOOKUP(A130&amp;"|"&amp;K130,'SOW caps'!$N$7:$N$36,'SOW caps'!$E$7:$E$36,""),IF(ISNUMBER('SOW caps'!$B$3),'SOW caps'!$B$3,"")))</x:f>
      </x:c>
      <x:c r="O130" s="8" t="str">
        <x:f>IF(AND(ISNUMBER(X130),ISNUMBER(N130),N130&gt;=0),X130*N130,"")</x:f>
      </x:c>
      <x:c r="P130" s="3"/>
      <x:c r="Q130" s="3"/>
      <x:c r="R130" s="3"/>
      <x:c r="S130" s="3"/>
      <x:c r="T130" s="3"/>
      <x:c r="U130" s="8" t="str">
        <x:f>IF(M130="Mapped",IF(OR(_xlfn.XLOOKUP(A130&amp;"|"&amp;K130,'SOW caps'!$N$7:$N$36,'SOW caps'!$M$7:$M$36,"")="Ready",_xlfn.XLOOKUP(A130&amp;"|"&amp;K130,'SOW caps'!$N$7:$N$36,'SOW caps'!$M$7:$M$36,"")="No hours"),_xlfn.XLOOKUP(A130&amp;"|"&amp;K130,'SOW caps'!$N$7:$N$36,'SOW caps'!$O$7:$O$36,""),""),"")</x:f>
      </x:c>
      <x:c r="V130" s="8" t="str">
        <x:f>IF(AND(ISNUMBER(U130),ISNUMBER(X130)),ROUND(SUMIFS($X$7:X130,$A$7:A130,A130,$K$7:K130,K130,$M$7:M130,"Mapped")*U130,2)-ROUND((SUMIFS($X$7:X130,$A$7:A130,A130,$K$7:K130,K130,$M$7:M130,"Mapped")-X130)*U130,2),"")</x:f>
      </x:c>
      <x:c r="W130" s="1" t="str">
        <x:f>IF(B130="","",IF(OR(NOT(ISNUMBER(I130)),I130&lt;0),"Invalid hours",IF(NOT(ISNUMBER(R130)),"Manual hours",IF(ROUND(I130*3600000,0)=R130,"Source hours","Adjusted hours"))))</x:f>
      </x:c>
      <x:c r="X130" s="10" t="str">
        <x:f>IF(B130="","",IF(AND(ISNUMBER(I130),I130&gt;=0,Q130="In period"),I130,""))</x:f>
      </x:c>
    </x:row>
    <x:row r="131" ht="23" customHeight="1">
      <x:c r="A131" s="3"/>
      <x:c r="B131" s="3"/>
      <x:c r="C131" s="3"/>
      <x:c r="D131" s="3"/>
      <x:c r="E131" s="3"/>
      <x:c r="F131" s="3"/>
      <x:c r="G131" s="3"/>
      <x:c r="H131" s="3"/>
      <x:c r="I131" s="9"/>
      <x:c r="J131" s="3"/>
      <x:c r="K131" s="3"/>
      <x:c r="L131" s="3"/>
      <x:c r="M131" s="1" t="str">
        <x:f>IF(B131="","",IF(W131="Invalid hours","Invalid hours",IF(NOT(ISNUMBER(X131)),"Excluded",IF(AND(J131&lt;&gt;"",K131&lt;&gt;"",L131&lt;&gt;"",COUNTIF('SOW caps'!$N$7:$N$36,A131&amp;"|"&amp;K131)=1),"Mapped","Needs allocation"))))</x:f>
      </x:c>
      <x:c r="N131" s="8" t="str">
        <x:f>IF(B131="","",IF(M131="Mapped",_xlfn.XLOOKUP(A131&amp;"|"&amp;K131,'SOW caps'!$N$7:$N$36,'SOW caps'!$E$7:$E$36,""),IF(ISNUMBER('SOW caps'!$B$3),'SOW caps'!$B$3,"")))</x:f>
      </x:c>
      <x:c r="O131" s="8" t="str">
        <x:f>IF(AND(ISNUMBER(X131),ISNUMBER(N131),N131&gt;=0),X131*N131,"")</x:f>
      </x:c>
      <x:c r="P131" s="3"/>
      <x:c r="Q131" s="3"/>
      <x:c r="R131" s="3"/>
      <x:c r="S131" s="3"/>
      <x:c r="T131" s="3"/>
      <x:c r="U131" s="8" t="str">
        <x:f>IF(M131="Mapped",IF(OR(_xlfn.XLOOKUP(A131&amp;"|"&amp;K131,'SOW caps'!$N$7:$N$36,'SOW caps'!$M$7:$M$36,"")="Ready",_xlfn.XLOOKUP(A131&amp;"|"&amp;K131,'SOW caps'!$N$7:$N$36,'SOW caps'!$M$7:$M$36,"")="No hours"),_xlfn.XLOOKUP(A131&amp;"|"&amp;K131,'SOW caps'!$N$7:$N$36,'SOW caps'!$O$7:$O$36,""),""),"")</x:f>
      </x:c>
      <x:c r="V131" s="8" t="str">
        <x:f>IF(AND(ISNUMBER(U131),ISNUMBER(X131)),ROUND(SUMIFS($X$7:X131,$A$7:A131,A131,$K$7:K131,K131,$M$7:M131,"Mapped")*U131,2)-ROUND((SUMIFS($X$7:X131,$A$7:A131,A131,$K$7:K131,K131,$M$7:M131,"Mapped")-X131)*U131,2),"")</x:f>
      </x:c>
      <x:c r="W131" s="1" t="str">
        <x:f>IF(B131="","",IF(OR(NOT(ISNUMBER(I131)),I131&lt;0),"Invalid hours",IF(NOT(ISNUMBER(R131)),"Manual hours",IF(ROUND(I131*3600000,0)=R131,"Source hours","Adjusted hours"))))</x:f>
      </x:c>
      <x:c r="X131" s="10" t="str">
        <x:f>IF(B131="","",IF(AND(ISNUMBER(I131),I131&gt;=0,Q131="In period"),I131,""))</x:f>
      </x:c>
    </x:row>
    <x:row r="132" ht="23" customHeight="1">
      <x:c r="A132" s="3"/>
      <x:c r="B132" s="3"/>
      <x:c r="C132" s="3"/>
      <x:c r="D132" s="3"/>
      <x:c r="E132" s="3"/>
      <x:c r="F132" s="3"/>
      <x:c r="G132" s="3"/>
      <x:c r="H132" s="3"/>
      <x:c r="I132" s="9"/>
      <x:c r="J132" s="3"/>
      <x:c r="K132" s="3"/>
      <x:c r="L132" s="3"/>
      <x:c r="M132" s="1" t="str">
        <x:f>IF(B132="","",IF(W132="Invalid hours","Invalid hours",IF(NOT(ISNUMBER(X132)),"Excluded",IF(AND(J132&lt;&gt;"",K132&lt;&gt;"",L132&lt;&gt;"",COUNTIF('SOW caps'!$N$7:$N$36,A132&amp;"|"&amp;K132)=1),"Mapped","Needs allocation"))))</x:f>
      </x:c>
      <x:c r="N132" s="8" t="str">
        <x:f>IF(B132="","",IF(M132="Mapped",_xlfn.XLOOKUP(A132&amp;"|"&amp;K132,'SOW caps'!$N$7:$N$36,'SOW caps'!$E$7:$E$36,""),IF(ISNUMBER('SOW caps'!$B$3),'SOW caps'!$B$3,"")))</x:f>
      </x:c>
      <x:c r="O132" s="8" t="str">
        <x:f>IF(AND(ISNUMBER(X132),ISNUMBER(N132),N132&gt;=0),X132*N132,"")</x:f>
      </x:c>
      <x:c r="P132" s="3"/>
      <x:c r="Q132" s="3"/>
      <x:c r="R132" s="3"/>
      <x:c r="S132" s="3"/>
      <x:c r="T132" s="3"/>
      <x:c r="U132" s="8" t="str">
        <x:f>IF(M132="Mapped",IF(OR(_xlfn.XLOOKUP(A132&amp;"|"&amp;K132,'SOW caps'!$N$7:$N$36,'SOW caps'!$M$7:$M$36,"")="Ready",_xlfn.XLOOKUP(A132&amp;"|"&amp;K132,'SOW caps'!$N$7:$N$36,'SOW caps'!$M$7:$M$36,"")="No hours"),_xlfn.XLOOKUP(A132&amp;"|"&amp;K132,'SOW caps'!$N$7:$N$36,'SOW caps'!$O$7:$O$36,""),""),"")</x:f>
      </x:c>
      <x:c r="V132" s="8" t="str">
        <x:f>IF(AND(ISNUMBER(U132),ISNUMBER(X132)),ROUND(SUMIFS($X$7:X132,$A$7:A132,A132,$K$7:K132,K132,$M$7:M132,"Mapped")*U132,2)-ROUND((SUMIFS($X$7:X132,$A$7:A132,A132,$K$7:K132,K132,$M$7:M132,"Mapped")-X132)*U132,2),"")</x:f>
      </x:c>
      <x:c r="W132" s="1" t="str">
        <x:f>IF(B132="","",IF(OR(NOT(ISNUMBER(I132)),I132&lt;0),"Invalid hours",IF(NOT(ISNUMBER(R132)),"Manual hours",IF(ROUND(I132*3600000,0)=R132,"Source hours","Adjusted hours"))))</x:f>
      </x:c>
      <x:c r="X132" s="10" t="str">
        <x:f>IF(B132="","",IF(AND(ISNUMBER(I132),I132&gt;=0,Q132="In period"),I132,""))</x:f>
      </x:c>
    </x:row>
    <x:row r="133" ht="23" customHeight="1">
      <x:c r="A133" s="3"/>
      <x:c r="B133" s="3"/>
      <x:c r="C133" s="3"/>
      <x:c r="D133" s="3"/>
      <x:c r="E133" s="3"/>
      <x:c r="F133" s="3"/>
      <x:c r="G133" s="3"/>
      <x:c r="H133" s="3"/>
      <x:c r="I133" s="9"/>
      <x:c r="J133" s="3"/>
      <x:c r="K133" s="3"/>
      <x:c r="L133" s="3"/>
      <x:c r="M133" s="1" t="str">
        <x:f>IF(B133="","",IF(W133="Invalid hours","Invalid hours",IF(NOT(ISNUMBER(X133)),"Excluded",IF(AND(J133&lt;&gt;"",K133&lt;&gt;"",L133&lt;&gt;"",COUNTIF('SOW caps'!$N$7:$N$36,A133&amp;"|"&amp;K133)=1),"Mapped","Needs allocation"))))</x:f>
      </x:c>
      <x:c r="N133" s="8" t="str">
        <x:f>IF(B133="","",IF(M133="Mapped",_xlfn.XLOOKUP(A133&amp;"|"&amp;K133,'SOW caps'!$N$7:$N$36,'SOW caps'!$E$7:$E$36,""),IF(ISNUMBER('SOW caps'!$B$3),'SOW caps'!$B$3,"")))</x:f>
      </x:c>
      <x:c r="O133" s="8" t="str">
        <x:f>IF(AND(ISNUMBER(X133),ISNUMBER(N133),N133&gt;=0),X133*N133,"")</x:f>
      </x:c>
      <x:c r="P133" s="3"/>
      <x:c r="Q133" s="3"/>
      <x:c r="R133" s="3"/>
      <x:c r="S133" s="3"/>
      <x:c r="T133" s="3"/>
      <x:c r="U133" s="8" t="str">
        <x:f>IF(M133="Mapped",IF(OR(_xlfn.XLOOKUP(A133&amp;"|"&amp;K133,'SOW caps'!$N$7:$N$36,'SOW caps'!$M$7:$M$36,"")="Ready",_xlfn.XLOOKUP(A133&amp;"|"&amp;K133,'SOW caps'!$N$7:$N$36,'SOW caps'!$M$7:$M$36,"")="No hours"),_xlfn.XLOOKUP(A133&amp;"|"&amp;K133,'SOW caps'!$N$7:$N$36,'SOW caps'!$O$7:$O$36,""),""),"")</x:f>
      </x:c>
      <x:c r="V133" s="8" t="str">
        <x:f>IF(AND(ISNUMBER(U133),ISNUMBER(X133)),ROUND(SUMIFS($X$7:X133,$A$7:A133,A133,$K$7:K133,K133,$M$7:M133,"Mapped")*U133,2)-ROUND((SUMIFS($X$7:X133,$A$7:A133,A133,$K$7:K133,K133,$M$7:M133,"Mapped")-X133)*U133,2),"")</x:f>
      </x:c>
      <x:c r="W133" s="1" t="str">
        <x:f>IF(B133="","",IF(OR(NOT(ISNUMBER(I133)),I133&lt;0),"Invalid hours",IF(NOT(ISNUMBER(R133)),"Manual hours",IF(ROUND(I133*3600000,0)=R133,"Source hours","Adjusted hours"))))</x:f>
      </x:c>
      <x:c r="X133" s="10" t="str">
        <x:f>IF(B133="","",IF(AND(ISNUMBER(I133),I133&gt;=0,Q133="In period"),I133,""))</x:f>
      </x:c>
    </x:row>
    <x:row r="134" ht="23" customHeight="1">
      <x:c r="A134" s="3"/>
      <x:c r="B134" s="3"/>
      <x:c r="C134" s="3"/>
      <x:c r="D134" s="3"/>
      <x:c r="E134" s="3"/>
      <x:c r="F134" s="3"/>
      <x:c r="G134" s="3"/>
      <x:c r="H134" s="3"/>
      <x:c r="I134" s="9"/>
      <x:c r="J134" s="3"/>
      <x:c r="K134" s="3"/>
      <x:c r="L134" s="3"/>
      <x:c r="M134" s="1" t="str">
        <x:f>IF(B134="","",IF(W134="Invalid hours","Invalid hours",IF(NOT(ISNUMBER(X134)),"Excluded",IF(AND(J134&lt;&gt;"",K134&lt;&gt;"",L134&lt;&gt;"",COUNTIF('SOW caps'!$N$7:$N$36,A134&amp;"|"&amp;K134)=1),"Mapped","Needs allocation"))))</x:f>
      </x:c>
      <x:c r="N134" s="8" t="str">
        <x:f>IF(B134="","",IF(M134="Mapped",_xlfn.XLOOKUP(A134&amp;"|"&amp;K134,'SOW caps'!$N$7:$N$36,'SOW caps'!$E$7:$E$36,""),IF(ISNUMBER('SOW caps'!$B$3),'SOW caps'!$B$3,"")))</x:f>
      </x:c>
      <x:c r="O134" s="8" t="str">
        <x:f>IF(AND(ISNUMBER(X134),ISNUMBER(N134),N134&gt;=0),X134*N134,"")</x:f>
      </x:c>
      <x:c r="P134" s="3"/>
      <x:c r="Q134" s="3"/>
      <x:c r="R134" s="3"/>
      <x:c r="S134" s="3"/>
      <x:c r="T134" s="3"/>
      <x:c r="U134" s="8" t="str">
        <x:f>IF(M134="Mapped",IF(OR(_xlfn.XLOOKUP(A134&amp;"|"&amp;K134,'SOW caps'!$N$7:$N$36,'SOW caps'!$M$7:$M$36,"")="Ready",_xlfn.XLOOKUP(A134&amp;"|"&amp;K134,'SOW caps'!$N$7:$N$36,'SOW caps'!$M$7:$M$36,"")="No hours"),_xlfn.XLOOKUP(A134&amp;"|"&amp;K134,'SOW caps'!$N$7:$N$36,'SOW caps'!$O$7:$O$36,""),""),"")</x:f>
      </x:c>
      <x:c r="V134" s="8" t="str">
        <x:f>IF(AND(ISNUMBER(U134),ISNUMBER(X134)),ROUND(SUMIFS($X$7:X134,$A$7:A134,A134,$K$7:K134,K134,$M$7:M134,"Mapped")*U134,2)-ROUND((SUMIFS($X$7:X134,$A$7:A134,A134,$K$7:K134,K134,$M$7:M134,"Mapped")-X134)*U134,2),"")</x:f>
      </x:c>
      <x:c r="W134" s="1" t="str">
        <x:f>IF(B134="","",IF(OR(NOT(ISNUMBER(I134)),I134&lt;0),"Invalid hours",IF(NOT(ISNUMBER(R134)),"Manual hours",IF(ROUND(I134*3600000,0)=R134,"Source hours","Adjusted hours"))))</x:f>
      </x:c>
      <x:c r="X134" s="10" t="str">
        <x:f>IF(B134="","",IF(AND(ISNUMBER(I134),I134&gt;=0,Q134="In period"),I134,""))</x:f>
      </x:c>
    </x:row>
    <x:row r="135" ht="23" customHeight="1">
      <x:c r="A135" s="3"/>
      <x:c r="B135" s="3"/>
      <x:c r="C135" s="3"/>
      <x:c r="D135" s="3"/>
      <x:c r="E135" s="3"/>
      <x:c r="F135" s="3"/>
      <x:c r="G135" s="3"/>
      <x:c r="H135" s="3"/>
      <x:c r="I135" s="9"/>
      <x:c r="J135" s="3"/>
      <x:c r="K135" s="3"/>
      <x:c r="L135" s="3"/>
      <x:c r="M135" s="1" t="str">
        <x:f>IF(B135="","",IF(W135="Invalid hours","Invalid hours",IF(NOT(ISNUMBER(X135)),"Excluded",IF(AND(J135&lt;&gt;"",K135&lt;&gt;"",L135&lt;&gt;"",COUNTIF('SOW caps'!$N$7:$N$36,A135&amp;"|"&amp;K135)=1),"Mapped","Needs allocation"))))</x:f>
      </x:c>
      <x:c r="N135" s="8" t="str">
        <x:f>IF(B135="","",IF(M135="Mapped",_xlfn.XLOOKUP(A135&amp;"|"&amp;K135,'SOW caps'!$N$7:$N$36,'SOW caps'!$E$7:$E$36,""),IF(ISNUMBER('SOW caps'!$B$3),'SOW caps'!$B$3,"")))</x:f>
      </x:c>
      <x:c r="O135" s="8" t="str">
        <x:f>IF(AND(ISNUMBER(X135),ISNUMBER(N135),N135&gt;=0),X135*N135,"")</x:f>
      </x:c>
      <x:c r="P135" s="3"/>
      <x:c r="Q135" s="3"/>
      <x:c r="R135" s="3"/>
      <x:c r="S135" s="3"/>
      <x:c r="T135" s="3"/>
      <x:c r="U135" s="8" t="str">
        <x:f>IF(M135="Mapped",IF(OR(_xlfn.XLOOKUP(A135&amp;"|"&amp;K135,'SOW caps'!$N$7:$N$36,'SOW caps'!$M$7:$M$36,"")="Ready",_xlfn.XLOOKUP(A135&amp;"|"&amp;K135,'SOW caps'!$N$7:$N$36,'SOW caps'!$M$7:$M$36,"")="No hours"),_xlfn.XLOOKUP(A135&amp;"|"&amp;K135,'SOW caps'!$N$7:$N$36,'SOW caps'!$O$7:$O$36,""),""),"")</x:f>
      </x:c>
      <x:c r="V135" s="8" t="str">
        <x:f>IF(AND(ISNUMBER(U135),ISNUMBER(X135)),ROUND(SUMIFS($X$7:X135,$A$7:A135,A135,$K$7:K135,K135,$M$7:M135,"Mapped")*U135,2)-ROUND((SUMIFS($X$7:X135,$A$7:A135,A135,$K$7:K135,K135,$M$7:M135,"Mapped")-X135)*U135,2),"")</x:f>
      </x:c>
      <x:c r="W135" s="1" t="str">
        <x:f>IF(B135="","",IF(OR(NOT(ISNUMBER(I135)),I135&lt;0),"Invalid hours",IF(NOT(ISNUMBER(R135)),"Manual hours",IF(ROUND(I135*3600000,0)=R135,"Source hours","Adjusted hours"))))</x:f>
      </x:c>
      <x:c r="X135" s="10" t="str">
        <x:f>IF(B135="","",IF(AND(ISNUMBER(I135),I135&gt;=0,Q135="In period"),I135,""))</x:f>
      </x:c>
    </x:row>
    <x:row r="136" ht="23" customHeight="1">
      <x:c r="A136" s="3"/>
      <x:c r="B136" s="3"/>
      <x:c r="C136" s="3"/>
      <x:c r="D136" s="3"/>
      <x:c r="E136" s="3"/>
      <x:c r="F136" s="3"/>
      <x:c r="G136" s="3"/>
      <x:c r="H136" s="3"/>
      <x:c r="I136" s="9"/>
      <x:c r="J136" s="3"/>
      <x:c r="K136" s="3"/>
      <x:c r="L136" s="3"/>
      <x:c r="M136" s="1" t="str">
        <x:f>IF(B136="","",IF(W136="Invalid hours","Invalid hours",IF(NOT(ISNUMBER(X136)),"Excluded",IF(AND(J136&lt;&gt;"",K136&lt;&gt;"",L136&lt;&gt;"",COUNTIF('SOW caps'!$N$7:$N$36,A136&amp;"|"&amp;K136)=1),"Mapped","Needs allocation"))))</x:f>
      </x:c>
      <x:c r="N136" s="8" t="str">
        <x:f>IF(B136="","",IF(M136="Mapped",_xlfn.XLOOKUP(A136&amp;"|"&amp;K136,'SOW caps'!$N$7:$N$36,'SOW caps'!$E$7:$E$36,""),IF(ISNUMBER('SOW caps'!$B$3),'SOW caps'!$B$3,"")))</x:f>
      </x:c>
      <x:c r="O136" s="8" t="str">
        <x:f>IF(AND(ISNUMBER(X136),ISNUMBER(N136),N136&gt;=0),X136*N136,"")</x:f>
      </x:c>
      <x:c r="P136" s="3"/>
      <x:c r="Q136" s="3"/>
      <x:c r="R136" s="3"/>
      <x:c r="S136" s="3"/>
      <x:c r="T136" s="3"/>
      <x:c r="U136" s="8" t="str">
        <x:f>IF(M136="Mapped",IF(OR(_xlfn.XLOOKUP(A136&amp;"|"&amp;K136,'SOW caps'!$N$7:$N$36,'SOW caps'!$M$7:$M$36,"")="Ready",_xlfn.XLOOKUP(A136&amp;"|"&amp;K136,'SOW caps'!$N$7:$N$36,'SOW caps'!$M$7:$M$36,"")="No hours"),_xlfn.XLOOKUP(A136&amp;"|"&amp;K136,'SOW caps'!$N$7:$N$36,'SOW caps'!$O$7:$O$36,""),""),"")</x:f>
      </x:c>
      <x:c r="V136" s="8" t="str">
        <x:f>IF(AND(ISNUMBER(U136),ISNUMBER(X136)),ROUND(SUMIFS($X$7:X136,$A$7:A136,A136,$K$7:K136,K136,$M$7:M136,"Mapped")*U136,2)-ROUND((SUMIFS($X$7:X136,$A$7:A136,A136,$K$7:K136,K136,$M$7:M136,"Mapped")-X136)*U136,2),"")</x:f>
      </x:c>
      <x:c r="W136" s="1" t="str">
        <x:f>IF(B136="","",IF(OR(NOT(ISNUMBER(I136)),I136&lt;0),"Invalid hours",IF(NOT(ISNUMBER(R136)),"Manual hours",IF(ROUND(I136*3600000,0)=R136,"Source hours","Adjusted hours"))))</x:f>
      </x:c>
      <x:c r="X136" s="10" t="str">
        <x:f>IF(B136="","",IF(AND(ISNUMBER(I136),I136&gt;=0,Q136="In period"),I136,""))</x:f>
      </x:c>
    </x:row>
    <x:row r="137" ht="23" customHeight="1">
      <x:c r="A137" s="3"/>
      <x:c r="B137" s="3"/>
      <x:c r="C137" s="3"/>
      <x:c r="D137" s="3"/>
      <x:c r="E137" s="3"/>
      <x:c r="F137" s="3"/>
      <x:c r="G137" s="3"/>
      <x:c r="H137" s="3"/>
      <x:c r="I137" s="9"/>
      <x:c r="J137" s="3"/>
      <x:c r="K137" s="3"/>
      <x:c r="L137" s="3"/>
      <x:c r="M137" s="1" t="str">
        <x:f>IF(B137="","",IF(W137="Invalid hours","Invalid hours",IF(NOT(ISNUMBER(X137)),"Excluded",IF(AND(J137&lt;&gt;"",K137&lt;&gt;"",L137&lt;&gt;"",COUNTIF('SOW caps'!$N$7:$N$36,A137&amp;"|"&amp;K137)=1),"Mapped","Needs allocation"))))</x:f>
      </x:c>
      <x:c r="N137" s="8" t="str">
        <x:f>IF(B137="","",IF(M137="Mapped",_xlfn.XLOOKUP(A137&amp;"|"&amp;K137,'SOW caps'!$N$7:$N$36,'SOW caps'!$E$7:$E$36,""),IF(ISNUMBER('SOW caps'!$B$3),'SOW caps'!$B$3,"")))</x:f>
      </x:c>
      <x:c r="O137" s="8" t="str">
        <x:f>IF(AND(ISNUMBER(X137),ISNUMBER(N137),N137&gt;=0),X137*N137,"")</x:f>
      </x:c>
      <x:c r="P137" s="3"/>
      <x:c r="Q137" s="3"/>
      <x:c r="R137" s="3"/>
      <x:c r="S137" s="3"/>
      <x:c r="T137" s="3"/>
      <x:c r="U137" s="8" t="str">
        <x:f>IF(M137="Mapped",IF(OR(_xlfn.XLOOKUP(A137&amp;"|"&amp;K137,'SOW caps'!$N$7:$N$36,'SOW caps'!$M$7:$M$36,"")="Ready",_xlfn.XLOOKUP(A137&amp;"|"&amp;K137,'SOW caps'!$N$7:$N$36,'SOW caps'!$M$7:$M$36,"")="No hours"),_xlfn.XLOOKUP(A137&amp;"|"&amp;K137,'SOW caps'!$N$7:$N$36,'SOW caps'!$O$7:$O$36,""),""),"")</x:f>
      </x:c>
      <x:c r="V137" s="8" t="str">
        <x:f>IF(AND(ISNUMBER(U137),ISNUMBER(X137)),ROUND(SUMIFS($X$7:X137,$A$7:A137,A137,$K$7:K137,K137,$M$7:M137,"Mapped")*U137,2)-ROUND((SUMIFS($X$7:X137,$A$7:A137,A137,$K$7:K137,K137,$M$7:M137,"Mapped")-X137)*U137,2),"")</x:f>
      </x:c>
      <x:c r="W137" s="1" t="str">
        <x:f>IF(B137="","",IF(OR(NOT(ISNUMBER(I137)),I137&lt;0),"Invalid hours",IF(NOT(ISNUMBER(R137)),"Manual hours",IF(ROUND(I137*3600000,0)=R137,"Source hours","Adjusted hours"))))</x:f>
      </x:c>
      <x:c r="X137" s="10" t="str">
        <x:f>IF(B137="","",IF(AND(ISNUMBER(I137),I137&gt;=0,Q137="In period"),I137,""))</x:f>
      </x:c>
    </x:row>
    <x:row r="138" ht="23" customHeight="1">
      <x:c r="A138" s="3"/>
      <x:c r="B138" s="3"/>
      <x:c r="C138" s="3"/>
      <x:c r="D138" s="3"/>
      <x:c r="E138" s="3"/>
      <x:c r="F138" s="3"/>
      <x:c r="G138" s="3"/>
      <x:c r="H138" s="3"/>
      <x:c r="I138" s="9"/>
      <x:c r="J138" s="3"/>
      <x:c r="K138" s="3"/>
      <x:c r="L138" s="3"/>
      <x:c r="M138" s="1" t="str">
        <x:f>IF(B138="","",IF(W138="Invalid hours","Invalid hours",IF(NOT(ISNUMBER(X138)),"Excluded",IF(AND(J138&lt;&gt;"",K138&lt;&gt;"",L138&lt;&gt;"",COUNTIF('SOW caps'!$N$7:$N$36,A138&amp;"|"&amp;K138)=1),"Mapped","Needs allocation"))))</x:f>
      </x:c>
      <x:c r="N138" s="8" t="str">
        <x:f>IF(B138="","",IF(M138="Mapped",_xlfn.XLOOKUP(A138&amp;"|"&amp;K138,'SOW caps'!$N$7:$N$36,'SOW caps'!$E$7:$E$36,""),IF(ISNUMBER('SOW caps'!$B$3),'SOW caps'!$B$3,"")))</x:f>
      </x:c>
      <x:c r="O138" s="8" t="str">
        <x:f>IF(AND(ISNUMBER(X138),ISNUMBER(N138),N138&gt;=0),X138*N138,"")</x:f>
      </x:c>
      <x:c r="P138" s="3"/>
      <x:c r="Q138" s="3"/>
      <x:c r="R138" s="3"/>
      <x:c r="S138" s="3"/>
      <x:c r="T138" s="3"/>
      <x:c r="U138" s="8" t="str">
        <x:f>IF(M138="Mapped",IF(OR(_xlfn.XLOOKUP(A138&amp;"|"&amp;K138,'SOW caps'!$N$7:$N$36,'SOW caps'!$M$7:$M$36,"")="Ready",_xlfn.XLOOKUP(A138&amp;"|"&amp;K138,'SOW caps'!$N$7:$N$36,'SOW caps'!$M$7:$M$36,"")="No hours"),_xlfn.XLOOKUP(A138&amp;"|"&amp;K138,'SOW caps'!$N$7:$N$36,'SOW caps'!$O$7:$O$36,""),""),"")</x:f>
      </x:c>
      <x:c r="V138" s="8" t="str">
        <x:f>IF(AND(ISNUMBER(U138),ISNUMBER(X138)),ROUND(SUMIFS($X$7:X138,$A$7:A138,A138,$K$7:K138,K138,$M$7:M138,"Mapped")*U138,2)-ROUND((SUMIFS($X$7:X138,$A$7:A138,A138,$K$7:K138,K138,$M$7:M138,"Mapped")-X138)*U138,2),"")</x:f>
      </x:c>
      <x:c r="W138" s="1" t="str">
        <x:f>IF(B138="","",IF(OR(NOT(ISNUMBER(I138)),I138&lt;0),"Invalid hours",IF(NOT(ISNUMBER(R138)),"Manual hours",IF(ROUND(I138*3600000,0)=R138,"Source hours","Adjusted hours"))))</x:f>
      </x:c>
      <x:c r="X138" s="10" t="str">
        <x:f>IF(B138="","",IF(AND(ISNUMBER(I138),I138&gt;=0,Q138="In period"),I138,""))</x:f>
      </x:c>
    </x:row>
    <x:row r="139" ht="23" customHeight="1">
      <x:c r="A139" s="3"/>
      <x:c r="B139" s="3"/>
      <x:c r="C139" s="3"/>
      <x:c r="D139" s="3"/>
      <x:c r="E139" s="3"/>
      <x:c r="F139" s="3"/>
      <x:c r="G139" s="3"/>
      <x:c r="H139" s="3"/>
      <x:c r="I139" s="9"/>
      <x:c r="J139" s="3"/>
      <x:c r="K139" s="3"/>
      <x:c r="L139" s="3"/>
      <x:c r="M139" s="1" t="str">
        <x:f>IF(B139="","",IF(W139="Invalid hours","Invalid hours",IF(NOT(ISNUMBER(X139)),"Excluded",IF(AND(J139&lt;&gt;"",K139&lt;&gt;"",L139&lt;&gt;"",COUNTIF('SOW caps'!$N$7:$N$36,A139&amp;"|"&amp;K139)=1),"Mapped","Needs allocation"))))</x:f>
      </x:c>
      <x:c r="N139" s="8" t="str">
        <x:f>IF(B139="","",IF(M139="Mapped",_xlfn.XLOOKUP(A139&amp;"|"&amp;K139,'SOW caps'!$N$7:$N$36,'SOW caps'!$E$7:$E$36,""),IF(ISNUMBER('SOW caps'!$B$3),'SOW caps'!$B$3,"")))</x:f>
      </x:c>
      <x:c r="O139" s="8" t="str">
        <x:f>IF(AND(ISNUMBER(X139),ISNUMBER(N139),N139&gt;=0),X139*N139,"")</x:f>
      </x:c>
      <x:c r="P139" s="3"/>
      <x:c r="Q139" s="3"/>
      <x:c r="R139" s="3"/>
      <x:c r="S139" s="3"/>
      <x:c r="T139" s="3"/>
      <x:c r="U139" s="8" t="str">
        <x:f>IF(M139="Mapped",IF(OR(_xlfn.XLOOKUP(A139&amp;"|"&amp;K139,'SOW caps'!$N$7:$N$36,'SOW caps'!$M$7:$M$36,"")="Ready",_xlfn.XLOOKUP(A139&amp;"|"&amp;K139,'SOW caps'!$N$7:$N$36,'SOW caps'!$M$7:$M$36,"")="No hours"),_xlfn.XLOOKUP(A139&amp;"|"&amp;K139,'SOW caps'!$N$7:$N$36,'SOW caps'!$O$7:$O$36,""),""),"")</x:f>
      </x:c>
      <x:c r="V139" s="8" t="str">
        <x:f>IF(AND(ISNUMBER(U139),ISNUMBER(X139)),ROUND(SUMIFS($X$7:X139,$A$7:A139,A139,$K$7:K139,K139,$M$7:M139,"Mapped")*U139,2)-ROUND((SUMIFS($X$7:X139,$A$7:A139,A139,$K$7:K139,K139,$M$7:M139,"Mapped")-X139)*U139,2),"")</x:f>
      </x:c>
      <x:c r="W139" s="1" t="str">
        <x:f>IF(B139="","",IF(OR(NOT(ISNUMBER(I139)),I139&lt;0),"Invalid hours",IF(NOT(ISNUMBER(R139)),"Manual hours",IF(ROUND(I139*3600000,0)=R139,"Source hours","Adjusted hours"))))</x:f>
      </x:c>
      <x:c r="X139" s="10" t="str">
        <x:f>IF(B139="","",IF(AND(ISNUMBER(I139),I139&gt;=0,Q139="In period"),I139,""))</x:f>
      </x:c>
    </x:row>
    <x:row r="140" ht="23" customHeight="1">
      <x:c r="A140" s="3"/>
      <x:c r="B140" s="3"/>
      <x:c r="C140" s="3"/>
      <x:c r="D140" s="3"/>
      <x:c r="E140" s="3"/>
      <x:c r="F140" s="3"/>
      <x:c r="G140" s="3"/>
      <x:c r="H140" s="3"/>
      <x:c r="I140" s="9"/>
      <x:c r="J140" s="3"/>
      <x:c r="K140" s="3"/>
      <x:c r="L140" s="3"/>
      <x:c r="M140" s="1" t="str">
        <x:f>IF(B140="","",IF(W140="Invalid hours","Invalid hours",IF(NOT(ISNUMBER(X140)),"Excluded",IF(AND(J140&lt;&gt;"",K140&lt;&gt;"",L140&lt;&gt;"",COUNTIF('SOW caps'!$N$7:$N$36,A140&amp;"|"&amp;K140)=1),"Mapped","Needs allocation"))))</x:f>
      </x:c>
      <x:c r="N140" s="8" t="str">
        <x:f>IF(B140="","",IF(M140="Mapped",_xlfn.XLOOKUP(A140&amp;"|"&amp;K140,'SOW caps'!$N$7:$N$36,'SOW caps'!$E$7:$E$36,""),IF(ISNUMBER('SOW caps'!$B$3),'SOW caps'!$B$3,"")))</x:f>
      </x:c>
      <x:c r="O140" s="8" t="str">
        <x:f>IF(AND(ISNUMBER(X140),ISNUMBER(N140),N140&gt;=0),X140*N140,"")</x:f>
      </x:c>
      <x:c r="P140" s="3"/>
      <x:c r="Q140" s="3"/>
      <x:c r="R140" s="3"/>
      <x:c r="S140" s="3"/>
      <x:c r="T140" s="3"/>
      <x:c r="U140" s="8" t="str">
        <x:f>IF(M140="Mapped",IF(OR(_xlfn.XLOOKUP(A140&amp;"|"&amp;K140,'SOW caps'!$N$7:$N$36,'SOW caps'!$M$7:$M$36,"")="Ready",_xlfn.XLOOKUP(A140&amp;"|"&amp;K140,'SOW caps'!$N$7:$N$36,'SOW caps'!$M$7:$M$36,"")="No hours"),_xlfn.XLOOKUP(A140&amp;"|"&amp;K140,'SOW caps'!$N$7:$N$36,'SOW caps'!$O$7:$O$36,""),""),"")</x:f>
      </x:c>
      <x:c r="V140" s="8" t="str">
        <x:f>IF(AND(ISNUMBER(U140),ISNUMBER(X140)),ROUND(SUMIFS($X$7:X140,$A$7:A140,A140,$K$7:K140,K140,$M$7:M140,"Mapped")*U140,2)-ROUND((SUMIFS($X$7:X140,$A$7:A140,A140,$K$7:K140,K140,$M$7:M140,"Mapped")-X140)*U140,2),"")</x:f>
      </x:c>
      <x:c r="W140" s="1" t="str">
        <x:f>IF(B140="","",IF(OR(NOT(ISNUMBER(I140)),I140&lt;0),"Invalid hours",IF(NOT(ISNUMBER(R140)),"Manual hours",IF(ROUND(I140*3600000,0)=R140,"Source hours","Adjusted hours"))))</x:f>
      </x:c>
      <x:c r="X140" s="10" t="str">
        <x:f>IF(B140="","",IF(AND(ISNUMBER(I140),I140&gt;=0,Q140="In period"),I140,""))</x:f>
      </x:c>
    </x:row>
    <x:row r="141" ht="23" customHeight="1">
      <x:c r="A141" s="3"/>
      <x:c r="B141" s="3"/>
      <x:c r="C141" s="3"/>
      <x:c r="D141" s="3"/>
      <x:c r="E141" s="3"/>
      <x:c r="F141" s="3"/>
      <x:c r="G141" s="3"/>
      <x:c r="H141" s="3"/>
      <x:c r="I141" s="9"/>
      <x:c r="J141" s="3"/>
      <x:c r="K141" s="3"/>
      <x:c r="L141" s="3"/>
      <x:c r="M141" s="1" t="str">
        <x:f>IF(B141="","",IF(W141="Invalid hours","Invalid hours",IF(NOT(ISNUMBER(X141)),"Excluded",IF(AND(J141&lt;&gt;"",K141&lt;&gt;"",L141&lt;&gt;"",COUNTIF('SOW caps'!$N$7:$N$36,A141&amp;"|"&amp;K141)=1),"Mapped","Needs allocation"))))</x:f>
      </x:c>
      <x:c r="N141" s="8" t="str">
        <x:f>IF(B141="","",IF(M141="Mapped",_xlfn.XLOOKUP(A141&amp;"|"&amp;K141,'SOW caps'!$N$7:$N$36,'SOW caps'!$E$7:$E$36,""),IF(ISNUMBER('SOW caps'!$B$3),'SOW caps'!$B$3,"")))</x:f>
      </x:c>
      <x:c r="O141" s="8" t="str">
        <x:f>IF(AND(ISNUMBER(X141),ISNUMBER(N141),N141&gt;=0),X141*N141,"")</x:f>
      </x:c>
      <x:c r="P141" s="3"/>
      <x:c r="Q141" s="3"/>
      <x:c r="R141" s="3"/>
      <x:c r="S141" s="3"/>
      <x:c r="T141" s="3"/>
      <x:c r="U141" s="8" t="str">
        <x:f>IF(M141="Mapped",IF(OR(_xlfn.XLOOKUP(A141&amp;"|"&amp;K141,'SOW caps'!$N$7:$N$36,'SOW caps'!$M$7:$M$36,"")="Ready",_xlfn.XLOOKUP(A141&amp;"|"&amp;K141,'SOW caps'!$N$7:$N$36,'SOW caps'!$M$7:$M$36,"")="No hours"),_xlfn.XLOOKUP(A141&amp;"|"&amp;K141,'SOW caps'!$N$7:$N$36,'SOW caps'!$O$7:$O$36,""),""),"")</x:f>
      </x:c>
      <x:c r="V141" s="8" t="str">
        <x:f>IF(AND(ISNUMBER(U141),ISNUMBER(X141)),ROUND(SUMIFS($X$7:X141,$A$7:A141,A141,$K$7:K141,K141,$M$7:M141,"Mapped")*U141,2)-ROUND((SUMIFS($X$7:X141,$A$7:A141,A141,$K$7:K141,K141,$M$7:M141,"Mapped")-X141)*U141,2),"")</x:f>
      </x:c>
      <x:c r="W141" s="1" t="str">
        <x:f>IF(B141="","",IF(OR(NOT(ISNUMBER(I141)),I141&lt;0),"Invalid hours",IF(NOT(ISNUMBER(R141)),"Manual hours",IF(ROUND(I141*3600000,0)=R141,"Source hours","Adjusted hours"))))</x:f>
      </x:c>
      <x:c r="X141" s="10" t="str">
        <x:f>IF(B141="","",IF(AND(ISNUMBER(I141),I141&gt;=0,Q141="In period"),I141,""))</x:f>
      </x:c>
    </x:row>
    <x:row r="142" ht="23" customHeight="1">
      <x:c r="A142" s="3"/>
      <x:c r="B142" s="3"/>
      <x:c r="C142" s="3"/>
      <x:c r="D142" s="3"/>
      <x:c r="E142" s="3"/>
      <x:c r="F142" s="3"/>
      <x:c r="G142" s="3"/>
      <x:c r="H142" s="3"/>
      <x:c r="I142" s="9"/>
      <x:c r="J142" s="3"/>
      <x:c r="K142" s="3"/>
      <x:c r="L142" s="3"/>
      <x:c r="M142" s="1" t="str">
        <x:f>IF(B142="","",IF(W142="Invalid hours","Invalid hours",IF(NOT(ISNUMBER(X142)),"Excluded",IF(AND(J142&lt;&gt;"",K142&lt;&gt;"",L142&lt;&gt;"",COUNTIF('SOW caps'!$N$7:$N$36,A142&amp;"|"&amp;K142)=1),"Mapped","Needs allocation"))))</x:f>
      </x:c>
      <x:c r="N142" s="8" t="str">
        <x:f>IF(B142="","",IF(M142="Mapped",_xlfn.XLOOKUP(A142&amp;"|"&amp;K142,'SOW caps'!$N$7:$N$36,'SOW caps'!$E$7:$E$36,""),IF(ISNUMBER('SOW caps'!$B$3),'SOW caps'!$B$3,"")))</x:f>
      </x:c>
      <x:c r="O142" s="8" t="str">
        <x:f>IF(AND(ISNUMBER(X142),ISNUMBER(N142),N142&gt;=0),X142*N142,"")</x:f>
      </x:c>
      <x:c r="P142" s="3"/>
      <x:c r="Q142" s="3"/>
      <x:c r="R142" s="3"/>
      <x:c r="S142" s="3"/>
      <x:c r="T142" s="3"/>
      <x:c r="U142" s="8" t="str">
        <x:f>IF(M142="Mapped",IF(OR(_xlfn.XLOOKUP(A142&amp;"|"&amp;K142,'SOW caps'!$N$7:$N$36,'SOW caps'!$M$7:$M$36,"")="Ready",_xlfn.XLOOKUP(A142&amp;"|"&amp;K142,'SOW caps'!$N$7:$N$36,'SOW caps'!$M$7:$M$36,"")="No hours"),_xlfn.XLOOKUP(A142&amp;"|"&amp;K142,'SOW caps'!$N$7:$N$36,'SOW caps'!$O$7:$O$36,""),""),"")</x:f>
      </x:c>
      <x:c r="V142" s="8" t="str">
        <x:f>IF(AND(ISNUMBER(U142),ISNUMBER(X142)),ROUND(SUMIFS($X$7:X142,$A$7:A142,A142,$K$7:K142,K142,$M$7:M142,"Mapped")*U142,2)-ROUND((SUMIFS($X$7:X142,$A$7:A142,A142,$K$7:K142,K142,$M$7:M142,"Mapped")-X142)*U142,2),"")</x:f>
      </x:c>
      <x:c r="W142" s="1" t="str">
        <x:f>IF(B142="","",IF(OR(NOT(ISNUMBER(I142)),I142&lt;0),"Invalid hours",IF(NOT(ISNUMBER(R142)),"Manual hours",IF(ROUND(I142*3600000,0)=R142,"Source hours","Adjusted hours"))))</x:f>
      </x:c>
      <x:c r="X142" s="10" t="str">
        <x:f>IF(B142="","",IF(AND(ISNUMBER(I142),I142&gt;=0,Q142="In period"),I142,""))</x:f>
      </x:c>
    </x:row>
    <x:row r="143" ht="23" customHeight="1">
      <x:c r="A143" s="3"/>
      <x:c r="B143" s="3"/>
      <x:c r="C143" s="3"/>
      <x:c r="D143" s="3"/>
      <x:c r="E143" s="3"/>
      <x:c r="F143" s="3"/>
      <x:c r="G143" s="3"/>
      <x:c r="H143" s="3"/>
      <x:c r="I143" s="9"/>
      <x:c r="J143" s="3"/>
      <x:c r="K143" s="3"/>
      <x:c r="L143" s="3"/>
      <x:c r="M143" s="1" t="str">
        <x:f>IF(B143="","",IF(W143="Invalid hours","Invalid hours",IF(NOT(ISNUMBER(X143)),"Excluded",IF(AND(J143&lt;&gt;"",K143&lt;&gt;"",L143&lt;&gt;"",COUNTIF('SOW caps'!$N$7:$N$36,A143&amp;"|"&amp;K143)=1),"Mapped","Needs allocation"))))</x:f>
      </x:c>
      <x:c r="N143" s="8" t="str">
        <x:f>IF(B143="","",IF(M143="Mapped",_xlfn.XLOOKUP(A143&amp;"|"&amp;K143,'SOW caps'!$N$7:$N$36,'SOW caps'!$E$7:$E$36,""),IF(ISNUMBER('SOW caps'!$B$3),'SOW caps'!$B$3,"")))</x:f>
      </x:c>
      <x:c r="O143" s="8" t="str">
        <x:f>IF(AND(ISNUMBER(X143),ISNUMBER(N143),N143&gt;=0),X143*N143,"")</x:f>
      </x:c>
      <x:c r="P143" s="3"/>
      <x:c r="Q143" s="3"/>
      <x:c r="R143" s="3"/>
      <x:c r="S143" s="3"/>
      <x:c r="T143" s="3"/>
      <x:c r="U143" s="8" t="str">
        <x:f>IF(M143="Mapped",IF(OR(_xlfn.XLOOKUP(A143&amp;"|"&amp;K143,'SOW caps'!$N$7:$N$36,'SOW caps'!$M$7:$M$36,"")="Ready",_xlfn.XLOOKUP(A143&amp;"|"&amp;K143,'SOW caps'!$N$7:$N$36,'SOW caps'!$M$7:$M$36,"")="No hours"),_xlfn.XLOOKUP(A143&amp;"|"&amp;K143,'SOW caps'!$N$7:$N$36,'SOW caps'!$O$7:$O$36,""),""),"")</x:f>
      </x:c>
      <x:c r="V143" s="8" t="str">
        <x:f>IF(AND(ISNUMBER(U143),ISNUMBER(X143)),ROUND(SUMIFS($X$7:X143,$A$7:A143,A143,$K$7:K143,K143,$M$7:M143,"Mapped")*U143,2)-ROUND((SUMIFS($X$7:X143,$A$7:A143,A143,$K$7:K143,K143,$M$7:M143,"Mapped")-X143)*U143,2),"")</x:f>
      </x:c>
      <x:c r="W143" s="1" t="str">
        <x:f>IF(B143="","",IF(OR(NOT(ISNUMBER(I143)),I143&lt;0),"Invalid hours",IF(NOT(ISNUMBER(R143)),"Manual hours",IF(ROUND(I143*3600000,0)=R143,"Source hours","Adjusted hours"))))</x:f>
      </x:c>
      <x:c r="X143" s="10" t="str">
        <x:f>IF(B143="","",IF(AND(ISNUMBER(I143),I143&gt;=0,Q143="In period"),I143,""))</x:f>
      </x:c>
    </x:row>
    <x:row r="144" ht="23" customHeight="1">
      <x:c r="A144" s="3"/>
      <x:c r="B144" s="3"/>
      <x:c r="C144" s="3"/>
      <x:c r="D144" s="3"/>
      <x:c r="E144" s="3"/>
      <x:c r="F144" s="3"/>
      <x:c r="G144" s="3"/>
      <x:c r="H144" s="3"/>
      <x:c r="I144" s="9"/>
      <x:c r="J144" s="3"/>
      <x:c r="K144" s="3"/>
      <x:c r="L144" s="3"/>
      <x:c r="M144" s="1" t="str">
        <x:f>IF(B144="","",IF(W144="Invalid hours","Invalid hours",IF(NOT(ISNUMBER(X144)),"Excluded",IF(AND(J144&lt;&gt;"",K144&lt;&gt;"",L144&lt;&gt;"",COUNTIF('SOW caps'!$N$7:$N$36,A144&amp;"|"&amp;K144)=1),"Mapped","Needs allocation"))))</x:f>
      </x:c>
      <x:c r="N144" s="8" t="str">
        <x:f>IF(B144="","",IF(M144="Mapped",_xlfn.XLOOKUP(A144&amp;"|"&amp;K144,'SOW caps'!$N$7:$N$36,'SOW caps'!$E$7:$E$36,""),IF(ISNUMBER('SOW caps'!$B$3),'SOW caps'!$B$3,"")))</x:f>
      </x:c>
      <x:c r="O144" s="8" t="str">
        <x:f>IF(AND(ISNUMBER(X144),ISNUMBER(N144),N144&gt;=0),X144*N144,"")</x:f>
      </x:c>
      <x:c r="P144" s="3"/>
      <x:c r="Q144" s="3"/>
      <x:c r="R144" s="3"/>
      <x:c r="S144" s="3"/>
      <x:c r="T144" s="3"/>
      <x:c r="U144" s="8" t="str">
        <x:f>IF(M144="Mapped",IF(OR(_xlfn.XLOOKUP(A144&amp;"|"&amp;K144,'SOW caps'!$N$7:$N$36,'SOW caps'!$M$7:$M$36,"")="Ready",_xlfn.XLOOKUP(A144&amp;"|"&amp;K144,'SOW caps'!$N$7:$N$36,'SOW caps'!$M$7:$M$36,"")="No hours"),_xlfn.XLOOKUP(A144&amp;"|"&amp;K144,'SOW caps'!$N$7:$N$36,'SOW caps'!$O$7:$O$36,""),""),"")</x:f>
      </x:c>
      <x:c r="V144" s="8" t="str">
        <x:f>IF(AND(ISNUMBER(U144),ISNUMBER(X144)),ROUND(SUMIFS($X$7:X144,$A$7:A144,A144,$K$7:K144,K144,$M$7:M144,"Mapped")*U144,2)-ROUND((SUMIFS($X$7:X144,$A$7:A144,A144,$K$7:K144,K144,$M$7:M144,"Mapped")-X144)*U144,2),"")</x:f>
      </x:c>
      <x:c r="W144" s="1" t="str">
        <x:f>IF(B144="","",IF(OR(NOT(ISNUMBER(I144)),I144&lt;0),"Invalid hours",IF(NOT(ISNUMBER(R144)),"Manual hours",IF(ROUND(I144*3600000,0)=R144,"Source hours","Adjusted hours"))))</x:f>
      </x:c>
      <x:c r="X144" s="10" t="str">
        <x:f>IF(B144="","",IF(AND(ISNUMBER(I144),I144&gt;=0,Q144="In period"),I144,""))</x:f>
      </x:c>
    </x:row>
    <x:row r="145" ht="23" customHeight="1">
      <x:c r="A145" s="3"/>
      <x:c r="B145" s="3"/>
      <x:c r="C145" s="3"/>
      <x:c r="D145" s="3"/>
      <x:c r="E145" s="3"/>
      <x:c r="F145" s="3"/>
      <x:c r="G145" s="3"/>
      <x:c r="H145" s="3"/>
      <x:c r="I145" s="9"/>
      <x:c r="J145" s="3"/>
      <x:c r="K145" s="3"/>
      <x:c r="L145" s="3"/>
      <x:c r="M145" s="1" t="str">
        <x:f>IF(B145="","",IF(W145="Invalid hours","Invalid hours",IF(NOT(ISNUMBER(X145)),"Excluded",IF(AND(J145&lt;&gt;"",K145&lt;&gt;"",L145&lt;&gt;"",COUNTIF('SOW caps'!$N$7:$N$36,A145&amp;"|"&amp;K145)=1),"Mapped","Needs allocation"))))</x:f>
      </x:c>
      <x:c r="N145" s="8" t="str">
        <x:f>IF(B145="","",IF(M145="Mapped",_xlfn.XLOOKUP(A145&amp;"|"&amp;K145,'SOW caps'!$N$7:$N$36,'SOW caps'!$E$7:$E$36,""),IF(ISNUMBER('SOW caps'!$B$3),'SOW caps'!$B$3,"")))</x:f>
      </x:c>
      <x:c r="O145" s="8" t="str">
        <x:f>IF(AND(ISNUMBER(X145),ISNUMBER(N145),N145&gt;=0),X145*N145,"")</x:f>
      </x:c>
      <x:c r="P145" s="3"/>
      <x:c r="Q145" s="3"/>
      <x:c r="R145" s="3"/>
      <x:c r="S145" s="3"/>
      <x:c r="T145" s="3"/>
      <x:c r="U145" s="8" t="str">
        <x:f>IF(M145="Mapped",IF(OR(_xlfn.XLOOKUP(A145&amp;"|"&amp;K145,'SOW caps'!$N$7:$N$36,'SOW caps'!$M$7:$M$36,"")="Ready",_xlfn.XLOOKUP(A145&amp;"|"&amp;K145,'SOW caps'!$N$7:$N$36,'SOW caps'!$M$7:$M$36,"")="No hours"),_xlfn.XLOOKUP(A145&amp;"|"&amp;K145,'SOW caps'!$N$7:$N$36,'SOW caps'!$O$7:$O$36,""),""),"")</x:f>
      </x:c>
      <x:c r="V145" s="8" t="str">
        <x:f>IF(AND(ISNUMBER(U145),ISNUMBER(X145)),ROUND(SUMIFS($X$7:X145,$A$7:A145,A145,$K$7:K145,K145,$M$7:M145,"Mapped")*U145,2)-ROUND((SUMIFS($X$7:X145,$A$7:A145,A145,$K$7:K145,K145,$M$7:M145,"Mapped")-X145)*U145,2),"")</x:f>
      </x:c>
      <x:c r="W145" s="1" t="str">
        <x:f>IF(B145="","",IF(OR(NOT(ISNUMBER(I145)),I145&lt;0),"Invalid hours",IF(NOT(ISNUMBER(R145)),"Manual hours",IF(ROUND(I145*3600000,0)=R145,"Source hours","Adjusted hours"))))</x:f>
      </x:c>
      <x:c r="X145" s="10" t="str">
        <x:f>IF(B145="","",IF(AND(ISNUMBER(I145),I145&gt;=0,Q145="In period"),I145,""))</x:f>
      </x:c>
    </x:row>
    <x:row r="146" ht="23" customHeight="1">
      <x:c r="A146" s="3"/>
      <x:c r="B146" s="3"/>
      <x:c r="C146" s="3"/>
      <x:c r="D146" s="3"/>
      <x:c r="E146" s="3"/>
      <x:c r="F146" s="3"/>
      <x:c r="G146" s="3"/>
      <x:c r="H146" s="3"/>
      <x:c r="I146" s="9"/>
      <x:c r="J146" s="3"/>
      <x:c r="K146" s="3"/>
      <x:c r="L146" s="3"/>
      <x:c r="M146" s="1" t="str">
        <x:f>IF(B146="","",IF(W146="Invalid hours","Invalid hours",IF(NOT(ISNUMBER(X146)),"Excluded",IF(AND(J146&lt;&gt;"",K146&lt;&gt;"",L146&lt;&gt;"",COUNTIF('SOW caps'!$N$7:$N$36,A146&amp;"|"&amp;K146)=1),"Mapped","Needs allocation"))))</x:f>
      </x:c>
      <x:c r="N146" s="8" t="str">
        <x:f>IF(B146="","",IF(M146="Mapped",_xlfn.XLOOKUP(A146&amp;"|"&amp;K146,'SOW caps'!$N$7:$N$36,'SOW caps'!$E$7:$E$36,""),IF(ISNUMBER('SOW caps'!$B$3),'SOW caps'!$B$3,"")))</x:f>
      </x:c>
      <x:c r="O146" s="8" t="str">
        <x:f>IF(AND(ISNUMBER(X146),ISNUMBER(N146),N146&gt;=0),X146*N146,"")</x:f>
      </x:c>
      <x:c r="P146" s="3"/>
      <x:c r="Q146" s="3"/>
      <x:c r="R146" s="3"/>
      <x:c r="S146" s="3"/>
      <x:c r="T146" s="3"/>
      <x:c r="U146" s="8" t="str">
        <x:f>IF(M146="Mapped",IF(OR(_xlfn.XLOOKUP(A146&amp;"|"&amp;K146,'SOW caps'!$N$7:$N$36,'SOW caps'!$M$7:$M$36,"")="Ready",_xlfn.XLOOKUP(A146&amp;"|"&amp;K146,'SOW caps'!$N$7:$N$36,'SOW caps'!$M$7:$M$36,"")="No hours"),_xlfn.XLOOKUP(A146&amp;"|"&amp;K146,'SOW caps'!$N$7:$N$36,'SOW caps'!$O$7:$O$36,""),""),"")</x:f>
      </x:c>
      <x:c r="V146" s="8" t="str">
        <x:f>IF(AND(ISNUMBER(U146),ISNUMBER(X146)),ROUND(SUMIFS($X$7:X146,$A$7:A146,A146,$K$7:K146,K146,$M$7:M146,"Mapped")*U146,2)-ROUND((SUMIFS($X$7:X146,$A$7:A146,A146,$K$7:K146,K146,$M$7:M146,"Mapped")-X146)*U146,2),"")</x:f>
      </x:c>
      <x:c r="W146" s="1" t="str">
        <x:f>IF(B146="","",IF(OR(NOT(ISNUMBER(I146)),I146&lt;0),"Invalid hours",IF(NOT(ISNUMBER(R146)),"Manual hours",IF(ROUND(I146*3600000,0)=R146,"Source hours","Adjusted hours"))))</x:f>
      </x:c>
      <x:c r="X146" s="10" t="str">
        <x:f>IF(B146="","",IF(AND(ISNUMBER(I146),I146&gt;=0,Q146="In period"),I146,""))</x:f>
      </x:c>
    </x:row>
    <x:row r="147" ht="23" customHeight="1">
      <x:c r="A147" s="3"/>
      <x:c r="B147" s="3"/>
      <x:c r="C147" s="3"/>
      <x:c r="D147" s="3"/>
      <x:c r="E147" s="3"/>
      <x:c r="F147" s="3"/>
      <x:c r="G147" s="3"/>
      <x:c r="H147" s="3"/>
      <x:c r="I147" s="9"/>
      <x:c r="J147" s="3"/>
      <x:c r="K147" s="3"/>
      <x:c r="L147" s="3"/>
      <x:c r="M147" s="1" t="str">
        <x:f>IF(B147="","",IF(W147="Invalid hours","Invalid hours",IF(NOT(ISNUMBER(X147)),"Excluded",IF(AND(J147&lt;&gt;"",K147&lt;&gt;"",L147&lt;&gt;"",COUNTIF('SOW caps'!$N$7:$N$36,A147&amp;"|"&amp;K147)=1),"Mapped","Needs allocation"))))</x:f>
      </x:c>
      <x:c r="N147" s="8" t="str">
        <x:f>IF(B147="","",IF(M147="Mapped",_xlfn.XLOOKUP(A147&amp;"|"&amp;K147,'SOW caps'!$N$7:$N$36,'SOW caps'!$E$7:$E$36,""),IF(ISNUMBER('SOW caps'!$B$3),'SOW caps'!$B$3,"")))</x:f>
      </x:c>
      <x:c r="O147" s="8" t="str">
        <x:f>IF(AND(ISNUMBER(X147),ISNUMBER(N147),N147&gt;=0),X147*N147,"")</x:f>
      </x:c>
      <x:c r="P147" s="3"/>
      <x:c r="Q147" s="3"/>
      <x:c r="R147" s="3"/>
      <x:c r="S147" s="3"/>
      <x:c r="T147" s="3"/>
      <x:c r="U147" s="8" t="str">
        <x:f>IF(M147="Mapped",IF(OR(_xlfn.XLOOKUP(A147&amp;"|"&amp;K147,'SOW caps'!$N$7:$N$36,'SOW caps'!$M$7:$M$36,"")="Ready",_xlfn.XLOOKUP(A147&amp;"|"&amp;K147,'SOW caps'!$N$7:$N$36,'SOW caps'!$M$7:$M$36,"")="No hours"),_xlfn.XLOOKUP(A147&amp;"|"&amp;K147,'SOW caps'!$N$7:$N$36,'SOW caps'!$O$7:$O$36,""),""),"")</x:f>
      </x:c>
      <x:c r="V147" s="8" t="str">
        <x:f>IF(AND(ISNUMBER(U147),ISNUMBER(X147)),ROUND(SUMIFS($X$7:X147,$A$7:A147,A147,$K$7:K147,K147,$M$7:M147,"Mapped")*U147,2)-ROUND((SUMIFS($X$7:X147,$A$7:A147,A147,$K$7:K147,K147,$M$7:M147,"Mapped")-X147)*U147,2),"")</x:f>
      </x:c>
      <x:c r="W147" s="1" t="str">
        <x:f>IF(B147="","",IF(OR(NOT(ISNUMBER(I147)),I147&lt;0),"Invalid hours",IF(NOT(ISNUMBER(R147)),"Manual hours",IF(ROUND(I147*3600000,0)=R147,"Source hours","Adjusted hours"))))</x:f>
      </x:c>
      <x:c r="X147" s="10" t="str">
        <x:f>IF(B147="","",IF(AND(ISNUMBER(I147),I147&gt;=0,Q147="In period"),I147,""))</x:f>
      </x:c>
    </x:row>
    <x:row r="148" ht="23" customHeight="1">
      <x:c r="A148" s="3"/>
      <x:c r="B148" s="3"/>
      <x:c r="C148" s="3"/>
      <x:c r="D148" s="3"/>
      <x:c r="E148" s="3"/>
      <x:c r="F148" s="3"/>
      <x:c r="G148" s="3"/>
      <x:c r="H148" s="3"/>
      <x:c r="I148" s="9"/>
      <x:c r="J148" s="3"/>
      <x:c r="K148" s="3"/>
      <x:c r="L148" s="3"/>
      <x:c r="M148" s="1" t="str">
        <x:f>IF(B148="","",IF(W148="Invalid hours","Invalid hours",IF(NOT(ISNUMBER(X148)),"Excluded",IF(AND(J148&lt;&gt;"",K148&lt;&gt;"",L148&lt;&gt;"",COUNTIF('SOW caps'!$N$7:$N$36,A148&amp;"|"&amp;K148)=1),"Mapped","Needs allocation"))))</x:f>
      </x:c>
      <x:c r="N148" s="8" t="str">
        <x:f>IF(B148="","",IF(M148="Mapped",_xlfn.XLOOKUP(A148&amp;"|"&amp;K148,'SOW caps'!$N$7:$N$36,'SOW caps'!$E$7:$E$36,""),IF(ISNUMBER('SOW caps'!$B$3),'SOW caps'!$B$3,"")))</x:f>
      </x:c>
      <x:c r="O148" s="8" t="str">
        <x:f>IF(AND(ISNUMBER(X148),ISNUMBER(N148),N148&gt;=0),X148*N148,"")</x:f>
      </x:c>
      <x:c r="P148" s="3"/>
      <x:c r="Q148" s="3"/>
      <x:c r="R148" s="3"/>
      <x:c r="S148" s="3"/>
      <x:c r="T148" s="3"/>
      <x:c r="U148" s="8" t="str">
        <x:f>IF(M148="Mapped",IF(OR(_xlfn.XLOOKUP(A148&amp;"|"&amp;K148,'SOW caps'!$N$7:$N$36,'SOW caps'!$M$7:$M$36,"")="Ready",_xlfn.XLOOKUP(A148&amp;"|"&amp;K148,'SOW caps'!$N$7:$N$36,'SOW caps'!$M$7:$M$36,"")="No hours"),_xlfn.XLOOKUP(A148&amp;"|"&amp;K148,'SOW caps'!$N$7:$N$36,'SOW caps'!$O$7:$O$36,""),""),"")</x:f>
      </x:c>
      <x:c r="V148" s="8" t="str">
        <x:f>IF(AND(ISNUMBER(U148),ISNUMBER(X148)),ROUND(SUMIFS($X$7:X148,$A$7:A148,A148,$K$7:K148,K148,$M$7:M148,"Mapped")*U148,2)-ROUND((SUMIFS($X$7:X148,$A$7:A148,A148,$K$7:K148,K148,$M$7:M148,"Mapped")-X148)*U148,2),"")</x:f>
      </x:c>
      <x:c r="W148" s="1" t="str">
        <x:f>IF(B148="","",IF(OR(NOT(ISNUMBER(I148)),I148&lt;0),"Invalid hours",IF(NOT(ISNUMBER(R148)),"Manual hours",IF(ROUND(I148*3600000,0)=R148,"Source hours","Adjusted hours"))))</x:f>
      </x:c>
      <x:c r="X148" s="10" t="str">
        <x:f>IF(B148="","",IF(AND(ISNUMBER(I148),I148&gt;=0,Q148="In period"),I148,""))</x:f>
      </x:c>
    </x:row>
    <x:row r="149" ht="23" customHeight="1">
      <x:c r="A149" s="3"/>
      <x:c r="B149" s="3"/>
      <x:c r="C149" s="3"/>
      <x:c r="D149" s="3"/>
      <x:c r="E149" s="3"/>
      <x:c r="F149" s="3"/>
      <x:c r="G149" s="3"/>
      <x:c r="H149" s="3"/>
      <x:c r="I149" s="9"/>
      <x:c r="J149" s="3"/>
      <x:c r="K149" s="3"/>
      <x:c r="L149" s="3"/>
      <x:c r="M149" s="1" t="str">
        <x:f>IF(B149="","",IF(W149="Invalid hours","Invalid hours",IF(NOT(ISNUMBER(X149)),"Excluded",IF(AND(J149&lt;&gt;"",K149&lt;&gt;"",L149&lt;&gt;"",COUNTIF('SOW caps'!$N$7:$N$36,A149&amp;"|"&amp;K149)=1),"Mapped","Needs allocation"))))</x:f>
      </x:c>
      <x:c r="N149" s="8" t="str">
        <x:f>IF(B149="","",IF(M149="Mapped",_xlfn.XLOOKUP(A149&amp;"|"&amp;K149,'SOW caps'!$N$7:$N$36,'SOW caps'!$E$7:$E$36,""),IF(ISNUMBER('SOW caps'!$B$3),'SOW caps'!$B$3,"")))</x:f>
      </x:c>
      <x:c r="O149" s="8" t="str">
        <x:f>IF(AND(ISNUMBER(X149),ISNUMBER(N149),N149&gt;=0),X149*N149,"")</x:f>
      </x:c>
      <x:c r="P149" s="3"/>
      <x:c r="Q149" s="3"/>
      <x:c r="R149" s="3"/>
      <x:c r="S149" s="3"/>
      <x:c r="T149" s="3"/>
      <x:c r="U149" s="8" t="str">
        <x:f>IF(M149="Mapped",IF(OR(_xlfn.XLOOKUP(A149&amp;"|"&amp;K149,'SOW caps'!$N$7:$N$36,'SOW caps'!$M$7:$M$36,"")="Ready",_xlfn.XLOOKUP(A149&amp;"|"&amp;K149,'SOW caps'!$N$7:$N$36,'SOW caps'!$M$7:$M$36,"")="No hours"),_xlfn.XLOOKUP(A149&amp;"|"&amp;K149,'SOW caps'!$N$7:$N$36,'SOW caps'!$O$7:$O$36,""),""),"")</x:f>
      </x:c>
      <x:c r="V149" s="8" t="str">
        <x:f>IF(AND(ISNUMBER(U149),ISNUMBER(X149)),ROUND(SUMIFS($X$7:X149,$A$7:A149,A149,$K$7:K149,K149,$M$7:M149,"Mapped")*U149,2)-ROUND((SUMIFS($X$7:X149,$A$7:A149,A149,$K$7:K149,K149,$M$7:M149,"Mapped")-X149)*U149,2),"")</x:f>
      </x:c>
      <x:c r="W149" s="1" t="str">
        <x:f>IF(B149="","",IF(OR(NOT(ISNUMBER(I149)),I149&lt;0),"Invalid hours",IF(NOT(ISNUMBER(R149)),"Manual hours",IF(ROUND(I149*3600000,0)=R149,"Source hours","Adjusted hours"))))</x:f>
      </x:c>
      <x:c r="X149" s="10" t="str">
        <x:f>IF(B149="","",IF(AND(ISNUMBER(I149),I149&gt;=0,Q149="In period"),I149,""))</x:f>
      </x:c>
    </x:row>
    <x:row r="150" ht="23" customHeight="1">
      <x:c r="A150" s="3"/>
      <x:c r="B150" s="3"/>
      <x:c r="C150" s="3"/>
      <x:c r="D150" s="3"/>
      <x:c r="E150" s="3"/>
      <x:c r="F150" s="3"/>
      <x:c r="G150" s="3"/>
      <x:c r="H150" s="3"/>
      <x:c r="I150" s="9"/>
      <x:c r="J150" s="3"/>
      <x:c r="K150" s="3"/>
      <x:c r="L150" s="3"/>
      <x:c r="M150" s="1" t="str">
        <x:f>IF(B150="","",IF(W150="Invalid hours","Invalid hours",IF(NOT(ISNUMBER(X150)),"Excluded",IF(AND(J150&lt;&gt;"",K150&lt;&gt;"",L150&lt;&gt;"",COUNTIF('SOW caps'!$N$7:$N$36,A150&amp;"|"&amp;K150)=1),"Mapped","Needs allocation"))))</x:f>
      </x:c>
      <x:c r="N150" s="8" t="str">
        <x:f>IF(B150="","",IF(M150="Mapped",_xlfn.XLOOKUP(A150&amp;"|"&amp;K150,'SOW caps'!$N$7:$N$36,'SOW caps'!$E$7:$E$36,""),IF(ISNUMBER('SOW caps'!$B$3),'SOW caps'!$B$3,"")))</x:f>
      </x:c>
      <x:c r="O150" s="8" t="str">
        <x:f>IF(AND(ISNUMBER(X150),ISNUMBER(N150),N150&gt;=0),X150*N150,"")</x:f>
      </x:c>
      <x:c r="P150" s="3"/>
      <x:c r="Q150" s="3"/>
      <x:c r="R150" s="3"/>
      <x:c r="S150" s="3"/>
      <x:c r="T150" s="3"/>
      <x:c r="U150" s="8" t="str">
        <x:f>IF(M150="Mapped",IF(OR(_xlfn.XLOOKUP(A150&amp;"|"&amp;K150,'SOW caps'!$N$7:$N$36,'SOW caps'!$M$7:$M$36,"")="Ready",_xlfn.XLOOKUP(A150&amp;"|"&amp;K150,'SOW caps'!$N$7:$N$36,'SOW caps'!$M$7:$M$36,"")="No hours"),_xlfn.XLOOKUP(A150&amp;"|"&amp;K150,'SOW caps'!$N$7:$N$36,'SOW caps'!$O$7:$O$36,""),""),"")</x:f>
      </x:c>
      <x:c r="V150" s="8" t="str">
        <x:f>IF(AND(ISNUMBER(U150),ISNUMBER(X150)),ROUND(SUMIFS($X$7:X150,$A$7:A150,A150,$K$7:K150,K150,$M$7:M150,"Mapped")*U150,2)-ROUND((SUMIFS($X$7:X150,$A$7:A150,A150,$K$7:K150,K150,$M$7:M150,"Mapped")-X150)*U150,2),"")</x:f>
      </x:c>
      <x:c r="W150" s="1" t="str">
        <x:f>IF(B150="","",IF(OR(NOT(ISNUMBER(I150)),I150&lt;0),"Invalid hours",IF(NOT(ISNUMBER(R150)),"Manual hours",IF(ROUND(I150*3600000,0)=R150,"Source hours","Adjusted hours"))))</x:f>
      </x:c>
      <x:c r="X150" s="10" t="str">
        <x:f>IF(B150="","",IF(AND(ISNUMBER(I150),I150&gt;=0,Q150="In period"),I150,""))</x:f>
      </x:c>
    </x:row>
    <x:row r="151" ht="23" customHeight="1">
      <x:c r="A151" s="3"/>
      <x:c r="B151" s="3"/>
      <x:c r="C151" s="3"/>
      <x:c r="D151" s="3"/>
      <x:c r="E151" s="3"/>
      <x:c r="F151" s="3"/>
      <x:c r="G151" s="3"/>
      <x:c r="H151" s="3"/>
      <x:c r="I151" s="9"/>
      <x:c r="J151" s="3"/>
      <x:c r="K151" s="3"/>
      <x:c r="L151" s="3"/>
      <x:c r="M151" s="1" t="str">
        <x:f>IF(B151="","",IF(W151="Invalid hours","Invalid hours",IF(NOT(ISNUMBER(X151)),"Excluded",IF(AND(J151&lt;&gt;"",K151&lt;&gt;"",L151&lt;&gt;"",COUNTIF('SOW caps'!$N$7:$N$36,A151&amp;"|"&amp;K151)=1),"Mapped","Needs allocation"))))</x:f>
      </x:c>
      <x:c r="N151" s="8" t="str">
        <x:f>IF(B151="","",IF(M151="Mapped",_xlfn.XLOOKUP(A151&amp;"|"&amp;K151,'SOW caps'!$N$7:$N$36,'SOW caps'!$E$7:$E$36,""),IF(ISNUMBER('SOW caps'!$B$3),'SOW caps'!$B$3,"")))</x:f>
      </x:c>
      <x:c r="O151" s="8" t="str">
        <x:f>IF(AND(ISNUMBER(X151),ISNUMBER(N151),N151&gt;=0),X151*N151,"")</x:f>
      </x:c>
      <x:c r="P151" s="3"/>
      <x:c r="Q151" s="3"/>
      <x:c r="R151" s="3"/>
      <x:c r="S151" s="3"/>
      <x:c r="T151" s="3"/>
      <x:c r="U151" s="8" t="str">
        <x:f>IF(M151="Mapped",IF(OR(_xlfn.XLOOKUP(A151&amp;"|"&amp;K151,'SOW caps'!$N$7:$N$36,'SOW caps'!$M$7:$M$36,"")="Ready",_xlfn.XLOOKUP(A151&amp;"|"&amp;K151,'SOW caps'!$N$7:$N$36,'SOW caps'!$M$7:$M$36,"")="No hours"),_xlfn.XLOOKUP(A151&amp;"|"&amp;K151,'SOW caps'!$N$7:$N$36,'SOW caps'!$O$7:$O$36,""),""),"")</x:f>
      </x:c>
      <x:c r="V151" s="8" t="str">
        <x:f>IF(AND(ISNUMBER(U151),ISNUMBER(X151)),ROUND(SUMIFS($X$7:X151,$A$7:A151,A151,$K$7:K151,K151,$M$7:M151,"Mapped")*U151,2)-ROUND((SUMIFS($X$7:X151,$A$7:A151,A151,$K$7:K151,K151,$M$7:M151,"Mapped")-X151)*U151,2),"")</x:f>
      </x:c>
      <x:c r="W151" s="1" t="str">
        <x:f>IF(B151="","",IF(OR(NOT(ISNUMBER(I151)),I151&lt;0),"Invalid hours",IF(NOT(ISNUMBER(R151)),"Manual hours",IF(ROUND(I151*3600000,0)=R151,"Source hours","Adjusted hours"))))</x:f>
      </x:c>
      <x:c r="X151" s="10" t="str">
        <x:f>IF(B151="","",IF(AND(ISNUMBER(I151),I151&gt;=0,Q151="In period"),I151,""))</x:f>
      </x:c>
    </x:row>
    <x:row r="152" ht="23" customHeight="1">
      <x:c r="A152" s="3"/>
      <x:c r="B152" s="3"/>
      <x:c r="C152" s="3"/>
      <x:c r="D152" s="3"/>
      <x:c r="E152" s="3"/>
      <x:c r="F152" s="3"/>
      <x:c r="G152" s="3"/>
      <x:c r="H152" s="3"/>
      <x:c r="I152" s="9"/>
      <x:c r="J152" s="3"/>
      <x:c r="K152" s="3"/>
      <x:c r="L152" s="3"/>
      <x:c r="M152" s="1" t="str">
        <x:f>IF(B152="","",IF(W152="Invalid hours","Invalid hours",IF(NOT(ISNUMBER(X152)),"Excluded",IF(AND(J152&lt;&gt;"",K152&lt;&gt;"",L152&lt;&gt;"",COUNTIF('SOW caps'!$N$7:$N$36,A152&amp;"|"&amp;K152)=1),"Mapped","Needs allocation"))))</x:f>
      </x:c>
      <x:c r="N152" s="8" t="str">
        <x:f>IF(B152="","",IF(M152="Mapped",_xlfn.XLOOKUP(A152&amp;"|"&amp;K152,'SOW caps'!$N$7:$N$36,'SOW caps'!$E$7:$E$36,""),IF(ISNUMBER('SOW caps'!$B$3),'SOW caps'!$B$3,"")))</x:f>
      </x:c>
      <x:c r="O152" s="8" t="str">
        <x:f>IF(AND(ISNUMBER(X152),ISNUMBER(N152),N152&gt;=0),X152*N152,"")</x:f>
      </x:c>
      <x:c r="P152" s="3"/>
      <x:c r="Q152" s="3"/>
      <x:c r="R152" s="3"/>
      <x:c r="S152" s="3"/>
      <x:c r="T152" s="3"/>
      <x:c r="U152" s="8" t="str">
        <x:f>IF(M152="Mapped",IF(OR(_xlfn.XLOOKUP(A152&amp;"|"&amp;K152,'SOW caps'!$N$7:$N$36,'SOW caps'!$M$7:$M$36,"")="Ready",_xlfn.XLOOKUP(A152&amp;"|"&amp;K152,'SOW caps'!$N$7:$N$36,'SOW caps'!$M$7:$M$36,"")="No hours"),_xlfn.XLOOKUP(A152&amp;"|"&amp;K152,'SOW caps'!$N$7:$N$36,'SOW caps'!$O$7:$O$36,""),""),"")</x:f>
      </x:c>
      <x:c r="V152" s="8" t="str">
        <x:f>IF(AND(ISNUMBER(U152),ISNUMBER(X152)),ROUND(SUMIFS($X$7:X152,$A$7:A152,A152,$K$7:K152,K152,$M$7:M152,"Mapped")*U152,2)-ROUND((SUMIFS($X$7:X152,$A$7:A152,A152,$K$7:K152,K152,$M$7:M152,"Mapped")-X152)*U152,2),"")</x:f>
      </x:c>
      <x:c r="W152" s="1" t="str">
        <x:f>IF(B152="","",IF(OR(NOT(ISNUMBER(I152)),I152&lt;0),"Invalid hours",IF(NOT(ISNUMBER(R152)),"Manual hours",IF(ROUND(I152*3600000,0)=R152,"Source hours","Adjusted hours"))))</x:f>
      </x:c>
      <x:c r="X152" s="10" t="str">
        <x:f>IF(B152="","",IF(AND(ISNUMBER(I152),I152&gt;=0,Q152="In period"),I152,""))</x:f>
      </x:c>
    </x:row>
    <x:row r="153" ht="23" customHeight="1">
      <x:c r="A153" s="3"/>
      <x:c r="B153" s="3"/>
      <x:c r="C153" s="3"/>
      <x:c r="D153" s="3"/>
      <x:c r="E153" s="3"/>
      <x:c r="F153" s="3"/>
      <x:c r="G153" s="3"/>
      <x:c r="H153" s="3"/>
      <x:c r="I153" s="9"/>
      <x:c r="J153" s="3"/>
      <x:c r="K153" s="3"/>
      <x:c r="L153" s="3"/>
      <x:c r="M153" s="1" t="str">
        <x:f>IF(B153="","",IF(W153="Invalid hours","Invalid hours",IF(NOT(ISNUMBER(X153)),"Excluded",IF(AND(J153&lt;&gt;"",K153&lt;&gt;"",L153&lt;&gt;"",COUNTIF('SOW caps'!$N$7:$N$36,A153&amp;"|"&amp;K153)=1),"Mapped","Needs allocation"))))</x:f>
      </x:c>
      <x:c r="N153" s="8" t="str">
        <x:f>IF(B153="","",IF(M153="Mapped",_xlfn.XLOOKUP(A153&amp;"|"&amp;K153,'SOW caps'!$N$7:$N$36,'SOW caps'!$E$7:$E$36,""),IF(ISNUMBER('SOW caps'!$B$3),'SOW caps'!$B$3,"")))</x:f>
      </x:c>
      <x:c r="O153" s="8" t="str">
        <x:f>IF(AND(ISNUMBER(X153),ISNUMBER(N153),N153&gt;=0),X153*N153,"")</x:f>
      </x:c>
      <x:c r="P153" s="3"/>
      <x:c r="Q153" s="3"/>
      <x:c r="R153" s="3"/>
      <x:c r="S153" s="3"/>
      <x:c r="T153" s="3"/>
      <x:c r="U153" s="8" t="str">
        <x:f>IF(M153="Mapped",IF(OR(_xlfn.XLOOKUP(A153&amp;"|"&amp;K153,'SOW caps'!$N$7:$N$36,'SOW caps'!$M$7:$M$36,"")="Ready",_xlfn.XLOOKUP(A153&amp;"|"&amp;K153,'SOW caps'!$N$7:$N$36,'SOW caps'!$M$7:$M$36,"")="No hours"),_xlfn.XLOOKUP(A153&amp;"|"&amp;K153,'SOW caps'!$N$7:$N$36,'SOW caps'!$O$7:$O$36,""),""),"")</x:f>
      </x:c>
      <x:c r="V153" s="8" t="str">
        <x:f>IF(AND(ISNUMBER(U153),ISNUMBER(X153)),ROUND(SUMIFS($X$7:X153,$A$7:A153,A153,$K$7:K153,K153,$M$7:M153,"Mapped")*U153,2)-ROUND((SUMIFS($X$7:X153,$A$7:A153,A153,$K$7:K153,K153,$M$7:M153,"Mapped")-X153)*U153,2),"")</x:f>
      </x:c>
      <x:c r="W153" s="1" t="str">
        <x:f>IF(B153="","",IF(OR(NOT(ISNUMBER(I153)),I153&lt;0),"Invalid hours",IF(NOT(ISNUMBER(R153)),"Manual hours",IF(ROUND(I153*3600000,0)=R153,"Source hours","Adjusted hours"))))</x:f>
      </x:c>
      <x:c r="X153" s="10" t="str">
        <x:f>IF(B153="","",IF(AND(ISNUMBER(I153),I153&gt;=0,Q153="In period"),I153,""))</x:f>
      </x:c>
    </x:row>
    <x:row r="154" ht="23" customHeight="1">
      <x:c r="A154" s="3"/>
      <x:c r="B154" s="3"/>
      <x:c r="C154" s="3"/>
      <x:c r="D154" s="3"/>
      <x:c r="E154" s="3"/>
      <x:c r="F154" s="3"/>
      <x:c r="G154" s="3"/>
      <x:c r="H154" s="3"/>
      <x:c r="I154" s="9"/>
      <x:c r="J154" s="3"/>
      <x:c r="K154" s="3"/>
      <x:c r="L154" s="3"/>
      <x:c r="M154" s="1" t="str">
        <x:f>IF(B154="","",IF(W154="Invalid hours","Invalid hours",IF(NOT(ISNUMBER(X154)),"Excluded",IF(AND(J154&lt;&gt;"",K154&lt;&gt;"",L154&lt;&gt;"",COUNTIF('SOW caps'!$N$7:$N$36,A154&amp;"|"&amp;K154)=1),"Mapped","Needs allocation"))))</x:f>
      </x:c>
      <x:c r="N154" s="8" t="str">
        <x:f>IF(B154="","",IF(M154="Mapped",_xlfn.XLOOKUP(A154&amp;"|"&amp;K154,'SOW caps'!$N$7:$N$36,'SOW caps'!$E$7:$E$36,""),IF(ISNUMBER('SOW caps'!$B$3),'SOW caps'!$B$3,"")))</x:f>
      </x:c>
      <x:c r="O154" s="8" t="str">
        <x:f>IF(AND(ISNUMBER(X154),ISNUMBER(N154),N154&gt;=0),X154*N154,"")</x:f>
      </x:c>
      <x:c r="P154" s="3"/>
      <x:c r="Q154" s="3"/>
      <x:c r="R154" s="3"/>
      <x:c r="S154" s="3"/>
      <x:c r="T154" s="3"/>
      <x:c r="U154" s="8" t="str">
        <x:f>IF(M154="Mapped",IF(OR(_xlfn.XLOOKUP(A154&amp;"|"&amp;K154,'SOW caps'!$N$7:$N$36,'SOW caps'!$M$7:$M$36,"")="Ready",_xlfn.XLOOKUP(A154&amp;"|"&amp;K154,'SOW caps'!$N$7:$N$36,'SOW caps'!$M$7:$M$36,"")="No hours"),_xlfn.XLOOKUP(A154&amp;"|"&amp;K154,'SOW caps'!$N$7:$N$36,'SOW caps'!$O$7:$O$36,""),""),"")</x:f>
      </x:c>
      <x:c r="V154" s="8" t="str">
        <x:f>IF(AND(ISNUMBER(U154),ISNUMBER(X154)),ROUND(SUMIFS($X$7:X154,$A$7:A154,A154,$K$7:K154,K154,$M$7:M154,"Mapped")*U154,2)-ROUND((SUMIFS($X$7:X154,$A$7:A154,A154,$K$7:K154,K154,$M$7:M154,"Mapped")-X154)*U154,2),"")</x:f>
      </x:c>
      <x:c r="W154" s="1" t="str">
        <x:f>IF(B154="","",IF(OR(NOT(ISNUMBER(I154)),I154&lt;0),"Invalid hours",IF(NOT(ISNUMBER(R154)),"Manual hours",IF(ROUND(I154*3600000,0)=R154,"Source hours","Adjusted hours"))))</x:f>
      </x:c>
      <x:c r="X154" s="10" t="str">
        <x:f>IF(B154="","",IF(AND(ISNUMBER(I154),I154&gt;=0,Q154="In period"),I154,""))</x:f>
      </x:c>
    </x:row>
    <x:row r="155" ht="23" customHeight="1">
      <x:c r="A155" s="3"/>
      <x:c r="B155" s="3"/>
      <x:c r="C155" s="3"/>
      <x:c r="D155" s="3"/>
      <x:c r="E155" s="3"/>
      <x:c r="F155" s="3"/>
      <x:c r="G155" s="3"/>
      <x:c r="H155" s="3"/>
      <x:c r="I155" s="9"/>
      <x:c r="J155" s="3"/>
      <x:c r="K155" s="3"/>
      <x:c r="L155" s="3"/>
      <x:c r="M155" s="1" t="str">
        <x:f>IF(B155="","",IF(W155="Invalid hours","Invalid hours",IF(NOT(ISNUMBER(X155)),"Excluded",IF(AND(J155&lt;&gt;"",K155&lt;&gt;"",L155&lt;&gt;"",COUNTIF('SOW caps'!$N$7:$N$36,A155&amp;"|"&amp;K155)=1),"Mapped","Needs allocation"))))</x:f>
      </x:c>
      <x:c r="N155" s="8" t="str">
        <x:f>IF(B155="","",IF(M155="Mapped",_xlfn.XLOOKUP(A155&amp;"|"&amp;K155,'SOW caps'!$N$7:$N$36,'SOW caps'!$E$7:$E$36,""),IF(ISNUMBER('SOW caps'!$B$3),'SOW caps'!$B$3,"")))</x:f>
      </x:c>
      <x:c r="O155" s="8" t="str">
        <x:f>IF(AND(ISNUMBER(X155),ISNUMBER(N155),N155&gt;=0),X155*N155,"")</x:f>
      </x:c>
      <x:c r="P155" s="3"/>
      <x:c r="Q155" s="3"/>
      <x:c r="R155" s="3"/>
      <x:c r="S155" s="3"/>
      <x:c r="T155" s="3"/>
      <x:c r="U155" s="8" t="str">
        <x:f>IF(M155="Mapped",IF(OR(_xlfn.XLOOKUP(A155&amp;"|"&amp;K155,'SOW caps'!$N$7:$N$36,'SOW caps'!$M$7:$M$36,"")="Ready",_xlfn.XLOOKUP(A155&amp;"|"&amp;K155,'SOW caps'!$N$7:$N$36,'SOW caps'!$M$7:$M$36,"")="No hours"),_xlfn.XLOOKUP(A155&amp;"|"&amp;K155,'SOW caps'!$N$7:$N$36,'SOW caps'!$O$7:$O$36,""),""),"")</x:f>
      </x:c>
      <x:c r="V155" s="8" t="str">
        <x:f>IF(AND(ISNUMBER(U155),ISNUMBER(X155)),ROUND(SUMIFS($X$7:X155,$A$7:A155,A155,$K$7:K155,K155,$M$7:M155,"Mapped")*U155,2)-ROUND((SUMIFS($X$7:X155,$A$7:A155,A155,$K$7:K155,K155,$M$7:M155,"Mapped")-X155)*U155,2),"")</x:f>
      </x:c>
      <x:c r="W155" s="1" t="str">
        <x:f>IF(B155="","",IF(OR(NOT(ISNUMBER(I155)),I155&lt;0),"Invalid hours",IF(NOT(ISNUMBER(R155)),"Manual hours",IF(ROUND(I155*3600000,0)=R155,"Source hours","Adjusted hours"))))</x:f>
      </x:c>
      <x:c r="X155" s="10" t="str">
        <x:f>IF(B155="","",IF(AND(ISNUMBER(I155),I155&gt;=0,Q155="In period"),I155,""))</x:f>
      </x:c>
    </x:row>
    <x:row r="156" ht="23" customHeight="1">
      <x:c r="A156" s="3"/>
      <x:c r="B156" s="3"/>
      <x:c r="C156" s="3"/>
      <x:c r="D156" s="3"/>
      <x:c r="E156" s="3"/>
      <x:c r="F156" s="3"/>
      <x:c r="G156" s="3"/>
      <x:c r="H156" s="3"/>
      <x:c r="I156" s="9"/>
      <x:c r="J156" s="3"/>
      <x:c r="K156" s="3"/>
      <x:c r="L156" s="3"/>
      <x:c r="M156" s="1" t="str">
        <x:f>IF(B156="","",IF(W156="Invalid hours","Invalid hours",IF(NOT(ISNUMBER(X156)),"Excluded",IF(AND(J156&lt;&gt;"",K156&lt;&gt;"",L156&lt;&gt;"",COUNTIF('SOW caps'!$N$7:$N$36,A156&amp;"|"&amp;K156)=1),"Mapped","Needs allocation"))))</x:f>
      </x:c>
      <x:c r="N156" s="8" t="str">
        <x:f>IF(B156="","",IF(M156="Mapped",_xlfn.XLOOKUP(A156&amp;"|"&amp;K156,'SOW caps'!$N$7:$N$36,'SOW caps'!$E$7:$E$36,""),IF(ISNUMBER('SOW caps'!$B$3),'SOW caps'!$B$3,"")))</x:f>
      </x:c>
      <x:c r="O156" s="8" t="str">
        <x:f>IF(AND(ISNUMBER(X156),ISNUMBER(N156),N156&gt;=0),X156*N156,"")</x:f>
      </x:c>
      <x:c r="P156" s="3"/>
      <x:c r="Q156" s="3"/>
      <x:c r="R156" s="3"/>
      <x:c r="S156" s="3"/>
      <x:c r="T156" s="3"/>
      <x:c r="U156" s="8" t="str">
        <x:f>IF(M156="Mapped",IF(OR(_xlfn.XLOOKUP(A156&amp;"|"&amp;K156,'SOW caps'!$N$7:$N$36,'SOW caps'!$M$7:$M$36,"")="Ready",_xlfn.XLOOKUP(A156&amp;"|"&amp;K156,'SOW caps'!$N$7:$N$36,'SOW caps'!$M$7:$M$36,"")="No hours"),_xlfn.XLOOKUP(A156&amp;"|"&amp;K156,'SOW caps'!$N$7:$N$36,'SOW caps'!$O$7:$O$36,""),""),"")</x:f>
      </x:c>
      <x:c r="V156" s="8" t="str">
        <x:f>IF(AND(ISNUMBER(U156),ISNUMBER(X156)),ROUND(SUMIFS($X$7:X156,$A$7:A156,A156,$K$7:K156,K156,$M$7:M156,"Mapped")*U156,2)-ROUND((SUMIFS($X$7:X156,$A$7:A156,A156,$K$7:K156,K156,$M$7:M156,"Mapped")-X156)*U156,2),"")</x:f>
      </x:c>
      <x:c r="W156" s="1" t="str">
        <x:f>IF(B156="","",IF(OR(NOT(ISNUMBER(I156)),I156&lt;0),"Invalid hours",IF(NOT(ISNUMBER(R156)),"Manual hours",IF(ROUND(I156*3600000,0)=R156,"Source hours","Adjusted hours"))))</x:f>
      </x:c>
      <x:c r="X156" s="10" t="str">
        <x:f>IF(B156="","",IF(AND(ISNUMBER(I156),I156&gt;=0,Q156="In period"),I156,""))</x:f>
      </x:c>
    </x:row>
    <x:row r="157" ht="23" customHeight="1">
      <x:c r="A157" s="3"/>
      <x:c r="B157" s="3"/>
      <x:c r="C157" s="3"/>
      <x:c r="D157" s="3"/>
      <x:c r="E157" s="3"/>
      <x:c r="F157" s="3"/>
      <x:c r="G157" s="3"/>
      <x:c r="H157" s="3"/>
      <x:c r="I157" s="9"/>
      <x:c r="J157" s="3"/>
      <x:c r="K157" s="3"/>
      <x:c r="L157" s="3"/>
      <x:c r="M157" s="1" t="str">
        <x:f>IF(B157="","",IF(W157="Invalid hours","Invalid hours",IF(NOT(ISNUMBER(X157)),"Excluded",IF(AND(J157&lt;&gt;"",K157&lt;&gt;"",L157&lt;&gt;"",COUNTIF('SOW caps'!$N$7:$N$36,A157&amp;"|"&amp;K157)=1),"Mapped","Needs allocation"))))</x:f>
      </x:c>
      <x:c r="N157" s="8" t="str">
        <x:f>IF(B157="","",IF(M157="Mapped",_xlfn.XLOOKUP(A157&amp;"|"&amp;K157,'SOW caps'!$N$7:$N$36,'SOW caps'!$E$7:$E$36,""),IF(ISNUMBER('SOW caps'!$B$3),'SOW caps'!$B$3,"")))</x:f>
      </x:c>
      <x:c r="O157" s="8" t="str">
        <x:f>IF(AND(ISNUMBER(X157),ISNUMBER(N157),N157&gt;=0),X157*N157,"")</x:f>
      </x:c>
      <x:c r="P157" s="3"/>
      <x:c r="Q157" s="3"/>
      <x:c r="R157" s="3"/>
      <x:c r="S157" s="3"/>
      <x:c r="T157" s="3"/>
      <x:c r="U157" s="8" t="str">
        <x:f>IF(M157="Mapped",IF(OR(_xlfn.XLOOKUP(A157&amp;"|"&amp;K157,'SOW caps'!$N$7:$N$36,'SOW caps'!$M$7:$M$36,"")="Ready",_xlfn.XLOOKUP(A157&amp;"|"&amp;K157,'SOW caps'!$N$7:$N$36,'SOW caps'!$M$7:$M$36,"")="No hours"),_xlfn.XLOOKUP(A157&amp;"|"&amp;K157,'SOW caps'!$N$7:$N$36,'SOW caps'!$O$7:$O$36,""),""),"")</x:f>
      </x:c>
      <x:c r="V157" s="8" t="str">
        <x:f>IF(AND(ISNUMBER(U157),ISNUMBER(X157)),ROUND(SUMIFS($X$7:X157,$A$7:A157,A157,$K$7:K157,K157,$M$7:M157,"Mapped")*U157,2)-ROUND((SUMIFS($X$7:X157,$A$7:A157,A157,$K$7:K157,K157,$M$7:M157,"Mapped")-X157)*U157,2),"")</x:f>
      </x:c>
      <x:c r="W157" s="1" t="str">
        <x:f>IF(B157="","",IF(OR(NOT(ISNUMBER(I157)),I157&lt;0),"Invalid hours",IF(NOT(ISNUMBER(R157)),"Manual hours",IF(ROUND(I157*3600000,0)=R157,"Source hours","Adjusted hours"))))</x:f>
      </x:c>
      <x:c r="X157" s="10" t="str">
        <x:f>IF(B157="","",IF(AND(ISNUMBER(I157),I157&gt;=0,Q157="In period"),I157,""))</x:f>
      </x:c>
    </x:row>
    <x:row r="158" ht="23" customHeight="1">
      <x:c r="A158" s="3"/>
      <x:c r="B158" s="3"/>
      <x:c r="C158" s="3"/>
      <x:c r="D158" s="3"/>
      <x:c r="E158" s="3"/>
      <x:c r="F158" s="3"/>
      <x:c r="G158" s="3"/>
      <x:c r="H158" s="3"/>
      <x:c r="I158" s="9"/>
      <x:c r="J158" s="3"/>
      <x:c r="K158" s="3"/>
      <x:c r="L158" s="3"/>
      <x:c r="M158" s="1" t="str">
        <x:f>IF(B158="","",IF(W158="Invalid hours","Invalid hours",IF(NOT(ISNUMBER(X158)),"Excluded",IF(AND(J158&lt;&gt;"",K158&lt;&gt;"",L158&lt;&gt;"",COUNTIF('SOW caps'!$N$7:$N$36,A158&amp;"|"&amp;K158)=1),"Mapped","Needs allocation"))))</x:f>
      </x:c>
      <x:c r="N158" s="8" t="str">
        <x:f>IF(B158="","",IF(M158="Mapped",_xlfn.XLOOKUP(A158&amp;"|"&amp;K158,'SOW caps'!$N$7:$N$36,'SOW caps'!$E$7:$E$36,""),IF(ISNUMBER('SOW caps'!$B$3),'SOW caps'!$B$3,"")))</x:f>
      </x:c>
      <x:c r="O158" s="8" t="str">
        <x:f>IF(AND(ISNUMBER(X158),ISNUMBER(N158),N158&gt;=0),X158*N158,"")</x:f>
      </x:c>
      <x:c r="P158" s="3"/>
      <x:c r="Q158" s="3"/>
      <x:c r="R158" s="3"/>
      <x:c r="S158" s="3"/>
      <x:c r="T158" s="3"/>
      <x:c r="U158" s="8" t="str">
        <x:f>IF(M158="Mapped",IF(OR(_xlfn.XLOOKUP(A158&amp;"|"&amp;K158,'SOW caps'!$N$7:$N$36,'SOW caps'!$M$7:$M$36,"")="Ready",_xlfn.XLOOKUP(A158&amp;"|"&amp;K158,'SOW caps'!$N$7:$N$36,'SOW caps'!$M$7:$M$36,"")="No hours"),_xlfn.XLOOKUP(A158&amp;"|"&amp;K158,'SOW caps'!$N$7:$N$36,'SOW caps'!$O$7:$O$36,""),""),"")</x:f>
      </x:c>
      <x:c r="V158" s="8" t="str">
        <x:f>IF(AND(ISNUMBER(U158),ISNUMBER(X158)),ROUND(SUMIFS($X$7:X158,$A$7:A158,A158,$K$7:K158,K158,$M$7:M158,"Mapped")*U158,2)-ROUND((SUMIFS($X$7:X158,$A$7:A158,A158,$K$7:K158,K158,$M$7:M158,"Mapped")-X158)*U158,2),"")</x:f>
      </x:c>
      <x:c r="W158" s="1" t="str">
        <x:f>IF(B158="","",IF(OR(NOT(ISNUMBER(I158)),I158&lt;0),"Invalid hours",IF(NOT(ISNUMBER(R158)),"Manual hours",IF(ROUND(I158*3600000,0)=R158,"Source hours","Adjusted hours"))))</x:f>
      </x:c>
      <x:c r="X158" s="10" t="str">
        <x:f>IF(B158="","",IF(AND(ISNUMBER(I158),I158&gt;=0,Q158="In period"),I158,""))</x:f>
      </x:c>
    </x:row>
    <x:row r="159" ht="23" customHeight="1">
      <x:c r="A159" s="3"/>
      <x:c r="B159" s="3"/>
      <x:c r="C159" s="3"/>
      <x:c r="D159" s="3"/>
      <x:c r="E159" s="3"/>
      <x:c r="F159" s="3"/>
      <x:c r="G159" s="3"/>
      <x:c r="H159" s="3"/>
      <x:c r="I159" s="9"/>
      <x:c r="J159" s="3"/>
      <x:c r="K159" s="3"/>
      <x:c r="L159" s="3"/>
      <x:c r="M159" s="1" t="str">
        <x:f>IF(B159="","",IF(W159="Invalid hours","Invalid hours",IF(NOT(ISNUMBER(X159)),"Excluded",IF(AND(J159&lt;&gt;"",K159&lt;&gt;"",L159&lt;&gt;"",COUNTIF('SOW caps'!$N$7:$N$36,A159&amp;"|"&amp;K159)=1),"Mapped","Needs allocation"))))</x:f>
      </x:c>
      <x:c r="N159" s="8" t="str">
        <x:f>IF(B159="","",IF(M159="Mapped",_xlfn.XLOOKUP(A159&amp;"|"&amp;K159,'SOW caps'!$N$7:$N$36,'SOW caps'!$E$7:$E$36,""),IF(ISNUMBER('SOW caps'!$B$3),'SOW caps'!$B$3,"")))</x:f>
      </x:c>
      <x:c r="O159" s="8" t="str">
        <x:f>IF(AND(ISNUMBER(X159),ISNUMBER(N159),N159&gt;=0),X159*N159,"")</x:f>
      </x:c>
      <x:c r="P159" s="3"/>
      <x:c r="Q159" s="3"/>
      <x:c r="R159" s="3"/>
      <x:c r="S159" s="3"/>
      <x:c r="T159" s="3"/>
      <x:c r="U159" s="8" t="str">
        <x:f>IF(M159="Mapped",IF(OR(_xlfn.XLOOKUP(A159&amp;"|"&amp;K159,'SOW caps'!$N$7:$N$36,'SOW caps'!$M$7:$M$36,"")="Ready",_xlfn.XLOOKUP(A159&amp;"|"&amp;K159,'SOW caps'!$N$7:$N$36,'SOW caps'!$M$7:$M$36,"")="No hours"),_xlfn.XLOOKUP(A159&amp;"|"&amp;K159,'SOW caps'!$N$7:$N$36,'SOW caps'!$O$7:$O$36,""),""),"")</x:f>
      </x:c>
      <x:c r="V159" s="8" t="str">
        <x:f>IF(AND(ISNUMBER(U159),ISNUMBER(X159)),ROUND(SUMIFS($X$7:X159,$A$7:A159,A159,$K$7:K159,K159,$M$7:M159,"Mapped")*U159,2)-ROUND((SUMIFS($X$7:X159,$A$7:A159,A159,$K$7:K159,K159,$M$7:M159,"Mapped")-X159)*U159,2),"")</x:f>
      </x:c>
      <x:c r="W159" s="1" t="str">
        <x:f>IF(B159="","",IF(OR(NOT(ISNUMBER(I159)),I159&lt;0),"Invalid hours",IF(NOT(ISNUMBER(R159)),"Manual hours",IF(ROUND(I159*3600000,0)=R159,"Source hours","Adjusted hours"))))</x:f>
      </x:c>
      <x:c r="X159" s="10" t="str">
        <x:f>IF(B159="","",IF(AND(ISNUMBER(I159),I159&gt;=0,Q159="In period"),I159,""))</x:f>
      </x:c>
    </x:row>
    <x:row r="160" ht="23" customHeight="1">
      <x:c r="A160" s="3"/>
      <x:c r="B160" s="3"/>
      <x:c r="C160" s="3"/>
      <x:c r="D160" s="3"/>
      <x:c r="E160" s="3"/>
      <x:c r="F160" s="3"/>
      <x:c r="G160" s="3"/>
      <x:c r="H160" s="3"/>
      <x:c r="I160" s="9"/>
      <x:c r="J160" s="3"/>
      <x:c r="K160" s="3"/>
      <x:c r="L160" s="3"/>
      <x:c r="M160" s="1" t="str">
        <x:f>IF(B160="","",IF(W160="Invalid hours","Invalid hours",IF(NOT(ISNUMBER(X160)),"Excluded",IF(AND(J160&lt;&gt;"",K160&lt;&gt;"",L160&lt;&gt;"",COUNTIF('SOW caps'!$N$7:$N$36,A160&amp;"|"&amp;K160)=1),"Mapped","Needs allocation"))))</x:f>
      </x:c>
      <x:c r="N160" s="8" t="str">
        <x:f>IF(B160="","",IF(M160="Mapped",_xlfn.XLOOKUP(A160&amp;"|"&amp;K160,'SOW caps'!$N$7:$N$36,'SOW caps'!$E$7:$E$36,""),IF(ISNUMBER('SOW caps'!$B$3),'SOW caps'!$B$3,"")))</x:f>
      </x:c>
      <x:c r="O160" s="8" t="str">
        <x:f>IF(AND(ISNUMBER(X160),ISNUMBER(N160),N160&gt;=0),X160*N160,"")</x:f>
      </x:c>
      <x:c r="P160" s="3"/>
      <x:c r="Q160" s="3"/>
      <x:c r="R160" s="3"/>
      <x:c r="S160" s="3"/>
      <x:c r="T160" s="3"/>
      <x:c r="U160" s="8" t="str">
        <x:f>IF(M160="Mapped",IF(OR(_xlfn.XLOOKUP(A160&amp;"|"&amp;K160,'SOW caps'!$N$7:$N$36,'SOW caps'!$M$7:$M$36,"")="Ready",_xlfn.XLOOKUP(A160&amp;"|"&amp;K160,'SOW caps'!$N$7:$N$36,'SOW caps'!$M$7:$M$36,"")="No hours"),_xlfn.XLOOKUP(A160&amp;"|"&amp;K160,'SOW caps'!$N$7:$N$36,'SOW caps'!$O$7:$O$36,""),""),"")</x:f>
      </x:c>
      <x:c r="V160" s="8" t="str">
        <x:f>IF(AND(ISNUMBER(U160),ISNUMBER(X160)),ROUND(SUMIFS($X$7:X160,$A$7:A160,A160,$K$7:K160,K160,$M$7:M160,"Mapped")*U160,2)-ROUND((SUMIFS($X$7:X160,$A$7:A160,A160,$K$7:K160,K160,$M$7:M160,"Mapped")-X160)*U160,2),"")</x:f>
      </x:c>
      <x:c r="W160" s="1" t="str">
        <x:f>IF(B160="","",IF(OR(NOT(ISNUMBER(I160)),I160&lt;0),"Invalid hours",IF(NOT(ISNUMBER(R160)),"Manual hours",IF(ROUND(I160*3600000,0)=R160,"Source hours","Adjusted hours"))))</x:f>
      </x:c>
      <x:c r="X160" s="10" t="str">
        <x:f>IF(B160="","",IF(AND(ISNUMBER(I160),I160&gt;=0,Q160="In period"),I160,""))</x:f>
      </x:c>
    </x:row>
    <x:row r="161" ht="23" customHeight="1">
      <x:c r="A161" s="3"/>
      <x:c r="B161" s="3"/>
      <x:c r="C161" s="3"/>
      <x:c r="D161" s="3"/>
      <x:c r="E161" s="3"/>
      <x:c r="F161" s="3"/>
      <x:c r="G161" s="3"/>
      <x:c r="H161" s="3"/>
      <x:c r="I161" s="9"/>
      <x:c r="J161" s="3"/>
      <x:c r="K161" s="3"/>
      <x:c r="L161" s="3"/>
      <x:c r="M161" s="1" t="str">
        <x:f>IF(B161="","",IF(W161="Invalid hours","Invalid hours",IF(NOT(ISNUMBER(X161)),"Excluded",IF(AND(J161&lt;&gt;"",K161&lt;&gt;"",L161&lt;&gt;"",COUNTIF('SOW caps'!$N$7:$N$36,A161&amp;"|"&amp;K161)=1),"Mapped","Needs allocation"))))</x:f>
      </x:c>
      <x:c r="N161" s="8" t="str">
        <x:f>IF(B161="","",IF(M161="Mapped",_xlfn.XLOOKUP(A161&amp;"|"&amp;K161,'SOW caps'!$N$7:$N$36,'SOW caps'!$E$7:$E$36,""),IF(ISNUMBER('SOW caps'!$B$3),'SOW caps'!$B$3,"")))</x:f>
      </x:c>
      <x:c r="O161" s="8" t="str">
        <x:f>IF(AND(ISNUMBER(X161),ISNUMBER(N161),N161&gt;=0),X161*N161,"")</x:f>
      </x:c>
      <x:c r="P161" s="3"/>
      <x:c r="Q161" s="3"/>
      <x:c r="R161" s="3"/>
      <x:c r="S161" s="3"/>
      <x:c r="T161" s="3"/>
      <x:c r="U161" s="8" t="str">
        <x:f>IF(M161="Mapped",IF(OR(_xlfn.XLOOKUP(A161&amp;"|"&amp;K161,'SOW caps'!$N$7:$N$36,'SOW caps'!$M$7:$M$36,"")="Ready",_xlfn.XLOOKUP(A161&amp;"|"&amp;K161,'SOW caps'!$N$7:$N$36,'SOW caps'!$M$7:$M$36,"")="No hours"),_xlfn.XLOOKUP(A161&amp;"|"&amp;K161,'SOW caps'!$N$7:$N$36,'SOW caps'!$O$7:$O$36,""),""),"")</x:f>
      </x:c>
      <x:c r="V161" s="8" t="str">
        <x:f>IF(AND(ISNUMBER(U161),ISNUMBER(X161)),ROUND(SUMIFS($X$7:X161,$A$7:A161,A161,$K$7:K161,K161,$M$7:M161,"Mapped")*U161,2)-ROUND((SUMIFS($X$7:X161,$A$7:A161,A161,$K$7:K161,K161,$M$7:M161,"Mapped")-X161)*U161,2),"")</x:f>
      </x:c>
      <x:c r="W161" s="1" t="str">
        <x:f>IF(B161="","",IF(OR(NOT(ISNUMBER(I161)),I161&lt;0),"Invalid hours",IF(NOT(ISNUMBER(R161)),"Manual hours",IF(ROUND(I161*3600000,0)=R161,"Source hours","Adjusted hours"))))</x:f>
      </x:c>
      <x:c r="X161" s="10" t="str">
        <x:f>IF(B161="","",IF(AND(ISNUMBER(I161),I161&gt;=0,Q161="In period"),I161,""))</x:f>
      </x:c>
    </x:row>
    <x:row r="162" ht="23" customHeight="1">
      <x:c r="A162" s="3"/>
      <x:c r="B162" s="3"/>
      <x:c r="C162" s="3"/>
      <x:c r="D162" s="3"/>
      <x:c r="E162" s="3"/>
      <x:c r="F162" s="3"/>
      <x:c r="G162" s="3"/>
      <x:c r="H162" s="3"/>
      <x:c r="I162" s="9"/>
      <x:c r="J162" s="3"/>
      <x:c r="K162" s="3"/>
      <x:c r="L162" s="3"/>
      <x:c r="M162" s="1" t="str">
        <x:f>IF(B162="","",IF(W162="Invalid hours","Invalid hours",IF(NOT(ISNUMBER(X162)),"Excluded",IF(AND(J162&lt;&gt;"",K162&lt;&gt;"",L162&lt;&gt;"",COUNTIF('SOW caps'!$N$7:$N$36,A162&amp;"|"&amp;K162)=1),"Mapped","Needs allocation"))))</x:f>
      </x:c>
      <x:c r="N162" s="8" t="str">
        <x:f>IF(B162="","",IF(M162="Mapped",_xlfn.XLOOKUP(A162&amp;"|"&amp;K162,'SOW caps'!$N$7:$N$36,'SOW caps'!$E$7:$E$36,""),IF(ISNUMBER('SOW caps'!$B$3),'SOW caps'!$B$3,"")))</x:f>
      </x:c>
      <x:c r="O162" s="8" t="str">
        <x:f>IF(AND(ISNUMBER(X162),ISNUMBER(N162),N162&gt;=0),X162*N162,"")</x:f>
      </x:c>
      <x:c r="P162" s="3"/>
      <x:c r="Q162" s="3"/>
      <x:c r="R162" s="3"/>
      <x:c r="S162" s="3"/>
      <x:c r="T162" s="3"/>
      <x:c r="U162" s="8" t="str">
        <x:f>IF(M162="Mapped",IF(OR(_xlfn.XLOOKUP(A162&amp;"|"&amp;K162,'SOW caps'!$N$7:$N$36,'SOW caps'!$M$7:$M$36,"")="Ready",_xlfn.XLOOKUP(A162&amp;"|"&amp;K162,'SOW caps'!$N$7:$N$36,'SOW caps'!$M$7:$M$36,"")="No hours"),_xlfn.XLOOKUP(A162&amp;"|"&amp;K162,'SOW caps'!$N$7:$N$36,'SOW caps'!$O$7:$O$36,""),""),"")</x:f>
      </x:c>
      <x:c r="V162" s="8" t="str">
        <x:f>IF(AND(ISNUMBER(U162),ISNUMBER(X162)),ROUND(SUMIFS($X$7:X162,$A$7:A162,A162,$K$7:K162,K162,$M$7:M162,"Mapped")*U162,2)-ROUND((SUMIFS($X$7:X162,$A$7:A162,A162,$K$7:K162,K162,$M$7:M162,"Mapped")-X162)*U162,2),"")</x:f>
      </x:c>
      <x:c r="W162" s="1" t="str">
        <x:f>IF(B162="","",IF(OR(NOT(ISNUMBER(I162)),I162&lt;0),"Invalid hours",IF(NOT(ISNUMBER(R162)),"Manual hours",IF(ROUND(I162*3600000,0)=R162,"Source hours","Adjusted hours"))))</x:f>
      </x:c>
      <x:c r="X162" s="10" t="str">
        <x:f>IF(B162="","",IF(AND(ISNUMBER(I162),I162&gt;=0,Q162="In period"),I162,""))</x:f>
      </x:c>
    </x:row>
    <x:row r="163" ht="23" customHeight="1">
      <x:c r="A163" s="3"/>
      <x:c r="B163" s="3"/>
      <x:c r="C163" s="3"/>
      <x:c r="D163" s="3"/>
      <x:c r="E163" s="3"/>
      <x:c r="F163" s="3"/>
      <x:c r="G163" s="3"/>
      <x:c r="H163" s="3"/>
      <x:c r="I163" s="9"/>
      <x:c r="J163" s="3"/>
      <x:c r="K163" s="3"/>
      <x:c r="L163" s="3"/>
      <x:c r="M163" s="1" t="str">
        <x:f>IF(B163="","",IF(W163="Invalid hours","Invalid hours",IF(NOT(ISNUMBER(X163)),"Excluded",IF(AND(J163&lt;&gt;"",K163&lt;&gt;"",L163&lt;&gt;"",COUNTIF('SOW caps'!$N$7:$N$36,A163&amp;"|"&amp;K163)=1),"Mapped","Needs allocation"))))</x:f>
      </x:c>
      <x:c r="N163" s="8" t="str">
        <x:f>IF(B163="","",IF(M163="Mapped",_xlfn.XLOOKUP(A163&amp;"|"&amp;K163,'SOW caps'!$N$7:$N$36,'SOW caps'!$E$7:$E$36,""),IF(ISNUMBER('SOW caps'!$B$3),'SOW caps'!$B$3,"")))</x:f>
      </x:c>
      <x:c r="O163" s="8" t="str">
        <x:f>IF(AND(ISNUMBER(X163),ISNUMBER(N163),N163&gt;=0),X163*N163,"")</x:f>
      </x:c>
      <x:c r="P163" s="3"/>
      <x:c r="Q163" s="3"/>
      <x:c r="R163" s="3"/>
      <x:c r="S163" s="3"/>
      <x:c r="T163" s="3"/>
      <x:c r="U163" s="8" t="str">
        <x:f>IF(M163="Mapped",IF(OR(_xlfn.XLOOKUP(A163&amp;"|"&amp;K163,'SOW caps'!$N$7:$N$36,'SOW caps'!$M$7:$M$36,"")="Ready",_xlfn.XLOOKUP(A163&amp;"|"&amp;K163,'SOW caps'!$N$7:$N$36,'SOW caps'!$M$7:$M$36,"")="No hours"),_xlfn.XLOOKUP(A163&amp;"|"&amp;K163,'SOW caps'!$N$7:$N$36,'SOW caps'!$O$7:$O$36,""),""),"")</x:f>
      </x:c>
      <x:c r="V163" s="8" t="str">
        <x:f>IF(AND(ISNUMBER(U163),ISNUMBER(X163)),ROUND(SUMIFS($X$7:X163,$A$7:A163,A163,$K$7:K163,K163,$M$7:M163,"Mapped")*U163,2)-ROUND((SUMIFS($X$7:X163,$A$7:A163,A163,$K$7:K163,K163,$M$7:M163,"Mapped")-X163)*U163,2),"")</x:f>
      </x:c>
      <x:c r="W163" s="1" t="str">
        <x:f>IF(B163="","",IF(OR(NOT(ISNUMBER(I163)),I163&lt;0),"Invalid hours",IF(NOT(ISNUMBER(R163)),"Manual hours",IF(ROUND(I163*3600000,0)=R163,"Source hours","Adjusted hours"))))</x:f>
      </x:c>
      <x:c r="X163" s="10" t="str">
        <x:f>IF(B163="","",IF(AND(ISNUMBER(I163),I163&gt;=0,Q163="In period"),I163,""))</x:f>
      </x:c>
    </x:row>
    <x:row r="164" ht="23" customHeight="1">
      <x:c r="A164" s="3"/>
      <x:c r="B164" s="3"/>
      <x:c r="C164" s="3"/>
      <x:c r="D164" s="3"/>
      <x:c r="E164" s="3"/>
      <x:c r="F164" s="3"/>
      <x:c r="G164" s="3"/>
      <x:c r="H164" s="3"/>
      <x:c r="I164" s="9"/>
      <x:c r="J164" s="3"/>
      <x:c r="K164" s="3"/>
      <x:c r="L164" s="3"/>
      <x:c r="M164" s="1" t="str">
        <x:f>IF(B164="","",IF(W164="Invalid hours","Invalid hours",IF(NOT(ISNUMBER(X164)),"Excluded",IF(AND(J164&lt;&gt;"",K164&lt;&gt;"",L164&lt;&gt;"",COUNTIF('SOW caps'!$N$7:$N$36,A164&amp;"|"&amp;K164)=1),"Mapped","Needs allocation"))))</x:f>
      </x:c>
      <x:c r="N164" s="8" t="str">
        <x:f>IF(B164="","",IF(M164="Mapped",_xlfn.XLOOKUP(A164&amp;"|"&amp;K164,'SOW caps'!$N$7:$N$36,'SOW caps'!$E$7:$E$36,""),IF(ISNUMBER('SOW caps'!$B$3),'SOW caps'!$B$3,"")))</x:f>
      </x:c>
      <x:c r="O164" s="8" t="str">
        <x:f>IF(AND(ISNUMBER(X164),ISNUMBER(N164),N164&gt;=0),X164*N164,"")</x:f>
      </x:c>
      <x:c r="P164" s="3"/>
      <x:c r="Q164" s="3"/>
      <x:c r="R164" s="3"/>
      <x:c r="S164" s="3"/>
      <x:c r="T164" s="3"/>
      <x:c r="U164" s="8" t="str">
        <x:f>IF(M164="Mapped",IF(OR(_xlfn.XLOOKUP(A164&amp;"|"&amp;K164,'SOW caps'!$N$7:$N$36,'SOW caps'!$M$7:$M$36,"")="Ready",_xlfn.XLOOKUP(A164&amp;"|"&amp;K164,'SOW caps'!$N$7:$N$36,'SOW caps'!$M$7:$M$36,"")="No hours"),_xlfn.XLOOKUP(A164&amp;"|"&amp;K164,'SOW caps'!$N$7:$N$36,'SOW caps'!$O$7:$O$36,""),""),"")</x:f>
      </x:c>
      <x:c r="V164" s="8" t="str">
        <x:f>IF(AND(ISNUMBER(U164),ISNUMBER(X164)),ROUND(SUMIFS($X$7:X164,$A$7:A164,A164,$K$7:K164,K164,$M$7:M164,"Mapped")*U164,2)-ROUND((SUMIFS($X$7:X164,$A$7:A164,A164,$K$7:K164,K164,$M$7:M164,"Mapped")-X164)*U164,2),"")</x:f>
      </x:c>
      <x:c r="W164" s="1" t="str">
        <x:f>IF(B164="","",IF(OR(NOT(ISNUMBER(I164)),I164&lt;0),"Invalid hours",IF(NOT(ISNUMBER(R164)),"Manual hours",IF(ROUND(I164*3600000,0)=R164,"Source hours","Adjusted hours"))))</x:f>
      </x:c>
      <x:c r="X164" s="10" t="str">
        <x:f>IF(B164="","",IF(AND(ISNUMBER(I164),I164&gt;=0,Q164="In period"),I164,""))</x:f>
      </x:c>
    </x:row>
    <x:row r="165" ht="23" customHeight="1">
      <x:c r="A165" s="3"/>
      <x:c r="B165" s="3"/>
      <x:c r="C165" s="3"/>
      <x:c r="D165" s="3"/>
      <x:c r="E165" s="3"/>
      <x:c r="F165" s="3"/>
      <x:c r="G165" s="3"/>
      <x:c r="H165" s="3"/>
      <x:c r="I165" s="9"/>
      <x:c r="J165" s="3"/>
      <x:c r="K165" s="3"/>
      <x:c r="L165" s="3"/>
      <x:c r="M165" s="1" t="str">
        <x:f>IF(B165="","",IF(W165="Invalid hours","Invalid hours",IF(NOT(ISNUMBER(X165)),"Excluded",IF(AND(J165&lt;&gt;"",K165&lt;&gt;"",L165&lt;&gt;"",COUNTIF('SOW caps'!$N$7:$N$36,A165&amp;"|"&amp;K165)=1),"Mapped","Needs allocation"))))</x:f>
      </x:c>
      <x:c r="N165" s="8" t="str">
        <x:f>IF(B165="","",IF(M165="Mapped",_xlfn.XLOOKUP(A165&amp;"|"&amp;K165,'SOW caps'!$N$7:$N$36,'SOW caps'!$E$7:$E$36,""),IF(ISNUMBER('SOW caps'!$B$3),'SOW caps'!$B$3,"")))</x:f>
      </x:c>
      <x:c r="O165" s="8" t="str">
        <x:f>IF(AND(ISNUMBER(X165),ISNUMBER(N165),N165&gt;=0),X165*N165,"")</x:f>
      </x:c>
      <x:c r="P165" s="3"/>
      <x:c r="Q165" s="3"/>
      <x:c r="R165" s="3"/>
      <x:c r="S165" s="3"/>
      <x:c r="T165" s="3"/>
      <x:c r="U165" s="8" t="str">
        <x:f>IF(M165="Mapped",IF(OR(_xlfn.XLOOKUP(A165&amp;"|"&amp;K165,'SOW caps'!$N$7:$N$36,'SOW caps'!$M$7:$M$36,"")="Ready",_xlfn.XLOOKUP(A165&amp;"|"&amp;K165,'SOW caps'!$N$7:$N$36,'SOW caps'!$M$7:$M$36,"")="No hours"),_xlfn.XLOOKUP(A165&amp;"|"&amp;K165,'SOW caps'!$N$7:$N$36,'SOW caps'!$O$7:$O$36,""),""),"")</x:f>
      </x:c>
      <x:c r="V165" s="8" t="str">
        <x:f>IF(AND(ISNUMBER(U165),ISNUMBER(X165)),ROUND(SUMIFS($X$7:X165,$A$7:A165,A165,$K$7:K165,K165,$M$7:M165,"Mapped")*U165,2)-ROUND((SUMIFS($X$7:X165,$A$7:A165,A165,$K$7:K165,K165,$M$7:M165,"Mapped")-X165)*U165,2),"")</x:f>
      </x:c>
      <x:c r="W165" s="1" t="str">
        <x:f>IF(B165="","",IF(OR(NOT(ISNUMBER(I165)),I165&lt;0),"Invalid hours",IF(NOT(ISNUMBER(R165)),"Manual hours",IF(ROUND(I165*3600000,0)=R165,"Source hours","Adjusted hours"))))</x:f>
      </x:c>
      <x:c r="X165" s="10" t="str">
        <x:f>IF(B165="","",IF(AND(ISNUMBER(I165),I165&gt;=0,Q165="In period"),I165,""))</x:f>
      </x:c>
    </x:row>
    <x:row r="166" ht="23" customHeight="1">
      <x:c r="A166" s="3"/>
      <x:c r="B166" s="3"/>
      <x:c r="C166" s="3"/>
      <x:c r="D166" s="3"/>
      <x:c r="E166" s="3"/>
      <x:c r="F166" s="3"/>
      <x:c r="G166" s="3"/>
      <x:c r="H166" s="3"/>
      <x:c r="I166" s="9"/>
      <x:c r="J166" s="3"/>
      <x:c r="K166" s="3"/>
      <x:c r="L166" s="3"/>
      <x:c r="M166" s="1" t="str">
        <x:f>IF(B166="","",IF(W166="Invalid hours","Invalid hours",IF(NOT(ISNUMBER(X166)),"Excluded",IF(AND(J166&lt;&gt;"",K166&lt;&gt;"",L166&lt;&gt;"",COUNTIF('SOW caps'!$N$7:$N$36,A166&amp;"|"&amp;K166)=1),"Mapped","Needs allocation"))))</x:f>
      </x:c>
      <x:c r="N166" s="8" t="str">
        <x:f>IF(B166="","",IF(M166="Mapped",_xlfn.XLOOKUP(A166&amp;"|"&amp;K166,'SOW caps'!$N$7:$N$36,'SOW caps'!$E$7:$E$36,""),IF(ISNUMBER('SOW caps'!$B$3),'SOW caps'!$B$3,"")))</x:f>
      </x:c>
      <x:c r="O166" s="8" t="str">
        <x:f>IF(AND(ISNUMBER(X166),ISNUMBER(N166),N166&gt;=0),X166*N166,"")</x:f>
      </x:c>
      <x:c r="P166" s="3"/>
      <x:c r="Q166" s="3"/>
      <x:c r="R166" s="3"/>
      <x:c r="S166" s="3"/>
      <x:c r="T166" s="3"/>
      <x:c r="U166" s="8" t="str">
        <x:f>IF(M166="Mapped",IF(OR(_xlfn.XLOOKUP(A166&amp;"|"&amp;K166,'SOW caps'!$N$7:$N$36,'SOW caps'!$M$7:$M$36,"")="Ready",_xlfn.XLOOKUP(A166&amp;"|"&amp;K166,'SOW caps'!$N$7:$N$36,'SOW caps'!$M$7:$M$36,"")="No hours"),_xlfn.XLOOKUP(A166&amp;"|"&amp;K166,'SOW caps'!$N$7:$N$36,'SOW caps'!$O$7:$O$36,""),""),"")</x:f>
      </x:c>
      <x:c r="V166" s="8" t="str">
        <x:f>IF(AND(ISNUMBER(U166),ISNUMBER(X166)),ROUND(SUMIFS($X$7:X166,$A$7:A166,A166,$K$7:K166,K166,$M$7:M166,"Mapped")*U166,2)-ROUND((SUMIFS($X$7:X166,$A$7:A166,A166,$K$7:K166,K166,$M$7:M166,"Mapped")-X166)*U166,2),"")</x:f>
      </x:c>
      <x:c r="W166" s="1" t="str">
        <x:f>IF(B166="","",IF(OR(NOT(ISNUMBER(I166)),I166&lt;0),"Invalid hours",IF(NOT(ISNUMBER(R166)),"Manual hours",IF(ROUND(I166*3600000,0)=R166,"Source hours","Adjusted hours"))))</x:f>
      </x:c>
      <x:c r="X166" s="10" t="str">
        <x:f>IF(B166="","",IF(AND(ISNUMBER(I166),I166&gt;=0,Q166="In period"),I166,""))</x:f>
      </x:c>
    </x:row>
    <x:row r="167" ht="23" customHeight="1">
      <x:c r="A167" s="3"/>
      <x:c r="B167" s="3"/>
      <x:c r="C167" s="3"/>
      <x:c r="D167" s="3"/>
      <x:c r="E167" s="3"/>
      <x:c r="F167" s="3"/>
      <x:c r="G167" s="3"/>
      <x:c r="H167" s="3"/>
      <x:c r="I167" s="9"/>
      <x:c r="J167" s="3"/>
      <x:c r="K167" s="3"/>
      <x:c r="L167" s="3"/>
      <x:c r="M167" s="1" t="str">
        <x:f>IF(B167="","",IF(W167="Invalid hours","Invalid hours",IF(NOT(ISNUMBER(X167)),"Excluded",IF(AND(J167&lt;&gt;"",K167&lt;&gt;"",L167&lt;&gt;"",COUNTIF('SOW caps'!$N$7:$N$36,A167&amp;"|"&amp;K167)=1),"Mapped","Needs allocation"))))</x:f>
      </x:c>
      <x:c r="N167" s="8" t="str">
        <x:f>IF(B167="","",IF(M167="Mapped",_xlfn.XLOOKUP(A167&amp;"|"&amp;K167,'SOW caps'!$N$7:$N$36,'SOW caps'!$E$7:$E$36,""),IF(ISNUMBER('SOW caps'!$B$3),'SOW caps'!$B$3,"")))</x:f>
      </x:c>
      <x:c r="O167" s="8" t="str">
        <x:f>IF(AND(ISNUMBER(X167),ISNUMBER(N167),N167&gt;=0),X167*N167,"")</x:f>
      </x:c>
      <x:c r="P167" s="3"/>
      <x:c r="Q167" s="3"/>
      <x:c r="R167" s="3"/>
      <x:c r="S167" s="3"/>
      <x:c r="T167" s="3"/>
      <x:c r="U167" s="8" t="str">
        <x:f>IF(M167="Mapped",IF(OR(_xlfn.XLOOKUP(A167&amp;"|"&amp;K167,'SOW caps'!$N$7:$N$36,'SOW caps'!$M$7:$M$36,"")="Ready",_xlfn.XLOOKUP(A167&amp;"|"&amp;K167,'SOW caps'!$N$7:$N$36,'SOW caps'!$M$7:$M$36,"")="No hours"),_xlfn.XLOOKUP(A167&amp;"|"&amp;K167,'SOW caps'!$N$7:$N$36,'SOW caps'!$O$7:$O$36,""),""),"")</x:f>
      </x:c>
      <x:c r="V167" s="8" t="str">
        <x:f>IF(AND(ISNUMBER(U167),ISNUMBER(X167)),ROUND(SUMIFS($X$7:X167,$A$7:A167,A167,$K$7:K167,K167,$M$7:M167,"Mapped")*U167,2)-ROUND((SUMIFS($X$7:X167,$A$7:A167,A167,$K$7:K167,K167,$M$7:M167,"Mapped")-X167)*U167,2),"")</x:f>
      </x:c>
      <x:c r="W167" s="1" t="str">
        <x:f>IF(B167="","",IF(OR(NOT(ISNUMBER(I167)),I167&lt;0),"Invalid hours",IF(NOT(ISNUMBER(R167)),"Manual hours",IF(ROUND(I167*3600000,0)=R167,"Source hours","Adjusted hours"))))</x:f>
      </x:c>
      <x:c r="X167" s="10" t="str">
        <x:f>IF(B167="","",IF(AND(ISNUMBER(I167),I167&gt;=0,Q167="In period"),I167,""))</x:f>
      </x:c>
    </x:row>
    <x:row r="168" ht="23" customHeight="1">
      <x:c r="A168" s="3"/>
      <x:c r="B168" s="3"/>
      <x:c r="C168" s="3"/>
      <x:c r="D168" s="3"/>
      <x:c r="E168" s="3"/>
      <x:c r="F168" s="3"/>
      <x:c r="G168" s="3"/>
      <x:c r="H168" s="3"/>
      <x:c r="I168" s="9"/>
      <x:c r="J168" s="3"/>
      <x:c r="K168" s="3"/>
      <x:c r="L168" s="3"/>
      <x:c r="M168" s="1" t="str">
        <x:f>IF(B168="","",IF(W168="Invalid hours","Invalid hours",IF(NOT(ISNUMBER(X168)),"Excluded",IF(AND(J168&lt;&gt;"",K168&lt;&gt;"",L168&lt;&gt;"",COUNTIF('SOW caps'!$N$7:$N$36,A168&amp;"|"&amp;K168)=1),"Mapped","Needs allocation"))))</x:f>
      </x:c>
      <x:c r="N168" s="8" t="str">
        <x:f>IF(B168="","",IF(M168="Mapped",_xlfn.XLOOKUP(A168&amp;"|"&amp;K168,'SOW caps'!$N$7:$N$36,'SOW caps'!$E$7:$E$36,""),IF(ISNUMBER('SOW caps'!$B$3),'SOW caps'!$B$3,"")))</x:f>
      </x:c>
      <x:c r="O168" s="8" t="str">
        <x:f>IF(AND(ISNUMBER(X168),ISNUMBER(N168),N168&gt;=0),X168*N168,"")</x:f>
      </x:c>
      <x:c r="P168" s="3"/>
      <x:c r="Q168" s="3"/>
      <x:c r="R168" s="3"/>
      <x:c r="S168" s="3"/>
      <x:c r="T168" s="3"/>
      <x:c r="U168" s="8" t="str">
        <x:f>IF(M168="Mapped",IF(OR(_xlfn.XLOOKUP(A168&amp;"|"&amp;K168,'SOW caps'!$N$7:$N$36,'SOW caps'!$M$7:$M$36,"")="Ready",_xlfn.XLOOKUP(A168&amp;"|"&amp;K168,'SOW caps'!$N$7:$N$36,'SOW caps'!$M$7:$M$36,"")="No hours"),_xlfn.XLOOKUP(A168&amp;"|"&amp;K168,'SOW caps'!$N$7:$N$36,'SOW caps'!$O$7:$O$36,""),""),"")</x:f>
      </x:c>
      <x:c r="V168" s="8" t="str">
        <x:f>IF(AND(ISNUMBER(U168),ISNUMBER(X168)),ROUND(SUMIFS($X$7:X168,$A$7:A168,A168,$K$7:K168,K168,$M$7:M168,"Mapped")*U168,2)-ROUND((SUMIFS($X$7:X168,$A$7:A168,A168,$K$7:K168,K168,$M$7:M168,"Mapped")-X168)*U168,2),"")</x:f>
      </x:c>
      <x:c r="W168" s="1" t="str">
        <x:f>IF(B168="","",IF(OR(NOT(ISNUMBER(I168)),I168&lt;0),"Invalid hours",IF(NOT(ISNUMBER(R168)),"Manual hours",IF(ROUND(I168*3600000,0)=R168,"Source hours","Adjusted hours"))))</x:f>
      </x:c>
      <x:c r="X168" s="10" t="str">
        <x:f>IF(B168="","",IF(AND(ISNUMBER(I168),I168&gt;=0,Q168="In period"),I168,""))</x:f>
      </x:c>
    </x:row>
    <x:row r="169" ht="23" customHeight="1">
      <x:c r="A169" s="3"/>
      <x:c r="B169" s="3"/>
      <x:c r="C169" s="3"/>
      <x:c r="D169" s="3"/>
      <x:c r="E169" s="3"/>
      <x:c r="F169" s="3"/>
      <x:c r="G169" s="3"/>
      <x:c r="H169" s="3"/>
      <x:c r="I169" s="9"/>
      <x:c r="J169" s="3"/>
      <x:c r="K169" s="3"/>
      <x:c r="L169" s="3"/>
      <x:c r="M169" s="1" t="str">
        <x:f>IF(B169="","",IF(W169="Invalid hours","Invalid hours",IF(NOT(ISNUMBER(X169)),"Excluded",IF(AND(J169&lt;&gt;"",K169&lt;&gt;"",L169&lt;&gt;"",COUNTIF('SOW caps'!$N$7:$N$36,A169&amp;"|"&amp;K169)=1),"Mapped","Needs allocation"))))</x:f>
      </x:c>
      <x:c r="N169" s="8" t="str">
        <x:f>IF(B169="","",IF(M169="Mapped",_xlfn.XLOOKUP(A169&amp;"|"&amp;K169,'SOW caps'!$N$7:$N$36,'SOW caps'!$E$7:$E$36,""),IF(ISNUMBER('SOW caps'!$B$3),'SOW caps'!$B$3,"")))</x:f>
      </x:c>
      <x:c r="O169" s="8" t="str">
        <x:f>IF(AND(ISNUMBER(X169),ISNUMBER(N169),N169&gt;=0),X169*N169,"")</x:f>
      </x:c>
      <x:c r="P169" s="3"/>
      <x:c r="Q169" s="3"/>
      <x:c r="R169" s="3"/>
      <x:c r="S169" s="3"/>
      <x:c r="T169" s="3"/>
      <x:c r="U169" s="8" t="str">
        <x:f>IF(M169="Mapped",IF(OR(_xlfn.XLOOKUP(A169&amp;"|"&amp;K169,'SOW caps'!$N$7:$N$36,'SOW caps'!$M$7:$M$36,"")="Ready",_xlfn.XLOOKUP(A169&amp;"|"&amp;K169,'SOW caps'!$N$7:$N$36,'SOW caps'!$M$7:$M$36,"")="No hours"),_xlfn.XLOOKUP(A169&amp;"|"&amp;K169,'SOW caps'!$N$7:$N$36,'SOW caps'!$O$7:$O$36,""),""),"")</x:f>
      </x:c>
      <x:c r="V169" s="8" t="str">
        <x:f>IF(AND(ISNUMBER(U169),ISNUMBER(X169)),ROUND(SUMIFS($X$7:X169,$A$7:A169,A169,$K$7:K169,K169,$M$7:M169,"Mapped")*U169,2)-ROUND((SUMIFS($X$7:X169,$A$7:A169,A169,$K$7:K169,K169,$M$7:M169,"Mapped")-X169)*U169,2),"")</x:f>
      </x:c>
      <x:c r="W169" s="1" t="str">
        <x:f>IF(B169="","",IF(OR(NOT(ISNUMBER(I169)),I169&lt;0),"Invalid hours",IF(NOT(ISNUMBER(R169)),"Manual hours",IF(ROUND(I169*3600000,0)=R169,"Source hours","Adjusted hours"))))</x:f>
      </x:c>
      <x:c r="X169" s="10" t="str">
        <x:f>IF(B169="","",IF(AND(ISNUMBER(I169),I169&gt;=0,Q169="In period"),I169,""))</x:f>
      </x:c>
    </x:row>
    <x:row r="170" ht="23" customHeight="1">
      <x:c r="A170" s="3"/>
      <x:c r="B170" s="3"/>
      <x:c r="C170" s="3"/>
      <x:c r="D170" s="3"/>
      <x:c r="E170" s="3"/>
      <x:c r="F170" s="3"/>
      <x:c r="G170" s="3"/>
      <x:c r="H170" s="3"/>
      <x:c r="I170" s="9"/>
      <x:c r="J170" s="3"/>
      <x:c r="K170" s="3"/>
      <x:c r="L170" s="3"/>
      <x:c r="M170" s="1" t="str">
        <x:f>IF(B170="","",IF(W170="Invalid hours","Invalid hours",IF(NOT(ISNUMBER(X170)),"Excluded",IF(AND(J170&lt;&gt;"",K170&lt;&gt;"",L170&lt;&gt;"",COUNTIF('SOW caps'!$N$7:$N$36,A170&amp;"|"&amp;K170)=1),"Mapped","Needs allocation"))))</x:f>
      </x:c>
      <x:c r="N170" s="8" t="str">
        <x:f>IF(B170="","",IF(M170="Mapped",_xlfn.XLOOKUP(A170&amp;"|"&amp;K170,'SOW caps'!$N$7:$N$36,'SOW caps'!$E$7:$E$36,""),IF(ISNUMBER('SOW caps'!$B$3),'SOW caps'!$B$3,"")))</x:f>
      </x:c>
      <x:c r="O170" s="8" t="str">
        <x:f>IF(AND(ISNUMBER(X170),ISNUMBER(N170),N170&gt;=0),X170*N170,"")</x:f>
      </x:c>
      <x:c r="P170" s="3"/>
      <x:c r="Q170" s="3"/>
      <x:c r="R170" s="3"/>
      <x:c r="S170" s="3"/>
      <x:c r="T170" s="3"/>
      <x:c r="U170" s="8" t="str">
        <x:f>IF(M170="Mapped",IF(OR(_xlfn.XLOOKUP(A170&amp;"|"&amp;K170,'SOW caps'!$N$7:$N$36,'SOW caps'!$M$7:$M$36,"")="Ready",_xlfn.XLOOKUP(A170&amp;"|"&amp;K170,'SOW caps'!$N$7:$N$36,'SOW caps'!$M$7:$M$36,"")="No hours"),_xlfn.XLOOKUP(A170&amp;"|"&amp;K170,'SOW caps'!$N$7:$N$36,'SOW caps'!$O$7:$O$36,""),""),"")</x:f>
      </x:c>
      <x:c r="V170" s="8" t="str">
        <x:f>IF(AND(ISNUMBER(U170),ISNUMBER(X170)),ROUND(SUMIFS($X$7:X170,$A$7:A170,A170,$K$7:K170,K170,$M$7:M170,"Mapped")*U170,2)-ROUND((SUMIFS($X$7:X170,$A$7:A170,A170,$K$7:K170,K170,$M$7:M170,"Mapped")-X170)*U170,2),"")</x:f>
      </x:c>
      <x:c r="W170" s="1" t="str">
        <x:f>IF(B170="","",IF(OR(NOT(ISNUMBER(I170)),I170&lt;0),"Invalid hours",IF(NOT(ISNUMBER(R170)),"Manual hours",IF(ROUND(I170*3600000,0)=R170,"Source hours","Adjusted hours"))))</x:f>
      </x:c>
      <x:c r="X170" s="10" t="str">
        <x:f>IF(B170="","",IF(AND(ISNUMBER(I170),I170&gt;=0,Q170="In period"),I170,""))</x:f>
      </x:c>
    </x:row>
    <x:row r="171" ht="23" customHeight="1">
      <x:c r="A171" s="3"/>
      <x:c r="B171" s="3"/>
      <x:c r="C171" s="3"/>
      <x:c r="D171" s="3"/>
      <x:c r="E171" s="3"/>
      <x:c r="F171" s="3"/>
      <x:c r="G171" s="3"/>
      <x:c r="H171" s="3"/>
      <x:c r="I171" s="9"/>
      <x:c r="J171" s="3"/>
      <x:c r="K171" s="3"/>
      <x:c r="L171" s="3"/>
      <x:c r="M171" s="1" t="str">
        <x:f>IF(B171="","",IF(W171="Invalid hours","Invalid hours",IF(NOT(ISNUMBER(X171)),"Excluded",IF(AND(J171&lt;&gt;"",K171&lt;&gt;"",L171&lt;&gt;"",COUNTIF('SOW caps'!$N$7:$N$36,A171&amp;"|"&amp;K171)=1),"Mapped","Needs allocation"))))</x:f>
      </x:c>
      <x:c r="N171" s="8" t="str">
        <x:f>IF(B171="","",IF(M171="Mapped",_xlfn.XLOOKUP(A171&amp;"|"&amp;K171,'SOW caps'!$N$7:$N$36,'SOW caps'!$E$7:$E$36,""),IF(ISNUMBER('SOW caps'!$B$3),'SOW caps'!$B$3,"")))</x:f>
      </x:c>
      <x:c r="O171" s="8" t="str">
        <x:f>IF(AND(ISNUMBER(X171),ISNUMBER(N171),N171&gt;=0),X171*N171,"")</x:f>
      </x:c>
      <x:c r="P171" s="3"/>
      <x:c r="Q171" s="3"/>
      <x:c r="R171" s="3"/>
      <x:c r="S171" s="3"/>
      <x:c r="T171" s="3"/>
      <x:c r="U171" s="8" t="str">
        <x:f>IF(M171="Mapped",IF(OR(_xlfn.XLOOKUP(A171&amp;"|"&amp;K171,'SOW caps'!$N$7:$N$36,'SOW caps'!$M$7:$M$36,"")="Ready",_xlfn.XLOOKUP(A171&amp;"|"&amp;K171,'SOW caps'!$N$7:$N$36,'SOW caps'!$M$7:$M$36,"")="No hours"),_xlfn.XLOOKUP(A171&amp;"|"&amp;K171,'SOW caps'!$N$7:$N$36,'SOW caps'!$O$7:$O$36,""),""),"")</x:f>
      </x:c>
      <x:c r="V171" s="8" t="str">
        <x:f>IF(AND(ISNUMBER(U171),ISNUMBER(X171)),ROUND(SUMIFS($X$7:X171,$A$7:A171,A171,$K$7:K171,K171,$M$7:M171,"Mapped")*U171,2)-ROUND((SUMIFS($X$7:X171,$A$7:A171,A171,$K$7:K171,K171,$M$7:M171,"Mapped")-X171)*U171,2),"")</x:f>
      </x:c>
      <x:c r="W171" s="1" t="str">
        <x:f>IF(B171="","",IF(OR(NOT(ISNUMBER(I171)),I171&lt;0),"Invalid hours",IF(NOT(ISNUMBER(R171)),"Manual hours",IF(ROUND(I171*3600000,0)=R171,"Source hours","Adjusted hours"))))</x:f>
      </x:c>
      <x:c r="X171" s="10" t="str">
        <x:f>IF(B171="","",IF(AND(ISNUMBER(I171),I171&gt;=0,Q171="In period"),I171,""))</x:f>
      </x:c>
    </x:row>
    <x:row r="172" ht="23" customHeight="1">
      <x:c r="A172" s="3"/>
      <x:c r="B172" s="3"/>
      <x:c r="C172" s="3"/>
      <x:c r="D172" s="3"/>
      <x:c r="E172" s="3"/>
      <x:c r="F172" s="3"/>
      <x:c r="G172" s="3"/>
      <x:c r="H172" s="3"/>
      <x:c r="I172" s="9"/>
      <x:c r="J172" s="3"/>
      <x:c r="K172" s="3"/>
      <x:c r="L172" s="3"/>
      <x:c r="M172" s="1" t="str">
        <x:f>IF(B172="","",IF(W172="Invalid hours","Invalid hours",IF(NOT(ISNUMBER(X172)),"Excluded",IF(AND(J172&lt;&gt;"",K172&lt;&gt;"",L172&lt;&gt;"",COUNTIF('SOW caps'!$N$7:$N$36,A172&amp;"|"&amp;K172)=1),"Mapped","Needs allocation"))))</x:f>
      </x:c>
      <x:c r="N172" s="8" t="str">
        <x:f>IF(B172="","",IF(M172="Mapped",_xlfn.XLOOKUP(A172&amp;"|"&amp;K172,'SOW caps'!$N$7:$N$36,'SOW caps'!$E$7:$E$36,""),IF(ISNUMBER('SOW caps'!$B$3),'SOW caps'!$B$3,"")))</x:f>
      </x:c>
      <x:c r="O172" s="8" t="str">
        <x:f>IF(AND(ISNUMBER(X172),ISNUMBER(N172),N172&gt;=0),X172*N172,"")</x:f>
      </x:c>
      <x:c r="P172" s="3"/>
      <x:c r="Q172" s="3"/>
      <x:c r="R172" s="3"/>
      <x:c r="S172" s="3"/>
      <x:c r="T172" s="3"/>
      <x:c r="U172" s="8" t="str">
        <x:f>IF(M172="Mapped",IF(OR(_xlfn.XLOOKUP(A172&amp;"|"&amp;K172,'SOW caps'!$N$7:$N$36,'SOW caps'!$M$7:$M$36,"")="Ready",_xlfn.XLOOKUP(A172&amp;"|"&amp;K172,'SOW caps'!$N$7:$N$36,'SOW caps'!$M$7:$M$36,"")="No hours"),_xlfn.XLOOKUP(A172&amp;"|"&amp;K172,'SOW caps'!$N$7:$N$36,'SOW caps'!$O$7:$O$36,""),""),"")</x:f>
      </x:c>
      <x:c r="V172" s="8" t="str">
        <x:f>IF(AND(ISNUMBER(U172),ISNUMBER(X172)),ROUND(SUMIFS($X$7:X172,$A$7:A172,A172,$K$7:K172,K172,$M$7:M172,"Mapped")*U172,2)-ROUND((SUMIFS($X$7:X172,$A$7:A172,A172,$K$7:K172,K172,$M$7:M172,"Mapped")-X172)*U172,2),"")</x:f>
      </x:c>
      <x:c r="W172" s="1" t="str">
        <x:f>IF(B172="","",IF(OR(NOT(ISNUMBER(I172)),I172&lt;0),"Invalid hours",IF(NOT(ISNUMBER(R172)),"Manual hours",IF(ROUND(I172*3600000,0)=R172,"Source hours","Adjusted hours"))))</x:f>
      </x:c>
      <x:c r="X172" s="10" t="str">
        <x:f>IF(B172="","",IF(AND(ISNUMBER(I172),I172&gt;=0,Q172="In period"),I172,""))</x:f>
      </x:c>
    </x:row>
    <x:row r="173" ht="23" customHeight="1">
      <x:c r="A173" s="3"/>
      <x:c r="B173" s="3"/>
      <x:c r="C173" s="3"/>
      <x:c r="D173" s="3"/>
      <x:c r="E173" s="3"/>
      <x:c r="F173" s="3"/>
      <x:c r="G173" s="3"/>
      <x:c r="H173" s="3"/>
      <x:c r="I173" s="9"/>
      <x:c r="J173" s="3"/>
      <x:c r="K173" s="3"/>
      <x:c r="L173" s="3"/>
      <x:c r="M173" s="1" t="str">
        <x:f>IF(B173="","",IF(W173="Invalid hours","Invalid hours",IF(NOT(ISNUMBER(X173)),"Excluded",IF(AND(J173&lt;&gt;"",K173&lt;&gt;"",L173&lt;&gt;"",COUNTIF('SOW caps'!$N$7:$N$36,A173&amp;"|"&amp;K173)=1),"Mapped","Needs allocation"))))</x:f>
      </x:c>
      <x:c r="N173" s="8" t="str">
        <x:f>IF(B173="","",IF(M173="Mapped",_xlfn.XLOOKUP(A173&amp;"|"&amp;K173,'SOW caps'!$N$7:$N$36,'SOW caps'!$E$7:$E$36,""),IF(ISNUMBER('SOW caps'!$B$3),'SOW caps'!$B$3,"")))</x:f>
      </x:c>
      <x:c r="O173" s="8" t="str">
        <x:f>IF(AND(ISNUMBER(X173),ISNUMBER(N173),N173&gt;=0),X173*N173,"")</x:f>
      </x:c>
      <x:c r="P173" s="3"/>
      <x:c r="Q173" s="3"/>
      <x:c r="R173" s="3"/>
      <x:c r="S173" s="3"/>
      <x:c r="T173" s="3"/>
      <x:c r="U173" s="8" t="str">
        <x:f>IF(M173="Mapped",IF(OR(_xlfn.XLOOKUP(A173&amp;"|"&amp;K173,'SOW caps'!$N$7:$N$36,'SOW caps'!$M$7:$M$36,"")="Ready",_xlfn.XLOOKUP(A173&amp;"|"&amp;K173,'SOW caps'!$N$7:$N$36,'SOW caps'!$M$7:$M$36,"")="No hours"),_xlfn.XLOOKUP(A173&amp;"|"&amp;K173,'SOW caps'!$N$7:$N$36,'SOW caps'!$O$7:$O$36,""),""),"")</x:f>
      </x:c>
      <x:c r="V173" s="8" t="str">
        <x:f>IF(AND(ISNUMBER(U173),ISNUMBER(X173)),ROUND(SUMIFS($X$7:X173,$A$7:A173,A173,$K$7:K173,K173,$M$7:M173,"Mapped")*U173,2)-ROUND((SUMIFS($X$7:X173,$A$7:A173,A173,$K$7:K173,K173,$M$7:M173,"Mapped")-X173)*U173,2),"")</x:f>
      </x:c>
      <x:c r="W173" s="1" t="str">
        <x:f>IF(B173="","",IF(OR(NOT(ISNUMBER(I173)),I173&lt;0),"Invalid hours",IF(NOT(ISNUMBER(R173)),"Manual hours",IF(ROUND(I173*3600000,0)=R173,"Source hours","Adjusted hours"))))</x:f>
      </x:c>
      <x:c r="X173" s="10" t="str">
        <x:f>IF(B173="","",IF(AND(ISNUMBER(I173),I173&gt;=0,Q173="In period"),I173,""))</x:f>
      </x:c>
    </x:row>
    <x:row r="174" ht="23" customHeight="1">
      <x:c r="A174" s="3"/>
      <x:c r="B174" s="3"/>
      <x:c r="C174" s="3"/>
      <x:c r="D174" s="3"/>
      <x:c r="E174" s="3"/>
      <x:c r="F174" s="3"/>
      <x:c r="G174" s="3"/>
      <x:c r="H174" s="3"/>
      <x:c r="I174" s="9"/>
      <x:c r="J174" s="3"/>
      <x:c r="K174" s="3"/>
      <x:c r="L174" s="3"/>
      <x:c r="M174" s="1" t="str">
        <x:f>IF(B174="","",IF(W174="Invalid hours","Invalid hours",IF(NOT(ISNUMBER(X174)),"Excluded",IF(AND(J174&lt;&gt;"",K174&lt;&gt;"",L174&lt;&gt;"",COUNTIF('SOW caps'!$N$7:$N$36,A174&amp;"|"&amp;K174)=1),"Mapped","Needs allocation"))))</x:f>
      </x:c>
      <x:c r="N174" s="8" t="str">
        <x:f>IF(B174="","",IF(M174="Mapped",_xlfn.XLOOKUP(A174&amp;"|"&amp;K174,'SOW caps'!$N$7:$N$36,'SOW caps'!$E$7:$E$36,""),IF(ISNUMBER('SOW caps'!$B$3),'SOW caps'!$B$3,"")))</x:f>
      </x:c>
      <x:c r="O174" s="8" t="str">
        <x:f>IF(AND(ISNUMBER(X174),ISNUMBER(N174),N174&gt;=0),X174*N174,"")</x:f>
      </x:c>
      <x:c r="P174" s="3"/>
      <x:c r="Q174" s="3"/>
      <x:c r="R174" s="3"/>
      <x:c r="S174" s="3"/>
      <x:c r="T174" s="3"/>
      <x:c r="U174" s="8" t="str">
        <x:f>IF(M174="Mapped",IF(OR(_xlfn.XLOOKUP(A174&amp;"|"&amp;K174,'SOW caps'!$N$7:$N$36,'SOW caps'!$M$7:$M$36,"")="Ready",_xlfn.XLOOKUP(A174&amp;"|"&amp;K174,'SOW caps'!$N$7:$N$36,'SOW caps'!$M$7:$M$36,"")="No hours"),_xlfn.XLOOKUP(A174&amp;"|"&amp;K174,'SOW caps'!$N$7:$N$36,'SOW caps'!$O$7:$O$36,""),""),"")</x:f>
      </x:c>
      <x:c r="V174" s="8" t="str">
        <x:f>IF(AND(ISNUMBER(U174),ISNUMBER(X174)),ROUND(SUMIFS($X$7:X174,$A$7:A174,A174,$K$7:K174,K174,$M$7:M174,"Mapped")*U174,2)-ROUND((SUMIFS($X$7:X174,$A$7:A174,A174,$K$7:K174,K174,$M$7:M174,"Mapped")-X174)*U174,2),"")</x:f>
      </x:c>
      <x:c r="W174" s="1" t="str">
        <x:f>IF(B174="","",IF(OR(NOT(ISNUMBER(I174)),I174&lt;0),"Invalid hours",IF(NOT(ISNUMBER(R174)),"Manual hours",IF(ROUND(I174*3600000,0)=R174,"Source hours","Adjusted hours"))))</x:f>
      </x:c>
      <x:c r="X174" s="10" t="str">
        <x:f>IF(B174="","",IF(AND(ISNUMBER(I174),I174&gt;=0,Q174="In period"),I174,""))</x:f>
      </x:c>
    </x:row>
    <x:row r="175" ht="23" customHeight="1">
      <x:c r="A175" s="3"/>
      <x:c r="B175" s="3"/>
      <x:c r="C175" s="3"/>
      <x:c r="D175" s="3"/>
      <x:c r="E175" s="3"/>
      <x:c r="F175" s="3"/>
      <x:c r="G175" s="3"/>
      <x:c r="H175" s="3"/>
      <x:c r="I175" s="9"/>
      <x:c r="J175" s="3"/>
      <x:c r="K175" s="3"/>
      <x:c r="L175" s="3"/>
      <x:c r="M175" s="1" t="str">
        <x:f>IF(B175="","",IF(W175="Invalid hours","Invalid hours",IF(NOT(ISNUMBER(X175)),"Excluded",IF(AND(J175&lt;&gt;"",K175&lt;&gt;"",L175&lt;&gt;"",COUNTIF('SOW caps'!$N$7:$N$36,A175&amp;"|"&amp;K175)=1),"Mapped","Needs allocation"))))</x:f>
      </x:c>
      <x:c r="N175" s="8" t="str">
        <x:f>IF(B175="","",IF(M175="Mapped",_xlfn.XLOOKUP(A175&amp;"|"&amp;K175,'SOW caps'!$N$7:$N$36,'SOW caps'!$E$7:$E$36,""),IF(ISNUMBER('SOW caps'!$B$3),'SOW caps'!$B$3,"")))</x:f>
      </x:c>
      <x:c r="O175" s="8" t="str">
        <x:f>IF(AND(ISNUMBER(X175),ISNUMBER(N175),N175&gt;=0),X175*N175,"")</x:f>
      </x:c>
      <x:c r="P175" s="3"/>
      <x:c r="Q175" s="3"/>
      <x:c r="R175" s="3"/>
      <x:c r="S175" s="3"/>
      <x:c r="T175" s="3"/>
      <x:c r="U175" s="8" t="str">
        <x:f>IF(M175="Mapped",IF(OR(_xlfn.XLOOKUP(A175&amp;"|"&amp;K175,'SOW caps'!$N$7:$N$36,'SOW caps'!$M$7:$M$36,"")="Ready",_xlfn.XLOOKUP(A175&amp;"|"&amp;K175,'SOW caps'!$N$7:$N$36,'SOW caps'!$M$7:$M$36,"")="No hours"),_xlfn.XLOOKUP(A175&amp;"|"&amp;K175,'SOW caps'!$N$7:$N$36,'SOW caps'!$O$7:$O$36,""),""),"")</x:f>
      </x:c>
      <x:c r="V175" s="8" t="str">
        <x:f>IF(AND(ISNUMBER(U175),ISNUMBER(X175)),ROUND(SUMIFS($X$7:X175,$A$7:A175,A175,$K$7:K175,K175,$M$7:M175,"Mapped")*U175,2)-ROUND((SUMIFS($X$7:X175,$A$7:A175,A175,$K$7:K175,K175,$M$7:M175,"Mapped")-X175)*U175,2),"")</x:f>
      </x:c>
      <x:c r="W175" s="1" t="str">
        <x:f>IF(B175="","",IF(OR(NOT(ISNUMBER(I175)),I175&lt;0),"Invalid hours",IF(NOT(ISNUMBER(R175)),"Manual hours",IF(ROUND(I175*3600000,0)=R175,"Source hours","Adjusted hours"))))</x:f>
      </x:c>
      <x:c r="X175" s="10" t="str">
        <x:f>IF(B175="","",IF(AND(ISNUMBER(I175),I175&gt;=0,Q175="In period"),I175,""))</x:f>
      </x:c>
    </x:row>
    <x:row r="176" ht="23" customHeight="1">
      <x:c r="A176" s="3"/>
      <x:c r="B176" s="3"/>
      <x:c r="C176" s="3"/>
      <x:c r="D176" s="3"/>
      <x:c r="E176" s="3"/>
      <x:c r="F176" s="3"/>
      <x:c r="G176" s="3"/>
      <x:c r="H176" s="3"/>
      <x:c r="I176" s="9"/>
      <x:c r="J176" s="3"/>
      <x:c r="K176" s="3"/>
      <x:c r="L176" s="3"/>
      <x:c r="M176" s="1" t="str">
        <x:f>IF(B176="","",IF(W176="Invalid hours","Invalid hours",IF(NOT(ISNUMBER(X176)),"Excluded",IF(AND(J176&lt;&gt;"",K176&lt;&gt;"",L176&lt;&gt;"",COUNTIF('SOW caps'!$N$7:$N$36,A176&amp;"|"&amp;K176)=1),"Mapped","Needs allocation"))))</x:f>
      </x:c>
      <x:c r="N176" s="8" t="str">
        <x:f>IF(B176="","",IF(M176="Mapped",_xlfn.XLOOKUP(A176&amp;"|"&amp;K176,'SOW caps'!$N$7:$N$36,'SOW caps'!$E$7:$E$36,""),IF(ISNUMBER('SOW caps'!$B$3),'SOW caps'!$B$3,"")))</x:f>
      </x:c>
      <x:c r="O176" s="8" t="str">
        <x:f>IF(AND(ISNUMBER(X176),ISNUMBER(N176),N176&gt;=0),X176*N176,"")</x:f>
      </x:c>
      <x:c r="P176" s="3"/>
      <x:c r="Q176" s="3"/>
      <x:c r="R176" s="3"/>
      <x:c r="S176" s="3"/>
      <x:c r="T176" s="3"/>
      <x:c r="U176" s="8" t="str">
        <x:f>IF(M176="Mapped",IF(OR(_xlfn.XLOOKUP(A176&amp;"|"&amp;K176,'SOW caps'!$N$7:$N$36,'SOW caps'!$M$7:$M$36,"")="Ready",_xlfn.XLOOKUP(A176&amp;"|"&amp;K176,'SOW caps'!$N$7:$N$36,'SOW caps'!$M$7:$M$36,"")="No hours"),_xlfn.XLOOKUP(A176&amp;"|"&amp;K176,'SOW caps'!$N$7:$N$36,'SOW caps'!$O$7:$O$36,""),""),"")</x:f>
      </x:c>
      <x:c r="V176" s="8" t="str">
        <x:f>IF(AND(ISNUMBER(U176),ISNUMBER(X176)),ROUND(SUMIFS($X$7:X176,$A$7:A176,A176,$K$7:K176,K176,$M$7:M176,"Mapped")*U176,2)-ROUND((SUMIFS($X$7:X176,$A$7:A176,A176,$K$7:K176,K176,$M$7:M176,"Mapped")-X176)*U176,2),"")</x:f>
      </x:c>
      <x:c r="W176" s="1" t="str">
        <x:f>IF(B176="","",IF(OR(NOT(ISNUMBER(I176)),I176&lt;0),"Invalid hours",IF(NOT(ISNUMBER(R176)),"Manual hours",IF(ROUND(I176*3600000,0)=R176,"Source hours","Adjusted hours"))))</x:f>
      </x:c>
      <x:c r="X176" s="10" t="str">
        <x:f>IF(B176="","",IF(AND(ISNUMBER(I176),I176&gt;=0,Q176="In period"),I176,""))</x:f>
      </x:c>
    </x:row>
    <x:row r="177" ht="23" customHeight="1">
      <x:c r="A177" s="3"/>
      <x:c r="B177" s="3"/>
      <x:c r="C177" s="3"/>
      <x:c r="D177" s="3"/>
      <x:c r="E177" s="3"/>
      <x:c r="F177" s="3"/>
      <x:c r="G177" s="3"/>
      <x:c r="H177" s="3"/>
      <x:c r="I177" s="9"/>
      <x:c r="J177" s="3"/>
      <x:c r="K177" s="3"/>
      <x:c r="L177" s="3"/>
      <x:c r="M177" s="1" t="str">
        <x:f>IF(B177="","",IF(W177="Invalid hours","Invalid hours",IF(NOT(ISNUMBER(X177)),"Excluded",IF(AND(J177&lt;&gt;"",K177&lt;&gt;"",L177&lt;&gt;"",COUNTIF('SOW caps'!$N$7:$N$36,A177&amp;"|"&amp;K177)=1),"Mapped","Needs allocation"))))</x:f>
      </x:c>
      <x:c r="N177" s="8" t="str">
        <x:f>IF(B177="","",IF(M177="Mapped",_xlfn.XLOOKUP(A177&amp;"|"&amp;K177,'SOW caps'!$N$7:$N$36,'SOW caps'!$E$7:$E$36,""),IF(ISNUMBER('SOW caps'!$B$3),'SOW caps'!$B$3,"")))</x:f>
      </x:c>
      <x:c r="O177" s="8" t="str">
        <x:f>IF(AND(ISNUMBER(X177),ISNUMBER(N177),N177&gt;=0),X177*N177,"")</x:f>
      </x:c>
      <x:c r="P177" s="3"/>
      <x:c r="Q177" s="3"/>
      <x:c r="R177" s="3"/>
      <x:c r="S177" s="3"/>
      <x:c r="T177" s="3"/>
      <x:c r="U177" s="8" t="str">
        <x:f>IF(M177="Mapped",IF(OR(_xlfn.XLOOKUP(A177&amp;"|"&amp;K177,'SOW caps'!$N$7:$N$36,'SOW caps'!$M$7:$M$36,"")="Ready",_xlfn.XLOOKUP(A177&amp;"|"&amp;K177,'SOW caps'!$N$7:$N$36,'SOW caps'!$M$7:$M$36,"")="No hours"),_xlfn.XLOOKUP(A177&amp;"|"&amp;K177,'SOW caps'!$N$7:$N$36,'SOW caps'!$O$7:$O$36,""),""),"")</x:f>
      </x:c>
      <x:c r="V177" s="8" t="str">
        <x:f>IF(AND(ISNUMBER(U177),ISNUMBER(X177)),ROUND(SUMIFS($X$7:X177,$A$7:A177,A177,$K$7:K177,K177,$M$7:M177,"Mapped")*U177,2)-ROUND((SUMIFS($X$7:X177,$A$7:A177,A177,$K$7:K177,K177,$M$7:M177,"Mapped")-X177)*U177,2),"")</x:f>
      </x:c>
      <x:c r="W177" s="1" t="str">
        <x:f>IF(B177="","",IF(OR(NOT(ISNUMBER(I177)),I177&lt;0),"Invalid hours",IF(NOT(ISNUMBER(R177)),"Manual hours",IF(ROUND(I177*3600000,0)=R177,"Source hours","Adjusted hours"))))</x:f>
      </x:c>
      <x:c r="X177" s="10" t="str">
        <x:f>IF(B177="","",IF(AND(ISNUMBER(I177),I177&gt;=0,Q177="In period"),I177,""))</x:f>
      </x:c>
    </x:row>
    <x:row r="178" ht="23" customHeight="1">
      <x:c r="A178" s="3"/>
      <x:c r="B178" s="3"/>
      <x:c r="C178" s="3"/>
      <x:c r="D178" s="3"/>
      <x:c r="E178" s="3"/>
      <x:c r="F178" s="3"/>
      <x:c r="G178" s="3"/>
      <x:c r="H178" s="3"/>
      <x:c r="I178" s="9"/>
      <x:c r="J178" s="3"/>
      <x:c r="K178" s="3"/>
      <x:c r="L178" s="3"/>
      <x:c r="M178" s="1" t="str">
        <x:f>IF(B178="","",IF(W178="Invalid hours","Invalid hours",IF(NOT(ISNUMBER(X178)),"Excluded",IF(AND(J178&lt;&gt;"",K178&lt;&gt;"",L178&lt;&gt;"",COUNTIF('SOW caps'!$N$7:$N$36,A178&amp;"|"&amp;K178)=1),"Mapped","Needs allocation"))))</x:f>
      </x:c>
      <x:c r="N178" s="8" t="str">
        <x:f>IF(B178="","",IF(M178="Mapped",_xlfn.XLOOKUP(A178&amp;"|"&amp;K178,'SOW caps'!$N$7:$N$36,'SOW caps'!$E$7:$E$36,""),IF(ISNUMBER('SOW caps'!$B$3),'SOW caps'!$B$3,"")))</x:f>
      </x:c>
      <x:c r="O178" s="8" t="str">
        <x:f>IF(AND(ISNUMBER(X178),ISNUMBER(N178),N178&gt;=0),X178*N178,"")</x:f>
      </x:c>
      <x:c r="P178" s="3"/>
      <x:c r="Q178" s="3"/>
      <x:c r="R178" s="3"/>
      <x:c r="S178" s="3"/>
      <x:c r="T178" s="3"/>
      <x:c r="U178" s="8" t="str">
        <x:f>IF(M178="Mapped",IF(OR(_xlfn.XLOOKUP(A178&amp;"|"&amp;K178,'SOW caps'!$N$7:$N$36,'SOW caps'!$M$7:$M$36,"")="Ready",_xlfn.XLOOKUP(A178&amp;"|"&amp;K178,'SOW caps'!$N$7:$N$36,'SOW caps'!$M$7:$M$36,"")="No hours"),_xlfn.XLOOKUP(A178&amp;"|"&amp;K178,'SOW caps'!$N$7:$N$36,'SOW caps'!$O$7:$O$36,""),""),"")</x:f>
      </x:c>
      <x:c r="V178" s="8" t="str">
        <x:f>IF(AND(ISNUMBER(U178),ISNUMBER(X178)),ROUND(SUMIFS($X$7:X178,$A$7:A178,A178,$K$7:K178,K178,$M$7:M178,"Mapped")*U178,2)-ROUND((SUMIFS($X$7:X178,$A$7:A178,A178,$K$7:K178,K178,$M$7:M178,"Mapped")-X178)*U178,2),"")</x:f>
      </x:c>
      <x:c r="W178" s="1" t="str">
        <x:f>IF(B178="","",IF(OR(NOT(ISNUMBER(I178)),I178&lt;0),"Invalid hours",IF(NOT(ISNUMBER(R178)),"Manual hours",IF(ROUND(I178*3600000,0)=R178,"Source hours","Adjusted hours"))))</x:f>
      </x:c>
      <x:c r="X178" s="10" t="str">
        <x:f>IF(B178="","",IF(AND(ISNUMBER(I178),I178&gt;=0,Q178="In period"),I178,""))</x:f>
      </x:c>
    </x:row>
    <x:row r="179" ht="23" customHeight="1">
      <x:c r="A179" s="3"/>
      <x:c r="B179" s="3"/>
      <x:c r="C179" s="3"/>
      <x:c r="D179" s="3"/>
      <x:c r="E179" s="3"/>
      <x:c r="F179" s="3"/>
      <x:c r="G179" s="3"/>
      <x:c r="H179" s="3"/>
      <x:c r="I179" s="9"/>
      <x:c r="J179" s="3"/>
      <x:c r="K179" s="3"/>
      <x:c r="L179" s="3"/>
      <x:c r="M179" s="1" t="str">
        <x:f>IF(B179="","",IF(W179="Invalid hours","Invalid hours",IF(NOT(ISNUMBER(X179)),"Excluded",IF(AND(J179&lt;&gt;"",K179&lt;&gt;"",L179&lt;&gt;"",COUNTIF('SOW caps'!$N$7:$N$36,A179&amp;"|"&amp;K179)=1),"Mapped","Needs allocation"))))</x:f>
      </x:c>
      <x:c r="N179" s="8" t="str">
        <x:f>IF(B179="","",IF(M179="Mapped",_xlfn.XLOOKUP(A179&amp;"|"&amp;K179,'SOW caps'!$N$7:$N$36,'SOW caps'!$E$7:$E$36,""),IF(ISNUMBER('SOW caps'!$B$3),'SOW caps'!$B$3,"")))</x:f>
      </x:c>
      <x:c r="O179" s="8" t="str">
        <x:f>IF(AND(ISNUMBER(X179),ISNUMBER(N179),N179&gt;=0),X179*N179,"")</x:f>
      </x:c>
      <x:c r="P179" s="3"/>
      <x:c r="Q179" s="3"/>
      <x:c r="R179" s="3"/>
      <x:c r="S179" s="3"/>
      <x:c r="T179" s="3"/>
      <x:c r="U179" s="8" t="str">
        <x:f>IF(M179="Mapped",IF(OR(_xlfn.XLOOKUP(A179&amp;"|"&amp;K179,'SOW caps'!$N$7:$N$36,'SOW caps'!$M$7:$M$36,"")="Ready",_xlfn.XLOOKUP(A179&amp;"|"&amp;K179,'SOW caps'!$N$7:$N$36,'SOW caps'!$M$7:$M$36,"")="No hours"),_xlfn.XLOOKUP(A179&amp;"|"&amp;K179,'SOW caps'!$N$7:$N$36,'SOW caps'!$O$7:$O$36,""),""),"")</x:f>
      </x:c>
      <x:c r="V179" s="8" t="str">
        <x:f>IF(AND(ISNUMBER(U179),ISNUMBER(X179)),ROUND(SUMIFS($X$7:X179,$A$7:A179,A179,$K$7:K179,K179,$M$7:M179,"Mapped")*U179,2)-ROUND((SUMIFS($X$7:X179,$A$7:A179,A179,$K$7:K179,K179,$M$7:M179,"Mapped")-X179)*U179,2),"")</x:f>
      </x:c>
      <x:c r="W179" s="1" t="str">
        <x:f>IF(B179="","",IF(OR(NOT(ISNUMBER(I179)),I179&lt;0),"Invalid hours",IF(NOT(ISNUMBER(R179)),"Manual hours",IF(ROUND(I179*3600000,0)=R179,"Source hours","Adjusted hours"))))</x:f>
      </x:c>
      <x:c r="X179" s="10" t="str">
        <x:f>IF(B179="","",IF(AND(ISNUMBER(I179),I179&gt;=0,Q179="In period"),I179,""))</x:f>
      </x:c>
    </x:row>
    <x:row r="180" ht="23" customHeight="1">
      <x:c r="A180" s="3"/>
      <x:c r="B180" s="3"/>
      <x:c r="C180" s="3"/>
      <x:c r="D180" s="3"/>
      <x:c r="E180" s="3"/>
      <x:c r="F180" s="3"/>
      <x:c r="G180" s="3"/>
      <x:c r="H180" s="3"/>
      <x:c r="I180" s="9"/>
      <x:c r="J180" s="3"/>
      <x:c r="K180" s="3"/>
      <x:c r="L180" s="3"/>
      <x:c r="M180" s="1" t="str">
        <x:f>IF(B180="","",IF(W180="Invalid hours","Invalid hours",IF(NOT(ISNUMBER(X180)),"Excluded",IF(AND(J180&lt;&gt;"",K180&lt;&gt;"",L180&lt;&gt;"",COUNTIF('SOW caps'!$N$7:$N$36,A180&amp;"|"&amp;K180)=1),"Mapped","Needs allocation"))))</x:f>
      </x:c>
      <x:c r="N180" s="8" t="str">
        <x:f>IF(B180="","",IF(M180="Mapped",_xlfn.XLOOKUP(A180&amp;"|"&amp;K180,'SOW caps'!$N$7:$N$36,'SOW caps'!$E$7:$E$36,""),IF(ISNUMBER('SOW caps'!$B$3),'SOW caps'!$B$3,"")))</x:f>
      </x:c>
      <x:c r="O180" s="8" t="str">
        <x:f>IF(AND(ISNUMBER(X180),ISNUMBER(N180),N180&gt;=0),X180*N180,"")</x:f>
      </x:c>
      <x:c r="P180" s="3"/>
      <x:c r="Q180" s="3"/>
      <x:c r="R180" s="3"/>
      <x:c r="S180" s="3"/>
      <x:c r="T180" s="3"/>
      <x:c r="U180" s="8" t="str">
        <x:f>IF(M180="Mapped",IF(OR(_xlfn.XLOOKUP(A180&amp;"|"&amp;K180,'SOW caps'!$N$7:$N$36,'SOW caps'!$M$7:$M$36,"")="Ready",_xlfn.XLOOKUP(A180&amp;"|"&amp;K180,'SOW caps'!$N$7:$N$36,'SOW caps'!$M$7:$M$36,"")="No hours"),_xlfn.XLOOKUP(A180&amp;"|"&amp;K180,'SOW caps'!$N$7:$N$36,'SOW caps'!$O$7:$O$36,""),""),"")</x:f>
      </x:c>
      <x:c r="V180" s="8" t="str">
        <x:f>IF(AND(ISNUMBER(U180),ISNUMBER(X180)),ROUND(SUMIFS($X$7:X180,$A$7:A180,A180,$K$7:K180,K180,$M$7:M180,"Mapped")*U180,2)-ROUND((SUMIFS($X$7:X180,$A$7:A180,A180,$K$7:K180,K180,$M$7:M180,"Mapped")-X180)*U180,2),"")</x:f>
      </x:c>
      <x:c r="W180" s="1" t="str">
        <x:f>IF(B180="","",IF(OR(NOT(ISNUMBER(I180)),I180&lt;0),"Invalid hours",IF(NOT(ISNUMBER(R180)),"Manual hours",IF(ROUND(I180*3600000,0)=R180,"Source hours","Adjusted hours"))))</x:f>
      </x:c>
      <x:c r="X180" s="10" t="str">
        <x:f>IF(B180="","",IF(AND(ISNUMBER(I180),I180&gt;=0,Q180="In period"),I180,""))</x:f>
      </x:c>
    </x:row>
    <x:row r="181" ht="23" customHeight="1">
      <x:c r="A181" s="3"/>
      <x:c r="B181" s="3"/>
      <x:c r="C181" s="3"/>
      <x:c r="D181" s="3"/>
      <x:c r="E181" s="3"/>
      <x:c r="F181" s="3"/>
      <x:c r="G181" s="3"/>
      <x:c r="H181" s="3"/>
      <x:c r="I181" s="9"/>
      <x:c r="J181" s="3"/>
      <x:c r="K181" s="3"/>
      <x:c r="L181" s="3"/>
      <x:c r="M181" s="1" t="str">
        <x:f>IF(B181="","",IF(W181="Invalid hours","Invalid hours",IF(NOT(ISNUMBER(X181)),"Excluded",IF(AND(J181&lt;&gt;"",K181&lt;&gt;"",L181&lt;&gt;"",COUNTIF('SOW caps'!$N$7:$N$36,A181&amp;"|"&amp;K181)=1),"Mapped","Needs allocation"))))</x:f>
      </x:c>
      <x:c r="N181" s="8" t="str">
        <x:f>IF(B181="","",IF(M181="Mapped",_xlfn.XLOOKUP(A181&amp;"|"&amp;K181,'SOW caps'!$N$7:$N$36,'SOW caps'!$E$7:$E$36,""),IF(ISNUMBER('SOW caps'!$B$3),'SOW caps'!$B$3,"")))</x:f>
      </x:c>
      <x:c r="O181" s="8" t="str">
        <x:f>IF(AND(ISNUMBER(X181),ISNUMBER(N181),N181&gt;=0),X181*N181,"")</x:f>
      </x:c>
      <x:c r="P181" s="3"/>
      <x:c r="Q181" s="3"/>
      <x:c r="R181" s="3"/>
      <x:c r="S181" s="3"/>
      <x:c r="T181" s="3"/>
      <x:c r="U181" s="8" t="str">
        <x:f>IF(M181="Mapped",IF(OR(_xlfn.XLOOKUP(A181&amp;"|"&amp;K181,'SOW caps'!$N$7:$N$36,'SOW caps'!$M$7:$M$36,"")="Ready",_xlfn.XLOOKUP(A181&amp;"|"&amp;K181,'SOW caps'!$N$7:$N$36,'SOW caps'!$M$7:$M$36,"")="No hours"),_xlfn.XLOOKUP(A181&amp;"|"&amp;K181,'SOW caps'!$N$7:$N$36,'SOW caps'!$O$7:$O$36,""),""),"")</x:f>
      </x:c>
      <x:c r="V181" s="8" t="str">
        <x:f>IF(AND(ISNUMBER(U181),ISNUMBER(X181)),ROUND(SUMIFS($X$7:X181,$A$7:A181,A181,$K$7:K181,K181,$M$7:M181,"Mapped")*U181,2)-ROUND((SUMIFS($X$7:X181,$A$7:A181,A181,$K$7:K181,K181,$M$7:M181,"Mapped")-X181)*U181,2),"")</x:f>
      </x:c>
      <x:c r="W181" s="1" t="str">
        <x:f>IF(B181="","",IF(OR(NOT(ISNUMBER(I181)),I181&lt;0),"Invalid hours",IF(NOT(ISNUMBER(R181)),"Manual hours",IF(ROUND(I181*3600000,0)=R181,"Source hours","Adjusted hours"))))</x:f>
      </x:c>
      <x:c r="X181" s="10" t="str">
        <x:f>IF(B181="","",IF(AND(ISNUMBER(I181),I181&gt;=0,Q181="In period"),I181,""))</x:f>
      </x:c>
    </x:row>
    <x:row r="182" ht="23" customHeight="1">
      <x:c r="A182" s="3"/>
      <x:c r="B182" s="3"/>
      <x:c r="C182" s="3"/>
      <x:c r="D182" s="3"/>
      <x:c r="E182" s="3"/>
      <x:c r="F182" s="3"/>
      <x:c r="G182" s="3"/>
      <x:c r="H182" s="3"/>
      <x:c r="I182" s="9"/>
      <x:c r="J182" s="3"/>
      <x:c r="K182" s="3"/>
      <x:c r="L182" s="3"/>
      <x:c r="M182" s="1" t="str">
        <x:f>IF(B182="","",IF(W182="Invalid hours","Invalid hours",IF(NOT(ISNUMBER(X182)),"Excluded",IF(AND(J182&lt;&gt;"",K182&lt;&gt;"",L182&lt;&gt;"",COUNTIF('SOW caps'!$N$7:$N$36,A182&amp;"|"&amp;K182)=1),"Mapped","Needs allocation"))))</x:f>
      </x:c>
      <x:c r="N182" s="8" t="str">
        <x:f>IF(B182="","",IF(M182="Mapped",_xlfn.XLOOKUP(A182&amp;"|"&amp;K182,'SOW caps'!$N$7:$N$36,'SOW caps'!$E$7:$E$36,""),IF(ISNUMBER('SOW caps'!$B$3),'SOW caps'!$B$3,"")))</x:f>
      </x:c>
      <x:c r="O182" s="8" t="str">
        <x:f>IF(AND(ISNUMBER(X182),ISNUMBER(N182),N182&gt;=0),X182*N182,"")</x:f>
      </x:c>
      <x:c r="P182" s="3"/>
      <x:c r="Q182" s="3"/>
      <x:c r="R182" s="3"/>
      <x:c r="S182" s="3"/>
      <x:c r="T182" s="3"/>
      <x:c r="U182" s="8" t="str">
        <x:f>IF(M182="Mapped",IF(OR(_xlfn.XLOOKUP(A182&amp;"|"&amp;K182,'SOW caps'!$N$7:$N$36,'SOW caps'!$M$7:$M$36,"")="Ready",_xlfn.XLOOKUP(A182&amp;"|"&amp;K182,'SOW caps'!$N$7:$N$36,'SOW caps'!$M$7:$M$36,"")="No hours"),_xlfn.XLOOKUP(A182&amp;"|"&amp;K182,'SOW caps'!$N$7:$N$36,'SOW caps'!$O$7:$O$36,""),""),"")</x:f>
      </x:c>
      <x:c r="V182" s="8" t="str">
        <x:f>IF(AND(ISNUMBER(U182),ISNUMBER(X182)),ROUND(SUMIFS($X$7:X182,$A$7:A182,A182,$K$7:K182,K182,$M$7:M182,"Mapped")*U182,2)-ROUND((SUMIFS($X$7:X182,$A$7:A182,A182,$K$7:K182,K182,$M$7:M182,"Mapped")-X182)*U182,2),"")</x:f>
      </x:c>
      <x:c r="W182" s="1" t="str">
        <x:f>IF(B182="","",IF(OR(NOT(ISNUMBER(I182)),I182&lt;0),"Invalid hours",IF(NOT(ISNUMBER(R182)),"Manual hours",IF(ROUND(I182*3600000,0)=R182,"Source hours","Adjusted hours"))))</x:f>
      </x:c>
      <x:c r="X182" s="10" t="str">
        <x:f>IF(B182="","",IF(AND(ISNUMBER(I182),I182&gt;=0,Q182="In period"),I182,""))</x:f>
      </x:c>
    </x:row>
    <x:row r="183" ht="23" customHeight="1">
      <x:c r="A183" s="3"/>
      <x:c r="B183" s="3"/>
      <x:c r="C183" s="3"/>
      <x:c r="D183" s="3"/>
      <x:c r="E183" s="3"/>
      <x:c r="F183" s="3"/>
      <x:c r="G183" s="3"/>
      <x:c r="H183" s="3"/>
      <x:c r="I183" s="9"/>
      <x:c r="J183" s="3"/>
      <x:c r="K183" s="3"/>
      <x:c r="L183" s="3"/>
      <x:c r="M183" s="1" t="str">
        <x:f>IF(B183="","",IF(W183="Invalid hours","Invalid hours",IF(NOT(ISNUMBER(X183)),"Excluded",IF(AND(J183&lt;&gt;"",K183&lt;&gt;"",L183&lt;&gt;"",COUNTIF('SOW caps'!$N$7:$N$36,A183&amp;"|"&amp;K183)=1),"Mapped","Needs allocation"))))</x:f>
      </x:c>
      <x:c r="N183" s="8" t="str">
        <x:f>IF(B183="","",IF(M183="Mapped",_xlfn.XLOOKUP(A183&amp;"|"&amp;K183,'SOW caps'!$N$7:$N$36,'SOW caps'!$E$7:$E$36,""),IF(ISNUMBER('SOW caps'!$B$3),'SOW caps'!$B$3,"")))</x:f>
      </x:c>
      <x:c r="O183" s="8" t="str">
        <x:f>IF(AND(ISNUMBER(X183),ISNUMBER(N183),N183&gt;=0),X183*N183,"")</x:f>
      </x:c>
      <x:c r="P183" s="3"/>
      <x:c r="Q183" s="3"/>
      <x:c r="R183" s="3"/>
      <x:c r="S183" s="3"/>
      <x:c r="T183" s="3"/>
      <x:c r="U183" s="8" t="str">
        <x:f>IF(M183="Mapped",IF(OR(_xlfn.XLOOKUP(A183&amp;"|"&amp;K183,'SOW caps'!$N$7:$N$36,'SOW caps'!$M$7:$M$36,"")="Ready",_xlfn.XLOOKUP(A183&amp;"|"&amp;K183,'SOW caps'!$N$7:$N$36,'SOW caps'!$M$7:$M$36,"")="No hours"),_xlfn.XLOOKUP(A183&amp;"|"&amp;K183,'SOW caps'!$N$7:$N$36,'SOW caps'!$O$7:$O$36,""),""),"")</x:f>
      </x:c>
      <x:c r="V183" s="8" t="str">
        <x:f>IF(AND(ISNUMBER(U183),ISNUMBER(X183)),ROUND(SUMIFS($X$7:X183,$A$7:A183,A183,$K$7:K183,K183,$M$7:M183,"Mapped")*U183,2)-ROUND((SUMIFS($X$7:X183,$A$7:A183,A183,$K$7:K183,K183,$M$7:M183,"Mapped")-X183)*U183,2),"")</x:f>
      </x:c>
      <x:c r="W183" s="1" t="str">
        <x:f>IF(B183="","",IF(OR(NOT(ISNUMBER(I183)),I183&lt;0),"Invalid hours",IF(NOT(ISNUMBER(R183)),"Manual hours",IF(ROUND(I183*3600000,0)=R183,"Source hours","Adjusted hours"))))</x:f>
      </x:c>
      <x:c r="X183" s="10" t="str">
        <x:f>IF(B183="","",IF(AND(ISNUMBER(I183),I183&gt;=0,Q183="In period"),I183,""))</x:f>
      </x:c>
    </x:row>
    <x:row r="184" ht="23" customHeight="1">
      <x:c r="A184" s="3"/>
      <x:c r="B184" s="3"/>
      <x:c r="C184" s="3"/>
      <x:c r="D184" s="3"/>
      <x:c r="E184" s="3"/>
      <x:c r="F184" s="3"/>
      <x:c r="G184" s="3"/>
      <x:c r="H184" s="3"/>
      <x:c r="I184" s="9"/>
      <x:c r="J184" s="3"/>
      <x:c r="K184" s="3"/>
      <x:c r="L184" s="3"/>
      <x:c r="M184" s="1" t="str">
        <x:f>IF(B184="","",IF(W184="Invalid hours","Invalid hours",IF(NOT(ISNUMBER(X184)),"Excluded",IF(AND(J184&lt;&gt;"",K184&lt;&gt;"",L184&lt;&gt;"",COUNTIF('SOW caps'!$N$7:$N$36,A184&amp;"|"&amp;K184)=1),"Mapped","Needs allocation"))))</x:f>
      </x:c>
      <x:c r="N184" s="8" t="str">
        <x:f>IF(B184="","",IF(M184="Mapped",_xlfn.XLOOKUP(A184&amp;"|"&amp;K184,'SOW caps'!$N$7:$N$36,'SOW caps'!$E$7:$E$36,""),IF(ISNUMBER('SOW caps'!$B$3),'SOW caps'!$B$3,"")))</x:f>
      </x:c>
      <x:c r="O184" s="8" t="str">
        <x:f>IF(AND(ISNUMBER(X184),ISNUMBER(N184),N184&gt;=0),X184*N184,"")</x:f>
      </x:c>
      <x:c r="P184" s="3"/>
      <x:c r="Q184" s="3"/>
      <x:c r="R184" s="3"/>
      <x:c r="S184" s="3"/>
      <x:c r="T184" s="3"/>
      <x:c r="U184" s="8" t="str">
        <x:f>IF(M184="Mapped",IF(OR(_xlfn.XLOOKUP(A184&amp;"|"&amp;K184,'SOW caps'!$N$7:$N$36,'SOW caps'!$M$7:$M$36,"")="Ready",_xlfn.XLOOKUP(A184&amp;"|"&amp;K184,'SOW caps'!$N$7:$N$36,'SOW caps'!$M$7:$M$36,"")="No hours"),_xlfn.XLOOKUP(A184&amp;"|"&amp;K184,'SOW caps'!$N$7:$N$36,'SOW caps'!$O$7:$O$36,""),""),"")</x:f>
      </x:c>
      <x:c r="V184" s="8" t="str">
        <x:f>IF(AND(ISNUMBER(U184),ISNUMBER(X184)),ROUND(SUMIFS($X$7:X184,$A$7:A184,A184,$K$7:K184,K184,$M$7:M184,"Mapped")*U184,2)-ROUND((SUMIFS($X$7:X184,$A$7:A184,A184,$K$7:K184,K184,$M$7:M184,"Mapped")-X184)*U184,2),"")</x:f>
      </x:c>
      <x:c r="W184" s="1" t="str">
        <x:f>IF(B184="","",IF(OR(NOT(ISNUMBER(I184)),I184&lt;0),"Invalid hours",IF(NOT(ISNUMBER(R184)),"Manual hours",IF(ROUND(I184*3600000,0)=R184,"Source hours","Adjusted hours"))))</x:f>
      </x:c>
      <x:c r="X184" s="10" t="str">
        <x:f>IF(B184="","",IF(AND(ISNUMBER(I184),I184&gt;=0,Q184="In period"),I184,""))</x:f>
      </x:c>
    </x:row>
    <x:row r="185" ht="23" customHeight="1">
      <x:c r="A185" s="3"/>
      <x:c r="B185" s="3"/>
      <x:c r="C185" s="3"/>
      <x:c r="D185" s="3"/>
      <x:c r="E185" s="3"/>
      <x:c r="F185" s="3"/>
      <x:c r="G185" s="3"/>
      <x:c r="H185" s="3"/>
      <x:c r="I185" s="9"/>
      <x:c r="J185" s="3"/>
      <x:c r="K185" s="3"/>
      <x:c r="L185" s="3"/>
      <x:c r="M185" s="1" t="str">
        <x:f>IF(B185="","",IF(W185="Invalid hours","Invalid hours",IF(NOT(ISNUMBER(X185)),"Excluded",IF(AND(J185&lt;&gt;"",K185&lt;&gt;"",L185&lt;&gt;"",COUNTIF('SOW caps'!$N$7:$N$36,A185&amp;"|"&amp;K185)=1),"Mapped","Needs allocation"))))</x:f>
      </x:c>
      <x:c r="N185" s="8" t="str">
        <x:f>IF(B185="","",IF(M185="Mapped",_xlfn.XLOOKUP(A185&amp;"|"&amp;K185,'SOW caps'!$N$7:$N$36,'SOW caps'!$E$7:$E$36,""),IF(ISNUMBER('SOW caps'!$B$3),'SOW caps'!$B$3,"")))</x:f>
      </x:c>
      <x:c r="O185" s="8" t="str">
        <x:f>IF(AND(ISNUMBER(X185),ISNUMBER(N185),N185&gt;=0),X185*N185,"")</x:f>
      </x:c>
      <x:c r="P185" s="3"/>
      <x:c r="Q185" s="3"/>
      <x:c r="R185" s="3"/>
      <x:c r="S185" s="3"/>
      <x:c r="T185" s="3"/>
      <x:c r="U185" s="8" t="str">
        <x:f>IF(M185="Mapped",IF(OR(_xlfn.XLOOKUP(A185&amp;"|"&amp;K185,'SOW caps'!$N$7:$N$36,'SOW caps'!$M$7:$M$36,"")="Ready",_xlfn.XLOOKUP(A185&amp;"|"&amp;K185,'SOW caps'!$N$7:$N$36,'SOW caps'!$M$7:$M$36,"")="No hours"),_xlfn.XLOOKUP(A185&amp;"|"&amp;K185,'SOW caps'!$N$7:$N$36,'SOW caps'!$O$7:$O$36,""),""),"")</x:f>
      </x:c>
      <x:c r="V185" s="8" t="str">
        <x:f>IF(AND(ISNUMBER(U185),ISNUMBER(X185)),ROUND(SUMIFS($X$7:X185,$A$7:A185,A185,$K$7:K185,K185,$M$7:M185,"Mapped")*U185,2)-ROUND((SUMIFS($X$7:X185,$A$7:A185,A185,$K$7:K185,K185,$M$7:M185,"Mapped")-X185)*U185,2),"")</x:f>
      </x:c>
      <x:c r="W185" s="1" t="str">
        <x:f>IF(B185="","",IF(OR(NOT(ISNUMBER(I185)),I185&lt;0),"Invalid hours",IF(NOT(ISNUMBER(R185)),"Manual hours",IF(ROUND(I185*3600000,0)=R185,"Source hours","Adjusted hours"))))</x:f>
      </x:c>
      <x:c r="X185" s="10" t="str">
        <x:f>IF(B185="","",IF(AND(ISNUMBER(I185),I185&gt;=0,Q185="In period"),I185,""))</x:f>
      </x:c>
    </x:row>
    <x:row r="186" ht="23" customHeight="1">
      <x:c r="A186" s="3"/>
      <x:c r="B186" s="3"/>
      <x:c r="C186" s="3"/>
      <x:c r="D186" s="3"/>
      <x:c r="E186" s="3"/>
      <x:c r="F186" s="3"/>
      <x:c r="G186" s="3"/>
      <x:c r="H186" s="3"/>
      <x:c r="I186" s="9"/>
      <x:c r="J186" s="3"/>
      <x:c r="K186" s="3"/>
      <x:c r="L186" s="3"/>
      <x:c r="M186" s="1" t="str">
        <x:f>IF(B186="","",IF(W186="Invalid hours","Invalid hours",IF(NOT(ISNUMBER(X186)),"Excluded",IF(AND(J186&lt;&gt;"",K186&lt;&gt;"",L186&lt;&gt;"",COUNTIF('SOW caps'!$N$7:$N$36,A186&amp;"|"&amp;K186)=1),"Mapped","Needs allocation"))))</x:f>
      </x:c>
      <x:c r="N186" s="8" t="str">
        <x:f>IF(B186="","",IF(M186="Mapped",_xlfn.XLOOKUP(A186&amp;"|"&amp;K186,'SOW caps'!$N$7:$N$36,'SOW caps'!$E$7:$E$36,""),IF(ISNUMBER('SOW caps'!$B$3),'SOW caps'!$B$3,"")))</x:f>
      </x:c>
      <x:c r="O186" s="8" t="str">
        <x:f>IF(AND(ISNUMBER(X186),ISNUMBER(N186),N186&gt;=0),X186*N186,"")</x:f>
      </x:c>
      <x:c r="P186" s="3"/>
      <x:c r="Q186" s="3"/>
      <x:c r="R186" s="3"/>
      <x:c r="S186" s="3"/>
      <x:c r="T186" s="3"/>
      <x:c r="U186" s="8" t="str">
        <x:f>IF(M186="Mapped",IF(OR(_xlfn.XLOOKUP(A186&amp;"|"&amp;K186,'SOW caps'!$N$7:$N$36,'SOW caps'!$M$7:$M$36,"")="Ready",_xlfn.XLOOKUP(A186&amp;"|"&amp;K186,'SOW caps'!$N$7:$N$36,'SOW caps'!$M$7:$M$36,"")="No hours"),_xlfn.XLOOKUP(A186&amp;"|"&amp;K186,'SOW caps'!$N$7:$N$36,'SOW caps'!$O$7:$O$36,""),""),"")</x:f>
      </x:c>
      <x:c r="V186" s="8" t="str">
        <x:f>IF(AND(ISNUMBER(U186),ISNUMBER(X186)),ROUND(SUMIFS($X$7:X186,$A$7:A186,A186,$K$7:K186,K186,$M$7:M186,"Mapped")*U186,2)-ROUND((SUMIFS($X$7:X186,$A$7:A186,A186,$K$7:K186,K186,$M$7:M186,"Mapped")-X186)*U186,2),"")</x:f>
      </x:c>
      <x:c r="W186" s="1" t="str">
        <x:f>IF(B186="","",IF(OR(NOT(ISNUMBER(I186)),I186&lt;0),"Invalid hours",IF(NOT(ISNUMBER(R186)),"Manual hours",IF(ROUND(I186*3600000,0)=R186,"Source hours","Adjusted hours"))))</x:f>
      </x:c>
      <x:c r="X186" s="10" t="str">
        <x:f>IF(B186="","",IF(AND(ISNUMBER(I186),I186&gt;=0,Q186="In period"),I186,""))</x:f>
      </x:c>
    </x:row>
    <x:row r="187" ht="23" customHeight="1">
      <x:c r="A187" s="3"/>
      <x:c r="B187" s="3"/>
      <x:c r="C187" s="3"/>
      <x:c r="D187" s="3"/>
      <x:c r="E187" s="3"/>
      <x:c r="F187" s="3"/>
      <x:c r="G187" s="3"/>
      <x:c r="H187" s="3"/>
      <x:c r="I187" s="9"/>
      <x:c r="J187" s="3"/>
      <x:c r="K187" s="3"/>
      <x:c r="L187" s="3"/>
      <x:c r="M187" s="1" t="str">
        <x:f>IF(B187="","",IF(W187="Invalid hours","Invalid hours",IF(NOT(ISNUMBER(X187)),"Excluded",IF(AND(J187&lt;&gt;"",K187&lt;&gt;"",L187&lt;&gt;"",COUNTIF('SOW caps'!$N$7:$N$36,A187&amp;"|"&amp;K187)=1),"Mapped","Needs allocation"))))</x:f>
      </x:c>
      <x:c r="N187" s="8" t="str">
        <x:f>IF(B187="","",IF(M187="Mapped",_xlfn.XLOOKUP(A187&amp;"|"&amp;K187,'SOW caps'!$N$7:$N$36,'SOW caps'!$E$7:$E$36,""),IF(ISNUMBER('SOW caps'!$B$3),'SOW caps'!$B$3,"")))</x:f>
      </x:c>
      <x:c r="O187" s="8" t="str">
        <x:f>IF(AND(ISNUMBER(X187),ISNUMBER(N187),N187&gt;=0),X187*N187,"")</x:f>
      </x:c>
      <x:c r="P187" s="3"/>
      <x:c r="Q187" s="3"/>
      <x:c r="R187" s="3"/>
      <x:c r="S187" s="3"/>
      <x:c r="T187" s="3"/>
      <x:c r="U187" s="8" t="str">
        <x:f>IF(M187="Mapped",IF(OR(_xlfn.XLOOKUP(A187&amp;"|"&amp;K187,'SOW caps'!$N$7:$N$36,'SOW caps'!$M$7:$M$36,"")="Ready",_xlfn.XLOOKUP(A187&amp;"|"&amp;K187,'SOW caps'!$N$7:$N$36,'SOW caps'!$M$7:$M$36,"")="No hours"),_xlfn.XLOOKUP(A187&amp;"|"&amp;K187,'SOW caps'!$N$7:$N$36,'SOW caps'!$O$7:$O$36,""),""),"")</x:f>
      </x:c>
      <x:c r="V187" s="8" t="str">
        <x:f>IF(AND(ISNUMBER(U187),ISNUMBER(X187)),ROUND(SUMIFS($X$7:X187,$A$7:A187,A187,$K$7:K187,K187,$M$7:M187,"Mapped")*U187,2)-ROUND((SUMIFS($X$7:X187,$A$7:A187,A187,$K$7:K187,K187,$M$7:M187,"Mapped")-X187)*U187,2),"")</x:f>
      </x:c>
      <x:c r="W187" s="1" t="str">
        <x:f>IF(B187="","",IF(OR(NOT(ISNUMBER(I187)),I187&lt;0),"Invalid hours",IF(NOT(ISNUMBER(R187)),"Manual hours",IF(ROUND(I187*3600000,0)=R187,"Source hours","Adjusted hours"))))</x:f>
      </x:c>
      <x:c r="X187" s="10" t="str">
        <x:f>IF(B187="","",IF(AND(ISNUMBER(I187),I187&gt;=0,Q187="In period"),I187,""))</x:f>
      </x:c>
    </x:row>
    <x:row r="188" ht="23" customHeight="1">
      <x:c r="A188" s="3"/>
      <x:c r="B188" s="3"/>
      <x:c r="C188" s="3"/>
      <x:c r="D188" s="3"/>
      <x:c r="E188" s="3"/>
      <x:c r="F188" s="3"/>
      <x:c r="G188" s="3"/>
      <x:c r="H188" s="3"/>
      <x:c r="I188" s="9"/>
      <x:c r="J188" s="3"/>
      <x:c r="K188" s="3"/>
      <x:c r="L188" s="3"/>
      <x:c r="M188" s="1" t="str">
        <x:f>IF(B188="","",IF(W188="Invalid hours","Invalid hours",IF(NOT(ISNUMBER(X188)),"Excluded",IF(AND(J188&lt;&gt;"",K188&lt;&gt;"",L188&lt;&gt;"",COUNTIF('SOW caps'!$N$7:$N$36,A188&amp;"|"&amp;K188)=1),"Mapped","Needs allocation"))))</x:f>
      </x:c>
      <x:c r="N188" s="8" t="str">
        <x:f>IF(B188="","",IF(M188="Mapped",_xlfn.XLOOKUP(A188&amp;"|"&amp;K188,'SOW caps'!$N$7:$N$36,'SOW caps'!$E$7:$E$36,""),IF(ISNUMBER('SOW caps'!$B$3),'SOW caps'!$B$3,"")))</x:f>
      </x:c>
      <x:c r="O188" s="8" t="str">
        <x:f>IF(AND(ISNUMBER(X188),ISNUMBER(N188),N188&gt;=0),X188*N188,"")</x:f>
      </x:c>
      <x:c r="P188" s="3"/>
      <x:c r="Q188" s="3"/>
      <x:c r="R188" s="3"/>
      <x:c r="S188" s="3"/>
      <x:c r="T188" s="3"/>
      <x:c r="U188" s="8" t="str">
        <x:f>IF(M188="Mapped",IF(OR(_xlfn.XLOOKUP(A188&amp;"|"&amp;K188,'SOW caps'!$N$7:$N$36,'SOW caps'!$M$7:$M$36,"")="Ready",_xlfn.XLOOKUP(A188&amp;"|"&amp;K188,'SOW caps'!$N$7:$N$36,'SOW caps'!$M$7:$M$36,"")="No hours"),_xlfn.XLOOKUP(A188&amp;"|"&amp;K188,'SOW caps'!$N$7:$N$36,'SOW caps'!$O$7:$O$36,""),""),"")</x:f>
      </x:c>
      <x:c r="V188" s="8" t="str">
        <x:f>IF(AND(ISNUMBER(U188),ISNUMBER(X188)),ROUND(SUMIFS($X$7:X188,$A$7:A188,A188,$K$7:K188,K188,$M$7:M188,"Mapped")*U188,2)-ROUND((SUMIFS($X$7:X188,$A$7:A188,A188,$K$7:K188,K188,$M$7:M188,"Mapped")-X188)*U188,2),"")</x:f>
      </x:c>
      <x:c r="W188" s="1" t="str">
        <x:f>IF(B188="","",IF(OR(NOT(ISNUMBER(I188)),I188&lt;0),"Invalid hours",IF(NOT(ISNUMBER(R188)),"Manual hours",IF(ROUND(I188*3600000,0)=R188,"Source hours","Adjusted hours"))))</x:f>
      </x:c>
      <x:c r="X188" s="10" t="str">
        <x:f>IF(B188="","",IF(AND(ISNUMBER(I188),I188&gt;=0,Q188="In period"),I188,""))</x:f>
      </x:c>
    </x:row>
    <x:row r="189" ht="23" customHeight="1">
      <x:c r="A189" s="3"/>
      <x:c r="B189" s="3"/>
      <x:c r="C189" s="3"/>
      <x:c r="D189" s="3"/>
      <x:c r="E189" s="3"/>
      <x:c r="F189" s="3"/>
      <x:c r="G189" s="3"/>
      <x:c r="H189" s="3"/>
      <x:c r="I189" s="9"/>
      <x:c r="J189" s="3"/>
      <x:c r="K189" s="3"/>
      <x:c r="L189" s="3"/>
      <x:c r="M189" s="1" t="str">
        <x:f>IF(B189="","",IF(W189="Invalid hours","Invalid hours",IF(NOT(ISNUMBER(X189)),"Excluded",IF(AND(J189&lt;&gt;"",K189&lt;&gt;"",L189&lt;&gt;"",COUNTIF('SOW caps'!$N$7:$N$36,A189&amp;"|"&amp;K189)=1),"Mapped","Needs allocation"))))</x:f>
      </x:c>
      <x:c r="N189" s="8" t="str">
        <x:f>IF(B189="","",IF(M189="Mapped",_xlfn.XLOOKUP(A189&amp;"|"&amp;K189,'SOW caps'!$N$7:$N$36,'SOW caps'!$E$7:$E$36,""),IF(ISNUMBER('SOW caps'!$B$3),'SOW caps'!$B$3,"")))</x:f>
      </x:c>
      <x:c r="O189" s="8" t="str">
        <x:f>IF(AND(ISNUMBER(X189),ISNUMBER(N189),N189&gt;=0),X189*N189,"")</x:f>
      </x:c>
      <x:c r="P189" s="3"/>
      <x:c r="Q189" s="3"/>
      <x:c r="R189" s="3"/>
      <x:c r="S189" s="3"/>
      <x:c r="T189" s="3"/>
      <x:c r="U189" s="8" t="str">
        <x:f>IF(M189="Mapped",IF(OR(_xlfn.XLOOKUP(A189&amp;"|"&amp;K189,'SOW caps'!$N$7:$N$36,'SOW caps'!$M$7:$M$36,"")="Ready",_xlfn.XLOOKUP(A189&amp;"|"&amp;K189,'SOW caps'!$N$7:$N$36,'SOW caps'!$M$7:$M$36,"")="No hours"),_xlfn.XLOOKUP(A189&amp;"|"&amp;K189,'SOW caps'!$N$7:$N$36,'SOW caps'!$O$7:$O$36,""),""),"")</x:f>
      </x:c>
      <x:c r="V189" s="8" t="str">
        <x:f>IF(AND(ISNUMBER(U189),ISNUMBER(X189)),ROUND(SUMIFS($X$7:X189,$A$7:A189,A189,$K$7:K189,K189,$M$7:M189,"Mapped")*U189,2)-ROUND((SUMIFS($X$7:X189,$A$7:A189,A189,$K$7:K189,K189,$M$7:M189,"Mapped")-X189)*U189,2),"")</x:f>
      </x:c>
      <x:c r="W189" s="1" t="str">
        <x:f>IF(B189="","",IF(OR(NOT(ISNUMBER(I189)),I189&lt;0),"Invalid hours",IF(NOT(ISNUMBER(R189)),"Manual hours",IF(ROUND(I189*3600000,0)=R189,"Source hours","Adjusted hours"))))</x:f>
      </x:c>
      <x:c r="X189" s="10" t="str">
        <x:f>IF(B189="","",IF(AND(ISNUMBER(I189),I189&gt;=0,Q189="In period"),I189,""))</x:f>
      </x:c>
    </x:row>
    <x:row r="190" ht="23" customHeight="1">
      <x:c r="A190" s="3"/>
      <x:c r="B190" s="3"/>
      <x:c r="C190" s="3"/>
      <x:c r="D190" s="3"/>
      <x:c r="E190" s="3"/>
      <x:c r="F190" s="3"/>
      <x:c r="G190" s="3"/>
      <x:c r="H190" s="3"/>
      <x:c r="I190" s="9"/>
      <x:c r="J190" s="3"/>
      <x:c r="K190" s="3"/>
      <x:c r="L190" s="3"/>
      <x:c r="M190" s="1" t="str">
        <x:f>IF(B190="","",IF(W190="Invalid hours","Invalid hours",IF(NOT(ISNUMBER(X190)),"Excluded",IF(AND(J190&lt;&gt;"",K190&lt;&gt;"",L190&lt;&gt;"",COUNTIF('SOW caps'!$N$7:$N$36,A190&amp;"|"&amp;K190)=1),"Mapped","Needs allocation"))))</x:f>
      </x:c>
      <x:c r="N190" s="8" t="str">
        <x:f>IF(B190="","",IF(M190="Mapped",_xlfn.XLOOKUP(A190&amp;"|"&amp;K190,'SOW caps'!$N$7:$N$36,'SOW caps'!$E$7:$E$36,""),IF(ISNUMBER('SOW caps'!$B$3),'SOW caps'!$B$3,"")))</x:f>
      </x:c>
      <x:c r="O190" s="8" t="str">
        <x:f>IF(AND(ISNUMBER(X190),ISNUMBER(N190),N190&gt;=0),X190*N190,"")</x:f>
      </x:c>
      <x:c r="P190" s="3"/>
      <x:c r="Q190" s="3"/>
      <x:c r="R190" s="3"/>
      <x:c r="S190" s="3"/>
      <x:c r="T190" s="3"/>
      <x:c r="U190" s="8" t="str">
        <x:f>IF(M190="Mapped",IF(OR(_xlfn.XLOOKUP(A190&amp;"|"&amp;K190,'SOW caps'!$N$7:$N$36,'SOW caps'!$M$7:$M$36,"")="Ready",_xlfn.XLOOKUP(A190&amp;"|"&amp;K190,'SOW caps'!$N$7:$N$36,'SOW caps'!$M$7:$M$36,"")="No hours"),_xlfn.XLOOKUP(A190&amp;"|"&amp;K190,'SOW caps'!$N$7:$N$36,'SOW caps'!$O$7:$O$36,""),""),"")</x:f>
      </x:c>
      <x:c r="V190" s="8" t="str">
        <x:f>IF(AND(ISNUMBER(U190),ISNUMBER(X190)),ROUND(SUMIFS($X$7:X190,$A$7:A190,A190,$K$7:K190,K190,$M$7:M190,"Mapped")*U190,2)-ROUND((SUMIFS($X$7:X190,$A$7:A190,A190,$K$7:K190,K190,$M$7:M190,"Mapped")-X190)*U190,2),"")</x:f>
      </x:c>
      <x:c r="W190" s="1" t="str">
        <x:f>IF(B190="","",IF(OR(NOT(ISNUMBER(I190)),I190&lt;0),"Invalid hours",IF(NOT(ISNUMBER(R190)),"Manual hours",IF(ROUND(I190*3600000,0)=R190,"Source hours","Adjusted hours"))))</x:f>
      </x:c>
      <x:c r="X190" s="10" t="str">
        <x:f>IF(B190="","",IF(AND(ISNUMBER(I190),I190&gt;=0,Q190="In period"),I190,""))</x:f>
      </x:c>
    </x:row>
    <x:row r="191" ht="23" customHeight="1">
      <x:c r="A191" s="3"/>
      <x:c r="B191" s="3"/>
      <x:c r="C191" s="3"/>
      <x:c r="D191" s="3"/>
      <x:c r="E191" s="3"/>
      <x:c r="F191" s="3"/>
      <x:c r="G191" s="3"/>
      <x:c r="H191" s="3"/>
      <x:c r="I191" s="9"/>
      <x:c r="J191" s="3"/>
      <x:c r="K191" s="3"/>
      <x:c r="L191" s="3"/>
      <x:c r="M191" s="1" t="str">
        <x:f>IF(B191="","",IF(W191="Invalid hours","Invalid hours",IF(NOT(ISNUMBER(X191)),"Excluded",IF(AND(J191&lt;&gt;"",K191&lt;&gt;"",L191&lt;&gt;"",COUNTIF('SOW caps'!$N$7:$N$36,A191&amp;"|"&amp;K191)=1),"Mapped","Needs allocation"))))</x:f>
      </x:c>
      <x:c r="N191" s="8" t="str">
        <x:f>IF(B191="","",IF(M191="Mapped",_xlfn.XLOOKUP(A191&amp;"|"&amp;K191,'SOW caps'!$N$7:$N$36,'SOW caps'!$E$7:$E$36,""),IF(ISNUMBER('SOW caps'!$B$3),'SOW caps'!$B$3,"")))</x:f>
      </x:c>
      <x:c r="O191" s="8" t="str">
        <x:f>IF(AND(ISNUMBER(X191),ISNUMBER(N191),N191&gt;=0),X191*N191,"")</x:f>
      </x:c>
      <x:c r="P191" s="3"/>
      <x:c r="Q191" s="3"/>
      <x:c r="R191" s="3"/>
      <x:c r="S191" s="3"/>
      <x:c r="T191" s="3"/>
      <x:c r="U191" s="8" t="str">
        <x:f>IF(M191="Mapped",IF(OR(_xlfn.XLOOKUP(A191&amp;"|"&amp;K191,'SOW caps'!$N$7:$N$36,'SOW caps'!$M$7:$M$36,"")="Ready",_xlfn.XLOOKUP(A191&amp;"|"&amp;K191,'SOW caps'!$N$7:$N$36,'SOW caps'!$M$7:$M$36,"")="No hours"),_xlfn.XLOOKUP(A191&amp;"|"&amp;K191,'SOW caps'!$N$7:$N$36,'SOW caps'!$O$7:$O$36,""),""),"")</x:f>
      </x:c>
      <x:c r="V191" s="8" t="str">
        <x:f>IF(AND(ISNUMBER(U191),ISNUMBER(X191)),ROUND(SUMIFS($X$7:X191,$A$7:A191,A191,$K$7:K191,K191,$M$7:M191,"Mapped")*U191,2)-ROUND((SUMIFS($X$7:X191,$A$7:A191,A191,$K$7:K191,K191,$M$7:M191,"Mapped")-X191)*U191,2),"")</x:f>
      </x:c>
      <x:c r="W191" s="1" t="str">
        <x:f>IF(B191="","",IF(OR(NOT(ISNUMBER(I191)),I191&lt;0),"Invalid hours",IF(NOT(ISNUMBER(R191)),"Manual hours",IF(ROUND(I191*3600000,0)=R191,"Source hours","Adjusted hours"))))</x:f>
      </x:c>
      <x:c r="X191" s="10" t="str">
        <x:f>IF(B191="","",IF(AND(ISNUMBER(I191),I191&gt;=0,Q191="In period"),I191,""))</x:f>
      </x:c>
    </x:row>
    <x:row r="192" ht="23" customHeight="1">
      <x:c r="A192" s="3"/>
      <x:c r="B192" s="3"/>
      <x:c r="C192" s="3"/>
      <x:c r="D192" s="3"/>
      <x:c r="E192" s="3"/>
      <x:c r="F192" s="3"/>
      <x:c r="G192" s="3"/>
      <x:c r="H192" s="3"/>
      <x:c r="I192" s="9"/>
      <x:c r="J192" s="3"/>
      <x:c r="K192" s="3"/>
      <x:c r="L192" s="3"/>
      <x:c r="M192" s="1" t="str">
        <x:f>IF(B192="","",IF(W192="Invalid hours","Invalid hours",IF(NOT(ISNUMBER(X192)),"Excluded",IF(AND(J192&lt;&gt;"",K192&lt;&gt;"",L192&lt;&gt;"",COUNTIF('SOW caps'!$N$7:$N$36,A192&amp;"|"&amp;K192)=1),"Mapped","Needs allocation"))))</x:f>
      </x:c>
      <x:c r="N192" s="8" t="str">
        <x:f>IF(B192="","",IF(M192="Mapped",_xlfn.XLOOKUP(A192&amp;"|"&amp;K192,'SOW caps'!$N$7:$N$36,'SOW caps'!$E$7:$E$36,""),IF(ISNUMBER('SOW caps'!$B$3),'SOW caps'!$B$3,"")))</x:f>
      </x:c>
      <x:c r="O192" s="8" t="str">
        <x:f>IF(AND(ISNUMBER(X192),ISNUMBER(N192),N192&gt;=0),X192*N192,"")</x:f>
      </x:c>
      <x:c r="P192" s="3"/>
      <x:c r="Q192" s="3"/>
      <x:c r="R192" s="3"/>
      <x:c r="S192" s="3"/>
      <x:c r="T192" s="3"/>
      <x:c r="U192" s="8" t="str">
        <x:f>IF(M192="Mapped",IF(OR(_xlfn.XLOOKUP(A192&amp;"|"&amp;K192,'SOW caps'!$N$7:$N$36,'SOW caps'!$M$7:$M$36,"")="Ready",_xlfn.XLOOKUP(A192&amp;"|"&amp;K192,'SOW caps'!$N$7:$N$36,'SOW caps'!$M$7:$M$36,"")="No hours"),_xlfn.XLOOKUP(A192&amp;"|"&amp;K192,'SOW caps'!$N$7:$N$36,'SOW caps'!$O$7:$O$36,""),""),"")</x:f>
      </x:c>
      <x:c r="V192" s="8" t="str">
        <x:f>IF(AND(ISNUMBER(U192),ISNUMBER(X192)),ROUND(SUMIFS($X$7:X192,$A$7:A192,A192,$K$7:K192,K192,$M$7:M192,"Mapped")*U192,2)-ROUND((SUMIFS($X$7:X192,$A$7:A192,A192,$K$7:K192,K192,$M$7:M192,"Mapped")-X192)*U192,2),"")</x:f>
      </x:c>
      <x:c r="W192" s="1" t="str">
        <x:f>IF(B192="","",IF(OR(NOT(ISNUMBER(I192)),I192&lt;0),"Invalid hours",IF(NOT(ISNUMBER(R192)),"Manual hours",IF(ROUND(I192*3600000,0)=R192,"Source hours","Adjusted hours"))))</x:f>
      </x:c>
      <x:c r="X192" s="10" t="str">
        <x:f>IF(B192="","",IF(AND(ISNUMBER(I192),I192&gt;=0,Q192="In period"),I192,""))</x:f>
      </x:c>
    </x:row>
    <x:row r="193" ht="23" customHeight="1">
      <x:c r="A193" s="3"/>
      <x:c r="B193" s="3"/>
      <x:c r="C193" s="3"/>
      <x:c r="D193" s="3"/>
      <x:c r="E193" s="3"/>
      <x:c r="F193" s="3"/>
      <x:c r="G193" s="3"/>
      <x:c r="H193" s="3"/>
      <x:c r="I193" s="9"/>
      <x:c r="J193" s="3"/>
      <x:c r="K193" s="3"/>
      <x:c r="L193" s="3"/>
      <x:c r="M193" s="1" t="str">
        <x:f>IF(B193="","",IF(W193="Invalid hours","Invalid hours",IF(NOT(ISNUMBER(X193)),"Excluded",IF(AND(J193&lt;&gt;"",K193&lt;&gt;"",L193&lt;&gt;"",COUNTIF('SOW caps'!$N$7:$N$36,A193&amp;"|"&amp;K193)=1),"Mapped","Needs allocation"))))</x:f>
      </x:c>
      <x:c r="N193" s="8" t="str">
        <x:f>IF(B193="","",IF(M193="Mapped",_xlfn.XLOOKUP(A193&amp;"|"&amp;K193,'SOW caps'!$N$7:$N$36,'SOW caps'!$E$7:$E$36,""),IF(ISNUMBER('SOW caps'!$B$3),'SOW caps'!$B$3,"")))</x:f>
      </x:c>
      <x:c r="O193" s="8" t="str">
        <x:f>IF(AND(ISNUMBER(X193),ISNUMBER(N193),N193&gt;=0),X193*N193,"")</x:f>
      </x:c>
      <x:c r="P193" s="3"/>
      <x:c r="Q193" s="3"/>
      <x:c r="R193" s="3"/>
      <x:c r="S193" s="3"/>
      <x:c r="T193" s="3"/>
      <x:c r="U193" s="8" t="str">
        <x:f>IF(M193="Mapped",IF(OR(_xlfn.XLOOKUP(A193&amp;"|"&amp;K193,'SOW caps'!$N$7:$N$36,'SOW caps'!$M$7:$M$36,"")="Ready",_xlfn.XLOOKUP(A193&amp;"|"&amp;K193,'SOW caps'!$N$7:$N$36,'SOW caps'!$M$7:$M$36,"")="No hours"),_xlfn.XLOOKUP(A193&amp;"|"&amp;K193,'SOW caps'!$N$7:$N$36,'SOW caps'!$O$7:$O$36,""),""),"")</x:f>
      </x:c>
      <x:c r="V193" s="8" t="str">
        <x:f>IF(AND(ISNUMBER(U193),ISNUMBER(X193)),ROUND(SUMIFS($X$7:X193,$A$7:A193,A193,$K$7:K193,K193,$M$7:M193,"Mapped")*U193,2)-ROUND((SUMIFS($X$7:X193,$A$7:A193,A193,$K$7:K193,K193,$M$7:M193,"Mapped")-X193)*U193,2),"")</x:f>
      </x:c>
      <x:c r="W193" s="1" t="str">
        <x:f>IF(B193="","",IF(OR(NOT(ISNUMBER(I193)),I193&lt;0),"Invalid hours",IF(NOT(ISNUMBER(R193)),"Manual hours",IF(ROUND(I193*3600000,0)=R193,"Source hours","Adjusted hours"))))</x:f>
      </x:c>
      <x:c r="X193" s="10" t="str">
        <x:f>IF(B193="","",IF(AND(ISNUMBER(I193),I193&gt;=0,Q193="In period"),I193,""))</x:f>
      </x:c>
    </x:row>
    <x:row r="194" ht="23" customHeight="1">
      <x:c r="A194" s="3"/>
      <x:c r="B194" s="3"/>
      <x:c r="C194" s="3"/>
      <x:c r="D194" s="3"/>
      <x:c r="E194" s="3"/>
      <x:c r="F194" s="3"/>
      <x:c r="G194" s="3"/>
      <x:c r="H194" s="3"/>
      <x:c r="I194" s="9"/>
      <x:c r="J194" s="3"/>
      <x:c r="K194" s="3"/>
      <x:c r="L194" s="3"/>
      <x:c r="M194" s="1" t="str">
        <x:f>IF(B194="","",IF(W194="Invalid hours","Invalid hours",IF(NOT(ISNUMBER(X194)),"Excluded",IF(AND(J194&lt;&gt;"",K194&lt;&gt;"",L194&lt;&gt;"",COUNTIF('SOW caps'!$N$7:$N$36,A194&amp;"|"&amp;K194)=1),"Mapped","Needs allocation"))))</x:f>
      </x:c>
      <x:c r="N194" s="8" t="str">
        <x:f>IF(B194="","",IF(M194="Mapped",_xlfn.XLOOKUP(A194&amp;"|"&amp;K194,'SOW caps'!$N$7:$N$36,'SOW caps'!$E$7:$E$36,""),IF(ISNUMBER('SOW caps'!$B$3),'SOW caps'!$B$3,"")))</x:f>
      </x:c>
      <x:c r="O194" s="8" t="str">
        <x:f>IF(AND(ISNUMBER(X194),ISNUMBER(N194),N194&gt;=0),X194*N194,"")</x:f>
      </x:c>
      <x:c r="P194" s="3"/>
      <x:c r="Q194" s="3"/>
      <x:c r="R194" s="3"/>
      <x:c r="S194" s="3"/>
      <x:c r="T194" s="3"/>
      <x:c r="U194" s="8" t="str">
        <x:f>IF(M194="Mapped",IF(OR(_xlfn.XLOOKUP(A194&amp;"|"&amp;K194,'SOW caps'!$N$7:$N$36,'SOW caps'!$M$7:$M$36,"")="Ready",_xlfn.XLOOKUP(A194&amp;"|"&amp;K194,'SOW caps'!$N$7:$N$36,'SOW caps'!$M$7:$M$36,"")="No hours"),_xlfn.XLOOKUP(A194&amp;"|"&amp;K194,'SOW caps'!$N$7:$N$36,'SOW caps'!$O$7:$O$36,""),""),"")</x:f>
      </x:c>
      <x:c r="V194" s="8" t="str">
        <x:f>IF(AND(ISNUMBER(U194),ISNUMBER(X194)),ROUND(SUMIFS($X$7:X194,$A$7:A194,A194,$K$7:K194,K194,$M$7:M194,"Mapped")*U194,2)-ROUND((SUMIFS($X$7:X194,$A$7:A194,A194,$K$7:K194,K194,$M$7:M194,"Mapped")-X194)*U194,2),"")</x:f>
      </x:c>
      <x:c r="W194" s="1" t="str">
        <x:f>IF(B194="","",IF(OR(NOT(ISNUMBER(I194)),I194&lt;0),"Invalid hours",IF(NOT(ISNUMBER(R194)),"Manual hours",IF(ROUND(I194*3600000,0)=R194,"Source hours","Adjusted hours"))))</x:f>
      </x:c>
      <x:c r="X194" s="10" t="str">
        <x:f>IF(B194="","",IF(AND(ISNUMBER(I194),I194&gt;=0,Q194="In period"),I194,""))</x:f>
      </x:c>
    </x:row>
    <x:row r="195" ht="23" customHeight="1">
      <x:c r="A195" s="3"/>
      <x:c r="B195" s="3"/>
      <x:c r="C195" s="3"/>
      <x:c r="D195" s="3"/>
      <x:c r="E195" s="3"/>
      <x:c r="F195" s="3"/>
      <x:c r="G195" s="3"/>
      <x:c r="H195" s="3"/>
      <x:c r="I195" s="9"/>
      <x:c r="J195" s="3"/>
      <x:c r="K195" s="3"/>
      <x:c r="L195" s="3"/>
      <x:c r="M195" s="1" t="str">
        <x:f>IF(B195="","",IF(W195="Invalid hours","Invalid hours",IF(NOT(ISNUMBER(X195)),"Excluded",IF(AND(J195&lt;&gt;"",K195&lt;&gt;"",L195&lt;&gt;"",COUNTIF('SOW caps'!$N$7:$N$36,A195&amp;"|"&amp;K195)=1),"Mapped","Needs allocation"))))</x:f>
      </x:c>
      <x:c r="N195" s="8" t="str">
        <x:f>IF(B195="","",IF(M195="Mapped",_xlfn.XLOOKUP(A195&amp;"|"&amp;K195,'SOW caps'!$N$7:$N$36,'SOW caps'!$E$7:$E$36,""),IF(ISNUMBER('SOW caps'!$B$3),'SOW caps'!$B$3,"")))</x:f>
      </x:c>
      <x:c r="O195" s="8" t="str">
        <x:f>IF(AND(ISNUMBER(X195),ISNUMBER(N195),N195&gt;=0),X195*N195,"")</x:f>
      </x:c>
      <x:c r="P195" s="3"/>
      <x:c r="Q195" s="3"/>
      <x:c r="R195" s="3"/>
      <x:c r="S195" s="3"/>
      <x:c r="T195" s="3"/>
      <x:c r="U195" s="8" t="str">
        <x:f>IF(M195="Mapped",IF(OR(_xlfn.XLOOKUP(A195&amp;"|"&amp;K195,'SOW caps'!$N$7:$N$36,'SOW caps'!$M$7:$M$36,"")="Ready",_xlfn.XLOOKUP(A195&amp;"|"&amp;K195,'SOW caps'!$N$7:$N$36,'SOW caps'!$M$7:$M$36,"")="No hours"),_xlfn.XLOOKUP(A195&amp;"|"&amp;K195,'SOW caps'!$N$7:$N$36,'SOW caps'!$O$7:$O$36,""),""),"")</x:f>
      </x:c>
      <x:c r="V195" s="8" t="str">
        <x:f>IF(AND(ISNUMBER(U195),ISNUMBER(X195)),ROUND(SUMIFS($X$7:X195,$A$7:A195,A195,$K$7:K195,K195,$M$7:M195,"Mapped")*U195,2)-ROUND((SUMIFS($X$7:X195,$A$7:A195,A195,$K$7:K195,K195,$M$7:M195,"Mapped")-X195)*U195,2),"")</x:f>
      </x:c>
      <x:c r="W195" s="1" t="str">
        <x:f>IF(B195="","",IF(OR(NOT(ISNUMBER(I195)),I195&lt;0),"Invalid hours",IF(NOT(ISNUMBER(R195)),"Manual hours",IF(ROUND(I195*3600000,0)=R195,"Source hours","Adjusted hours"))))</x:f>
      </x:c>
      <x:c r="X195" s="10" t="str">
        <x:f>IF(B195="","",IF(AND(ISNUMBER(I195),I195&gt;=0,Q195="In period"),I195,""))</x:f>
      </x:c>
    </x:row>
    <x:row r="196" ht="23" customHeight="1">
      <x:c r="A196" s="3"/>
      <x:c r="B196" s="3"/>
      <x:c r="C196" s="3"/>
      <x:c r="D196" s="3"/>
      <x:c r="E196" s="3"/>
      <x:c r="F196" s="3"/>
      <x:c r="G196" s="3"/>
      <x:c r="H196" s="3"/>
      <x:c r="I196" s="9"/>
      <x:c r="J196" s="3"/>
      <x:c r="K196" s="3"/>
      <x:c r="L196" s="3"/>
      <x:c r="M196" s="1" t="str">
        <x:f>IF(B196="","",IF(W196="Invalid hours","Invalid hours",IF(NOT(ISNUMBER(X196)),"Excluded",IF(AND(J196&lt;&gt;"",K196&lt;&gt;"",L196&lt;&gt;"",COUNTIF('SOW caps'!$N$7:$N$36,A196&amp;"|"&amp;K196)=1),"Mapped","Needs allocation"))))</x:f>
      </x:c>
      <x:c r="N196" s="8" t="str">
        <x:f>IF(B196="","",IF(M196="Mapped",_xlfn.XLOOKUP(A196&amp;"|"&amp;K196,'SOW caps'!$N$7:$N$36,'SOW caps'!$E$7:$E$36,""),IF(ISNUMBER('SOW caps'!$B$3),'SOW caps'!$B$3,"")))</x:f>
      </x:c>
      <x:c r="O196" s="8" t="str">
        <x:f>IF(AND(ISNUMBER(X196),ISNUMBER(N196),N196&gt;=0),X196*N196,"")</x:f>
      </x:c>
      <x:c r="P196" s="3"/>
      <x:c r="Q196" s="3"/>
      <x:c r="R196" s="3"/>
      <x:c r="S196" s="3"/>
      <x:c r="T196" s="3"/>
      <x:c r="U196" s="8" t="str">
        <x:f>IF(M196="Mapped",IF(OR(_xlfn.XLOOKUP(A196&amp;"|"&amp;K196,'SOW caps'!$N$7:$N$36,'SOW caps'!$M$7:$M$36,"")="Ready",_xlfn.XLOOKUP(A196&amp;"|"&amp;K196,'SOW caps'!$N$7:$N$36,'SOW caps'!$M$7:$M$36,"")="No hours"),_xlfn.XLOOKUP(A196&amp;"|"&amp;K196,'SOW caps'!$N$7:$N$36,'SOW caps'!$O$7:$O$36,""),""),"")</x:f>
      </x:c>
      <x:c r="V196" s="8" t="str">
        <x:f>IF(AND(ISNUMBER(U196),ISNUMBER(X196)),ROUND(SUMIFS($X$7:X196,$A$7:A196,A196,$K$7:K196,K196,$M$7:M196,"Mapped")*U196,2)-ROUND((SUMIFS($X$7:X196,$A$7:A196,A196,$K$7:K196,K196,$M$7:M196,"Mapped")-X196)*U196,2),"")</x:f>
      </x:c>
      <x:c r="W196" s="1" t="str">
        <x:f>IF(B196="","",IF(OR(NOT(ISNUMBER(I196)),I196&lt;0),"Invalid hours",IF(NOT(ISNUMBER(R196)),"Manual hours",IF(ROUND(I196*3600000,0)=R196,"Source hours","Adjusted hours"))))</x:f>
      </x:c>
      <x:c r="X196" s="10" t="str">
        <x:f>IF(B196="","",IF(AND(ISNUMBER(I196),I196&gt;=0,Q196="In period"),I196,""))</x:f>
      </x:c>
    </x:row>
    <x:row r="197" ht="23" customHeight="1">
      <x:c r="A197" s="3"/>
      <x:c r="B197" s="3"/>
      <x:c r="C197" s="3"/>
      <x:c r="D197" s="3"/>
      <x:c r="E197" s="3"/>
      <x:c r="F197" s="3"/>
      <x:c r="G197" s="3"/>
      <x:c r="H197" s="3"/>
      <x:c r="I197" s="9"/>
      <x:c r="J197" s="3"/>
      <x:c r="K197" s="3"/>
      <x:c r="L197" s="3"/>
      <x:c r="M197" s="1" t="str">
        <x:f>IF(B197="","",IF(W197="Invalid hours","Invalid hours",IF(NOT(ISNUMBER(X197)),"Excluded",IF(AND(J197&lt;&gt;"",K197&lt;&gt;"",L197&lt;&gt;"",COUNTIF('SOW caps'!$N$7:$N$36,A197&amp;"|"&amp;K197)=1),"Mapped","Needs allocation"))))</x:f>
      </x:c>
      <x:c r="N197" s="8" t="str">
        <x:f>IF(B197="","",IF(M197="Mapped",_xlfn.XLOOKUP(A197&amp;"|"&amp;K197,'SOW caps'!$N$7:$N$36,'SOW caps'!$E$7:$E$36,""),IF(ISNUMBER('SOW caps'!$B$3),'SOW caps'!$B$3,"")))</x:f>
      </x:c>
      <x:c r="O197" s="8" t="str">
        <x:f>IF(AND(ISNUMBER(X197),ISNUMBER(N197),N197&gt;=0),X197*N197,"")</x:f>
      </x:c>
      <x:c r="P197" s="3"/>
      <x:c r="Q197" s="3"/>
      <x:c r="R197" s="3"/>
      <x:c r="S197" s="3"/>
      <x:c r="T197" s="3"/>
      <x:c r="U197" s="8" t="str">
        <x:f>IF(M197="Mapped",IF(OR(_xlfn.XLOOKUP(A197&amp;"|"&amp;K197,'SOW caps'!$N$7:$N$36,'SOW caps'!$M$7:$M$36,"")="Ready",_xlfn.XLOOKUP(A197&amp;"|"&amp;K197,'SOW caps'!$N$7:$N$36,'SOW caps'!$M$7:$M$36,"")="No hours"),_xlfn.XLOOKUP(A197&amp;"|"&amp;K197,'SOW caps'!$N$7:$N$36,'SOW caps'!$O$7:$O$36,""),""),"")</x:f>
      </x:c>
      <x:c r="V197" s="8" t="str">
        <x:f>IF(AND(ISNUMBER(U197),ISNUMBER(X197)),ROUND(SUMIFS($X$7:X197,$A$7:A197,A197,$K$7:K197,K197,$M$7:M197,"Mapped")*U197,2)-ROUND((SUMIFS($X$7:X197,$A$7:A197,A197,$K$7:K197,K197,$M$7:M197,"Mapped")-X197)*U197,2),"")</x:f>
      </x:c>
      <x:c r="W197" s="1" t="str">
        <x:f>IF(B197="","",IF(OR(NOT(ISNUMBER(I197)),I197&lt;0),"Invalid hours",IF(NOT(ISNUMBER(R197)),"Manual hours",IF(ROUND(I197*3600000,0)=R197,"Source hours","Adjusted hours"))))</x:f>
      </x:c>
      <x:c r="X197" s="10" t="str">
        <x:f>IF(B197="","",IF(AND(ISNUMBER(I197),I197&gt;=0,Q197="In period"),I197,""))</x:f>
      </x:c>
    </x:row>
    <x:row r="198" ht="23" customHeight="1">
      <x:c r="A198" s="3"/>
      <x:c r="B198" s="3"/>
      <x:c r="C198" s="3"/>
      <x:c r="D198" s="3"/>
      <x:c r="E198" s="3"/>
      <x:c r="F198" s="3"/>
      <x:c r="G198" s="3"/>
      <x:c r="H198" s="3"/>
      <x:c r="I198" s="9"/>
      <x:c r="J198" s="3"/>
      <x:c r="K198" s="3"/>
      <x:c r="L198" s="3"/>
      <x:c r="M198" s="1" t="str">
        <x:f>IF(B198="","",IF(W198="Invalid hours","Invalid hours",IF(NOT(ISNUMBER(X198)),"Excluded",IF(AND(J198&lt;&gt;"",K198&lt;&gt;"",L198&lt;&gt;"",COUNTIF('SOW caps'!$N$7:$N$36,A198&amp;"|"&amp;K198)=1),"Mapped","Needs allocation"))))</x:f>
      </x:c>
      <x:c r="N198" s="8" t="str">
        <x:f>IF(B198="","",IF(M198="Mapped",_xlfn.XLOOKUP(A198&amp;"|"&amp;K198,'SOW caps'!$N$7:$N$36,'SOW caps'!$E$7:$E$36,""),IF(ISNUMBER('SOW caps'!$B$3),'SOW caps'!$B$3,"")))</x:f>
      </x:c>
      <x:c r="O198" s="8" t="str">
        <x:f>IF(AND(ISNUMBER(X198),ISNUMBER(N198),N198&gt;=0),X198*N198,"")</x:f>
      </x:c>
      <x:c r="P198" s="3"/>
      <x:c r="Q198" s="3"/>
      <x:c r="R198" s="3"/>
      <x:c r="S198" s="3"/>
      <x:c r="T198" s="3"/>
      <x:c r="U198" s="8" t="str">
        <x:f>IF(M198="Mapped",IF(OR(_xlfn.XLOOKUP(A198&amp;"|"&amp;K198,'SOW caps'!$N$7:$N$36,'SOW caps'!$M$7:$M$36,"")="Ready",_xlfn.XLOOKUP(A198&amp;"|"&amp;K198,'SOW caps'!$N$7:$N$36,'SOW caps'!$M$7:$M$36,"")="No hours"),_xlfn.XLOOKUP(A198&amp;"|"&amp;K198,'SOW caps'!$N$7:$N$36,'SOW caps'!$O$7:$O$36,""),""),"")</x:f>
      </x:c>
      <x:c r="V198" s="8" t="str">
        <x:f>IF(AND(ISNUMBER(U198),ISNUMBER(X198)),ROUND(SUMIFS($X$7:X198,$A$7:A198,A198,$K$7:K198,K198,$M$7:M198,"Mapped")*U198,2)-ROUND((SUMIFS($X$7:X198,$A$7:A198,A198,$K$7:K198,K198,$M$7:M198,"Mapped")-X198)*U198,2),"")</x:f>
      </x:c>
      <x:c r="W198" s="1" t="str">
        <x:f>IF(B198="","",IF(OR(NOT(ISNUMBER(I198)),I198&lt;0),"Invalid hours",IF(NOT(ISNUMBER(R198)),"Manual hours",IF(ROUND(I198*3600000,0)=R198,"Source hours","Adjusted hours"))))</x:f>
      </x:c>
      <x:c r="X198" s="10" t="str">
        <x:f>IF(B198="","",IF(AND(ISNUMBER(I198),I198&gt;=0,Q198="In period"),I198,""))</x:f>
      </x:c>
    </x:row>
    <x:row r="199" ht="23" customHeight="1">
      <x:c r="A199" s="3"/>
      <x:c r="B199" s="3"/>
      <x:c r="C199" s="3"/>
      <x:c r="D199" s="3"/>
      <x:c r="E199" s="3"/>
      <x:c r="F199" s="3"/>
      <x:c r="G199" s="3"/>
      <x:c r="H199" s="3"/>
      <x:c r="I199" s="9"/>
      <x:c r="J199" s="3"/>
      <x:c r="K199" s="3"/>
      <x:c r="L199" s="3"/>
      <x:c r="M199" s="1" t="str">
        <x:f>IF(B199="","",IF(W199="Invalid hours","Invalid hours",IF(NOT(ISNUMBER(X199)),"Excluded",IF(AND(J199&lt;&gt;"",K199&lt;&gt;"",L199&lt;&gt;"",COUNTIF('SOW caps'!$N$7:$N$36,A199&amp;"|"&amp;K199)=1),"Mapped","Needs allocation"))))</x:f>
      </x:c>
      <x:c r="N199" s="8" t="str">
        <x:f>IF(B199="","",IF(M199="Mapped",_xlfn.XLOOKUP(A199&amp;"|"&amp;K199,'SOW caps'!$N$7:$N$36,'SOW caps'!$E$7:$E$36,""),IF(ISNUMBER('SOW caps'!$B$3),'SOW caps'!$B$3,"")))</x:f>
      </x:c>
      <x:c r="O199" s="8" t="str">
        <x:f>IF(AND(ISNUMBER(X199),ISNUMBER(N199),N199&gt;=0),X199*N199,"")</x:f>
      </x:c>
      <x:c r="P199" s="3"/>
      <x:c r="Q199" s="3"/>
      <x:c r="R199" s="3"/>
      <x:c r="S199" s="3"/>
      <x:c r="T199" s="3"/>
      <x:c r="U199" s="8" t="str">
        <x:f>IF(M199="Mapped",IF(OR(_xlfn.XLOOKUP(A199&amp;"|"&amp;K199,'SOW caps'!$N$7:$N$36,'SOW caps'!$M$7:$M$36,"")="Ready",_xlfn.XLOOKUP(A199&amp;"|"&amp;K199,'SOW caps'!$N$7:$N$36,'SOW caps'!$M$7:$M$36,"")="No hours"),_xlfn.XLOOKUP(A199&amp;"|"&amp;K199,'SOW caps'!$N$7:$N$36,'SOW caps'!$O$7:$O$36,""),""),"")</x:f>
      </x:c>
      <x:c r="V199" s="8" t="str">
        <x:f>IF(AND(ISNUMBER(U199),ISNUMBER(X199)),ROUND(SUMIFS($X$7:X199,$A$7:A199,A199,$K$7:K199,K199,$M$7:M199,"Mapped")*U199,2)-ROUND((SUMIFS($X$7:X199,$A$7:A199,A199,$K$7:K199,K199,$M$7:M199,"Mapped")-X199)*U199,2),"")</x:f>
      </x:c>
      <x:c r="W199" s="1" t="str">
        <x:f>IF(B199="","",IF(OR(NOT(ISNUMBER(I199)),I199&lt;0),"Invalid hours",IF(NOT(ISNUMBER(R199)),"Manual hours",IF(ROUND(I199*3600000,0)=R199,"Source hours","Adjusted hours"))))</x:f>
      </x:c>
      <x:c r="X199" s="10" t="str">
        <x:f>IF(B199="","",IF(AND(ISNUMBER(I199),I199&gt;=0,Q199="In period"),I199,""))</x:f>
      </x:c>
    </x:row>
    <x:row r="200" ht="23" customHeight="1">
      <x:c r="A200" s="3"/>
      <x:c r="B200" s="3"/>
      <x:c r="C200" s="3"/>
      <x:c r="D200" s="3"/>
      <x:c r="E200" s="3"/>
      <x:c r="F200" s="3"/>
      <x:c r="G200" s="3"/>
      <x:c r="H200" s="3"/>
      <x:c r="I200" s="9"/>
      <x:c r="J200" s="3"/>
      <x:c r="K200" s="3"/>
      <x:c r="L200" s="3"/>
      <x:c r="M200" s="1" t="str">
        <x:f>IF(B200="","",IF(W200="Invalid hours","Invalid hours",IF(NOT(ISNUMBER(X200)),"Excluded",IF(AND(J200&lt;&gt;"",K200&lt;&gt;"",L200&lt;&gt;"",COUNTIF('SOW caps'!$N$7:$N$36,A200&amp;"|"&amp;K200)=1),"Mapped","Needs allocation"))))</x:f>
      </x:c>
      <x:c r="N200" s="8" t="str">
        <x:f>IF(B200="","",IF(M200="Mapped",_xlfn.XLOOKUP(A200&amp;"|"&amp;K200,'SOW caps'!$N$7:$N$36,'SOW caps'!$E$7:$E$36,""),IF(ISNUMBER('SOW caps'!$B$3),'SOW caps'!$B$3,"")))</x:f>
      </x:c>
      <x:c r="O200" s="8" t="str">
        <x:f>IF(AND(ISNUMBER(X200),ISNUMBER(N200),N200&gt;=0),X200*N200,"")</x:f>
      </x:c>
      <x:c r="P200" s="3"/>
      <x:c r="Q200" s="3"/>
      <x:c r="R200" s="3"/>
      <x:c r="S200" s="3"/>
      <x:c r="T200" s="3"/>
      <x:c r="U200" s="8" t="str">
        <x:f>IF(M200="Mapped",IF(OR(_xlfn.XLOOKUP(A200&amp;"|"&amp;K200,'SOW caps'!$N$7:$N$36,'SOW caps'!$M$7:$M$36,"")="Ready",_xlfn.XLOOKUP(A200&amp;"|"&amp;K200,'SOW caps'!$N$7:$N$36,'SOW caps'!$M$7:$M$36,"")="No hours"),_xlfn.XLOOKUP(A200&amp;"|"&amp;K200,'SOW caps'!$N$7:$N$36,'SOW caps'!$O$7:$O$36,""),""),"")</x:f>
      </x:c>
      <x:c r="V200" s="8" t="str">
        <x:f>IF(AND(ISNUMBER(U200),ISNUMBER(X200)),ROUND(SUMIFS($X$7:X200,$A$7:A200,A200,$K$7:K200,K200,$M$7:M200,"Mapped")*U200,2)-ROUND((SUMIFS($X$7:X200,$A$7:A200,A200,$K$7:K200,K200,$M$7:M200,"Mapped")-X200)*U200,2),"")</x:f>
      </x:c>
      <x:c r="W200" s="1" t="str">
        <x:f>IF(B200="","",IF(OR(NOT(ISNUMBER(I200)),I200&lt;0),"Invalid hours",IF(NOT(ISNUMBER(R200)),"Manual hours",IF(ROUND(I200*3600000,0)=R200,"Source hours","Adjusted hours"))))</x:f>
      </x:c>
      <x:c r="X200" s="10" t="str">
        <x:f>IF(B200="","",IF(AND(ISNUMBER(I200),I200&gt;=0,Q200="In period"),I200,""))</x:f>
      </x:c>
    </x:row>
    <x:row r="201" ht="23" customHeight="1">
      <x:c r="A201" s="3"/>
      <x:c r="B201" s="3"/>
      <x:c r="C201" s="3"/>
      <x:c r="D201" s="3"/>
      <x:c r="E201" s="3"/>
      <x:c r="F201" s="3"/>
      <x:c r="G201" s="3"/>
      <x:c r="H201" s="3"/>
      <x:c r="I201" s="9"/>
      <x:c r="J201" s="3"/>
      <x:c r="K201" s="3"/>
      <x:c r="L201" s="3"/>
      <x:c r="M201" s="1" t="str">
        <x:f>IF(B201="","",IF(W201="Invalid hours","Invalid hours",IF(NOT(ISNUMBER(X201)),"Excluded",IF(AND(J201&lt;&gt;"",K201&lt;&gt;"",L201&lt;&gt;"",COUNTIF('SOW caps'!$N$7:$N$36,A201&amp;"|"&amp;K201)=1),"Mapped","Needs allocation"))))</x:f>
      </x:c>
      <x:c r="N201" s="8" t="str">
        <x:f>IF(B201="","",IF(M201="Mapped",_xlfn.XLOOKUP(A201&amp;"|"&amp;K201,'SOW caps'!$N$7:$N$36,'SOW caps'!$E$7:$E$36,""),IF(ISNUMBER('SOW caps'!$B$3),'SOW caps'!$B$3,"")))</x:f>
      </x:c>
      <x:c r="O201" s="8" t="str">
        <x:f>IF(AND(ISNUMBER(X201),ISNUMBER(N201),N201&gt;=0),X201*N201,"")</x:f>
      </x:c>
      <x:c r="P201" s="3"/>
      <x:c r="Q201" s="3"/>
      <x:c r="R201" s="3"/>
      <x:c r="S201" s="3"/>
      <x:c r="T201" s="3"/>
      <x:c r="U201" s="8" t="str">
        <x:f>IF(M201="Mapped",IF(OR(_xlfn.XLOOKUP(A201&amp;"|"&amp;K201,'SOW caps'!$N$7:$N$36,'SOW caps'!$M$7:$M$36,"")="Ready",_xlfn.XLOOKUP(A201&amp;"|"&amp;K201,'SOW caps'!$N$7:$N$36,'SOW caps'!$M$7:$M$36,"")="No hours"),_xlfn.XLOOKUP(A201&amp;"|"&amp;K201,'SOW caps'!$N$7:$N$36,'SOW caps'!$O$7:$O$36,""),""),"")</x:f>
      </x:c>
      <x:c r="V201" s="8" t="str">
        <x:f>IF(AND(ISNUMBER(U201),ISNUMBER(X201)),ROUND(SUMIFS($X$7:X201,$A$7:A201,A201,$K$7:K201,K201,$M$7:M201,"Mapped")*U201,2)-ROUND((SUMIFS($X$7:X201,$A$7:A201,A201,$K$7:K201,K201,$M$7:M201,"Mapped")-X201)*U201,2),"")</x:f>
      </x:c>
      <x:c r="W201" s="1" t="str">
        <x:f>IF(B201="","",IF(OR(NOT(ISNUMBER(I201)),I201&lt;0),"Invalid hours",IF(NOT(ISNUMBER(R201)),"Manual hours",IF(ROUND(I201*3600000,0)=R201,"Source hours","Adjusted hours"))))</x:f>
      </x:c>
      <x:c r="X201" s="10" t="str">
        <x:f>IF(B201="","",IF(AND(ISNUMBER(I201),I201&gt;=0,Q201="In period"),I201,""))</x:f>
      </x:c>
    </x:row>
    <x:row r="202" ht="23" customHeight="1">
      <x:c r="A202" s="3"/>
      <x:c r="B202" s="3"/>
      <x:c r="C202" s="3"/>
      <x:c r="D202" s="3"/>
      <x:c r="E202" s="3"/>
      <x:c r="F202" s="3"/>
      <x:c r="G202" s="3"/>
      <x:c r="H202" s="3"/>
      <x:c r="I202" s="9"/>
      <x:c r="J202" s="3"/>
      <x:c r="K202" s="3"/>
      <x:c r="L202" s="3"/>
      <x:c r="M202" s="1" t="str">
        <x:f>IF(B202="","",IF(W202="Invalid hours","Invalid hours",IF(NOT(ISNUMBER(X202)),"Excluded",IF(AND(J202&lt;&gt;"",K202&lt;&gt;"",L202&lt;&gt;"",COUNTIF('SOW caps'!$N$7:$N$36,A202&amp;"|"&amp;K202)=1),"Mapped","Needs allocation"))))</x:f>
      </x:c>
      <x:c r="N202" s="8" t="str">
        <x:f>IF(B202="","",IF(M202="Mapped",_xlfn.XLOOKUP(A202&amp;"|"&amp;K202,'SOW caps'!$N$7:$N$36,'SOW caps'!$E$7:$E$36,""),IF(ISNUMBER('SOW caps'!$B$3),'SOW caps'!$B$3,"")))</x:f>
      </x:c>
      <x:c r="O202" s="8" t="str">
        <x:f>IF(AND(ISNUMBER(X202),ISNUMBER(N202),N202&gt;=0),X202*N202,"")</x:f>
      </x:c>
      <x:c r="P202" s="3"/>
      <x:c r="Q202" s="3"/>
      <x:c r="R202" s="3"/>
      <x:c r="S202" s="3"/>
      <x:c r="T202" s="3"/>
      <x:c r="U202" s="8" t="str">
        <x:f>IF(M202="Mapped",IF(OR(_xlfn.XLOOKUP(A202&amp;"|"&amp;K202,'SOW caps'!$N$7:$N$36,'SOW caps'!$M$7:$M$36,"")="Ready",_xlfn.XLOOKUP(A202&amp;"|"&amp;K202,'SOW caps'!$N$7:$N$36,'SOW caps'!$M$7:$M$36,"")="No hours"),_xlfn.XLOOKUP(A202&amp;"|"&amp;K202,'SOW caps'!$N$7:$N$36,'SOW caps'!$O$7:$O$36,""),""),"")</x:f>
      </x:c>
      <x:c r="V202" s="8" t="str">
        <x:f>IF(AND(ISNUMBER(U202),ISNUMBER(X202)),ROUND(SUMIFS($X$7:X202,$A$7:A202,A202,$K$7:K202,K202,$M$7:M202,"Mapped")*U202,2)-ROUND((SUMIFS($X$7:X202,$A$7:A202,A202,$K$7:K202,K202,$M$7:M202,"Mapped")-X202)*U202,2),"")</x:f>
      </x:c>
      <x:c r="W202" s="1" t="str">
        <x:f>IF(B202="","",IF(OR(NOT(ISNUMBER(I202)),I202&lt;0),"Invalid hours",IF(NOT(ISNUMBER(R202)),"Manual hours",IF(ROUND(I202*3600000,0)=R202,"Source hours","Adjusted hours"))))</x:f>
      </x:c>
      <x:c r="X202" s="10" t="str">
        <x:f>IF(B202="","",IF(AND(ISNUMBER(I202),I202&gt;=0,Q202="In period"),I202,""))</x:f>
      </x:c>
    </x:row>
    <x:row r="203" ht="23" customHeight="1">
      <x:c r="A203" s="3"/>
      <x:c r="B203" s="3"/>
      <x:c r="C203" s="3"/>
      <x:c r="D203" s="3"/>
      <x:c r="E203" s="3"/>
      <x:c r="F203" s="3"/>
      <x:c r="G203" s="3"/>
      <x:c r="H203" s="3"/>
      <x:c r="I203" s="9"/>
      <x:c r="J203" s="3"/>
      <x:c r="K203" s="3"/>
      <x:c r="L203" s="3"/>
      <x:c r="M203" s="1" t="str">
        <x:f>IF(B203="","",IF(W203="Invalid hours","Invalid hours",IF(NOT(ISNUMBER(X203)),"Excluded",IF(AND(J203&lt;&gt;"",K203&lt;&gt;"",L203&lt;&gt;"",COUNTIF('SOW caps'!$N$7:$N$36,A203&amp;"|"&amp;K203)=1),"Mapped","Needs allocation"))))</x:f>
      </x:c>
      <x:c r="N203" s="8" t="str">
        <x:f>IF(B203="","",IF(M203="Mapped",_xlfn.XLOOKUP(A203&amp;"|"&amp;K203,'SOW caps'!$N$7:$N$36,'SOW caps'!$E$7:$E$36,""),IF(ISNUMBER('SOW caps'!$B$3),'SOW caps'!$B$3,"")))</x:f>
      </x:c>
      <x:c r="O203" s="8" t="str">
        <x:f>IF(AND(ISNUMBER(X203),ISNUMBER(N203),N203&gt;=0),X203*N203,"")</x:f>
      </x:c>
      <x:c r="P203" s="3"/>
      <x:c r="Q203" s="3"/>
      <x:c r="R203" s="3"/>
      <x:c r="S203" s="3"/>
      <x:c r="T203" s="3"/>
      <x:c r="U203" s="8" t="str">
        <x:f>IF(M203="Mapped",IF(OR(_xlfn.XLOOKUP(A203&amp;"|"&amp;K203,'SOW caps'!$N$7:$N$36,'SOW caps'!$M$7:$M$36,"")="Ready",_xlfn.XLOOKUP(A203&amp;"|"&amp;K203,'SOW caps'!$N$7:$N$36,'SOW caps'!$M$7:$M$36,"")="No hours"),_xlfn.XLOOKUP(A203&amp;"|"&amp;K203,'SOW caps'!$N$7:$N$36,'SOW caps'!$O$7:$O$36,""),""),"")</x:f>
      </x:c>
      <x:c r="V203" s="8" t="str">
        <x:f>IF(AND(ISNUMBER(U203),ISNUMBER(X203)),ROUND(SUMIFS($X$7:X203,$A$7:A203,A203,$K$7:K203,K203,$M$7:M203,"Mapped")*U203,2)-ROUND((SUMIFS($X$7:X203,$A$7:A203,A203,$K$7:K203,K203,$M$7:M203,"Mapped")-X203)*U203,2),"")</x:f>
      </x:c>
      <x:c r="W203" s="1" t="str">
        <x:f>IF(B203="","",IF(OR(NOT(ISNUMBER(I203)),I203&lt;0),"Invalid hours",IF(NOT(ISNUMBER(R203)),"Manual hours",IF(ROUND(I203*3600000,0)=R203,"Source hours","Adjusted hours"))))</x:f>
      </x:c>
      <x:c r="X203" s="10" t="str">
        <x:f>IF(B203="","",IF(AND(ISNUMBER(I203),I203&gt;=0,Q203="In period"),I203,""))</x:f>
      </x:c>
    </x:row>
    <x:row r="204" ht="23" customHeight="1">
      <x:c r="A204" s="3"/>
      <x:c r="B204" s="3"/>
      <x:c r="C204" s="3"/>
      <x:c r="D204" s="3"/>
      <x:c r="E204" s="3"/>
      <x:c r="F204" s="3"/>
      <x:c r="G204" s="3"/>
      <x:c r="H204" s="3"/>
      <x:c r="I204" s="9"/>
      <x:c r="J204" s="3"/>
      <x:c r="K204" s="3"/>
      <x:c r="L204" s="3"/>
      <x:c r="M204" s="1" t="str">
        <x:f>IF(B204="","",IF(W204="Invalid hours","Invalid hours",IF(NOT(ISNUMBER(X204)),"Excluded",IF(AND(J204&lt;&gt;"",K204&lt;&gt;"",L204&lt;&gt;"",COUNTIF('SOW caps'!$N$7:$N$36,A204&amp;"|"&amp;K204)=1),"Mapped","Needs allocation"))))</x:f>
      </x:c>
      <x:c r="N204" s="8" t="str">
        <x:f>IF(B204="","",IF(M204="Mapped",_xlfn.XLOOKUP(A204&amp;"|"&amp;K204,'SOW caps'!$N$7:$N$36,'SOW caps'!$E$7:$E$36,""),IF(ISNUMBER('SOW caps'!$B$3),'SOW caps'!$B$3,"")))</x:f>
      </x:c>
      <x:c r="O204" s="8" t="str">
        <x:f>IF(AND(ISNUMBER(X204),ISNUMBER(N204),N204&gt;=0),X204*N204,"")</x:f>
      </x:c>
      <x:c r="P204" s="3"/>
      <x:c r="Q204" s="3"/>
      <x:c r="R204" s="3"/>
      <x:c r="S204" s="3"/>
      <x:c r="T204" s="3"/>
      <x:c r="U204" s="8" t="str">
        <x:f>IF(M204="Mapped",IF(OR(_xlfn.XLOOKUP(A204&amp;"|"&amp;K204,'SOW caps'!$N$7:$N$36,'SOW caps'!$M$7:$M$36,"")="Ready",_xlfn.XLOOKUP(A204&amp;"|"&amp;K204,'SOW caps'!$N$7:$N$36,'SOW caps'!$M$7:$M$36,"")="No hours"),_xlfn.XLOOKUP(A204&amp;"|"&amp;K204,'SOW caps'!$N$7:$N$36,'SOW caps'!$O$7:$O$36,""),""),"")</x:f>
      </x:c>
      <x:c r="V204" s="8" t="str">
        <x:f>IF(AND(ISNUMBER(U204),ISNUMBER(X204)),ROUND(SUMIFS($X$7:X204,$A$7:A204,A204,$K$7:K204,K204,$M$7:M204,"Mapped")*U204,2)-ROUND((SUMIFS($X$7:X204,$A$7:A204,A204,$K$7:K204,K204,$M$7:M204,"Mapped")-X204)*U204,2),"")</x:f>
      </x:c>
      <x:c r="W204" s="1" t="str">
        <x:f>IF(B204="","",IF(OR(NOT(ISNUMBER(I204)),I204&lt;0),"Invalid hours",IF(NOT(ISNUMBER(R204)),"Manual hours",IF(ROUND(I204*3600000,0)=R204,"Source hours","Adjusted hours"))))</x:f>
      </x:c>
      <x:c r="X204" s="10" t="str">
        <x:f>IF(B204="","",IF(AND(ISNUMBER(I204),I204&gt;=0,Q204="In period"),I204,""))</x:f>
      </x:c>
    </x:row>
    <x:row r="205" ht="23" customHeight="1">
      <x:c r="A205" s="3"/>
      <x:c r="B205" s="3"/>
      <x:c r="C205" s="3"/>
      <x:c r="D205" s="3"/>
      <x:c r="E205" s="3"/>
      <x:c r="F205" s="3"/>
      <x:c r="G205" s="3"/>
      <x:c r="H205" s="3"/>
      <x:c r="I205" s="9"/>
      <x:c r="J205" s="3"/>
      <x:c r="K205" s="3"/>
      <x:c r="L205" s="3"/>
      <x:c r="M205" s="1" t="str">
        <x:f>IF(B205="","",IF(W205="Invalid hours","Invalid hours",IF(NOT(ISNUMBER(X205)),"Excluded",IF(AND(J205&lt;&gt;"",K205&lt;&gt;"",L205&lt;&gt;"",COUNTIF('SOW caps'!$N$7:$N$36,A205&amp;"|"&amp;K205)=1),"Mapped","Needs allocation"))))</x:f>
      </x:c>
      <x:c r="N205" s="8" t="str">
        <x:f>IF(B205="","",IF(M205="Mapped",_xlfn.XLOOKUP(A205&amp;"|"&amp;K205,'SOW caps'!$N$7:$N$36,'SOW caps'!$E$7:$E$36,""),IF(ISNUMBER('SOW caps'!$B$3),'SOW caps'!$B$3,"")))</x:f>
      </x:c>
      <x:c r="O205" s="8" t="str">
        <x:f>IF(AND(ISNUMBER(X205),ISNUMBER(N205),N205&gt;=0),X205*N205,"")</x:f>
      </x:c>
      <x:c r="P205" s="3"/>
      <x:c r="Q205" s="3"/>
      <x:c r="R205" s="3"/>
      <x:c r="S205" s="3"/>
      <x:c r="T205" s="3"/>
      <x:c r="U205" s="8" t="str">
        <x:f>IF(M205="Mapped",IF(OR(_xlfn.XLOOKUP(A205&amp;"|"&amp;K205,'SOW caps'!$N$7:$N$36,'SOW caps'!$M$7:$M$36,"")="Ready",_xlfn.XLOOKUP(A205&amp;"|"&amp;K205,'SOW caps'!$N$7:$N$36,'SOW caps'!$M$7:$M$36,"")="No hours"),_xlfn.XLOOKUP(A205&amp;"|"&amp;K205,'SOW caps'!$N$7:$N$36,'SOW caps'!$O$7:$O$36,""),""),"")</x:f>
      </x:c>
      <x:c r="V205" s="8" t="str">
        <x:f>IF(AND(ISNUMBER(U205),ISNUMBER(X205)),ROUND(SUMIFS($X$7:X205,$A$7:A205,A205,$K$7:K205,K205,$M$7:M205,"Mapped")*U205,2)-ROUND((SUMIFS($X$7:X205,$A$7:A205,A205,$K$7:K205,K205,$M$7:M205,"Mapped")-X205)*U205,2),"")</x:f>
      </x:c>
      <x:c r="W205" s="1" t="str">
        <x:f>IF(B205="","",IF(OR(NOT(ISNUMBER(I205)),I205&lt;0),"Invalid hours",IF(NOT(ISNUMBER(R205)),"Manual hours",IF(ROUND(I205*3600000,0)=R205,"Source hours","Adjusted hours"))))</x:f>
      </x:c>
      <x:c r="X205" s="10" t="str">
        <x:f>IF(B205="","",IF(AND(ISNUMBER(I205),I205&gt;=0,Q205="In period"),I205,""))</x:f>
      </x:c>
    </x:row>
    <x:row r="206" ht="23" customHeight="1">
      <x:c r="A206" s="3"/>
      <x:c r="B206" s="3"/>
      <x:c r="C206" s="3"/>
      <x:c r="D206" s="3"/>
      <x:c r="E206" s="3"/>
      <x:c r="F206" s="3"/>
      <x:c r="G206" s="3"/>
      <x:c r="H206" s="3"/>
      <x:c r="I206" s="9"/>
      <x:c r="J206" s="3"/>
      <x:c r="K206" s="3"/>
      <x:c r="L206" s="3"/>
      <x:c r="M206" s="1" t="str">
        <x:f>IF(B206="","",IF(W206="Invalid hours","Invalid hours",IF(NOT(ISNUMBER(X206)),"Excluded",IF(AND(J206&lt;&gt;"",K206&lt;&gt;"",L206&lt;&gt;"",COUNTIF('SOW caps'!$N$7:$N$36,A206&amp;"|"&amp;K206)=1),"Mapped","Needs allocation"))))</x:f>
      </x:c>
      <x:c r="N206" s="8" t="str">
        <x:f>IF(B206="","",IF(M206="Mapped",_xlfn.XLOOKUP(A206&amp;"|"&amp;K206,'SOW caps'!$N$7:$N$36,'SOW caps'!$E$7:$E$36,""),IF(ISNUMBER('SOW caps'!$B$3),'SOW caps'!$B$3,"")))</x:f>
      </x:c>
      <x:c r="O206" s="8" t="str">
        <x:f>IF(AND(ISNUMBER(X206),ISNUMBER(N206),N206&gt;=0),X206*N206,"")</x:f>
      </x:c>
      <x:c r="P206" s="3"/>
      <x:c r="Q206" s="3"/>
      <x:c r="R206" s="3"/>
      <x:c r="S206" s="3"/>
      <x:c r="T206" s="3"/>
      <x:c r="U206" s="8" t="str">
        <x:f>IF(M206="Mapped",IF(OR(_xlfn.XLOOKUP(A206&amp;"|"&amp;K206,'SOW caps'!$N$7:$N$36,'SOW caps'!$M$7:$M$36,"")="Ready",_xlfn.XLOOKUP(A206&amp;"|"&amp;K206,'SOW caps'!$N$7:$N$36,'SOW caps'!$M$7:$M$36,"")="No hours"),_xlfn.XLOOKUP(A206&amp;"|"&amp;K206,'SOW caps'!$N$7:$N$36,'SOW caps'!$O$7:$O$36,""),""),"")</x:f>
      </x:c>
      <x:c r="V206" s="8" t="str">
        <x:f>IF(AND(ISNUMBER(U206),ISNUMBER(X206)),ROUND(SUMIFS($X$7:X206,$A$7:A206,A206,$K$7:K206,K206,$M$7:M206,"Mapped")*U206,2)-ROUND((SUMIFS($X$7:X206,$A$7:A206,A206,$K$7:K206,K206,$M$7:M206,"Mapped")-X206)*U206,2),"")</x:f>
      </x:c>
      <x:c r="W206" s="1" t="str">
        <x:f>IF(B206="","",IF(OR(NOT(ISNUMBER(I206)),I206&lt;0),"Invalid hours",IF(NOT(ISNUMBER(R206)),"Manual hours",IF(ROUND(I206*3600000,0)=R206,"Source hours","Adjusted hours"))))</x:f>
      </x:c>
      <x:c r="X206" s="10" t="str">
        <x:f>IF(B206="","",IF(AND(ISNUMBER(I206),I206&gt;=0,Q206="In period"),I206,""))</x:f>
      </x:c>
    </x:row>
    <x:row r="207" ht="23" customHeight="1">
      <x:c r="A207" s="3"/>
      <x:c r="B207" s="3"/>
      <x:c r="C207" s="3"/>
      <x:c r="D207" s="3"/>
      <x:c r="E207" s="3"/>
      <x:c r="F207" s="3"/>
      <x:c r="G207" s="3"/>
      <x:c r="H207" s="3"/>
      <x:c r="I207" s="9"/>
      <x:c r="J207" s="3"/>
      <x:c r="K207" s="3"/>
      <x:c r="L207" s="3"/>
      <x:c r="M207" s="1" t="str">
        <x:f>IF(B207="","",IF(W207="Invalid hours","Invalid hours",IF(NOT(ISNUMBER(X207)),"Excluded",IF(AND(J207&lt;&gt;"",K207&lt;&gt;"",L207&lt;&gt;"",COUNTIF('SOW caps'!$N$7:$N$36,A207&amp;"|"&amp;K207)=1),"Mapped","Needs allocation"))))</x:f>
      </x:c>
      <x:c r="N207" s="8" t="str">
        <x:f>IF(B207="","",IF(M207="Mapped",_xlfn.XLOOKUP(A207&amp;"|"&amp;K207,'SOW caps'!$N$7:$N$36,'SOW caps'!$E$7:$E$36,""),IF(ISNUMBER('SOW caps'!$B$3),'SOW caps'!$B$3,"")))</x:f>
      </x:c>
      <x:c r="O207" s="8" t="str">
        <x:f>IF(AND(ISNUMBER(X207),ISNUMBER(N207),N207&gt;=0),X207*N207,"")</x:f>
      </x:c>
      <x:c r="P207" s="3"/>
      <x:c r="Q207" s="3"/>
      <x:c r="R207" s="3"/>
      <x:c r="S207" s="3"/>
      <x:c r="T207" s="3"/>
      <x:c r="U207" s="8" t="str">
        <x:f>IF(M207="Mapped",IF(OR(_xlfn.XLOOKUP(A207&amp;"|"&amp;K207,'SOW caps'!$N$7:$N$36,'SOW caps'!$M$7:$M$36,"")="Ready",_xlfn.XLOOKUP(A207&amp;"|"&amp;K207,'SOW caps'!$N$7:$N$36,'SOW caps'!$M$7:$M$36,"")="No hours"),_xlfn.XLOOKUP(A207&amp;"|"&amp;K207,'SOW caps'!$N$7:$N$36,'SOW caps'!$O$7:$O$36,""),""),"")</x:f>
      </x:c>
      <x:c r="V207" s="8" t="str">
        <x:f>IF(AND(ISNUMBER(U207),ISNUMBER(X207)),ROUND(SUMIFS($X$7:X207,$A$7:A207,A207,$K$7:K207,K207,$M$7:M207,"Mapped")*U207,2)-ROUND((SUMIFS($X$7:X207,$A$7:A207,A207,$K$7:K207,K207,$M$7:M207,"Mapped")-X207)*U207,2),"")</x:f>
      </x:c>
      <x:c r="W207" s="1" t="str">
        <x:f>IF(B207="","",IF(OR(NOT(ISNUMBER(I207)),I207&lt;0),"Invalid hours",IF(NOT(ISNUMBER(R207)),"Manual hours",IF(ROUND(I207*3600000,0)=R207,"Source hours","Adjusted hours"))))</x:f>
      </x:c>
      <x:c r="X207" s="10" t="str">
        <x:f>IF(B207="","",IF(AND(ISNUMBER(I207),I207&gt;=0,Q207="In period"),I207,""))</x:f>
      </x:c>
    </x:row>
    <x:row r="208" ht="23" customHeight="1">
      <x:c r="A208" s="3"/>
      <x:c r="B208" s="3"/>
      <x:c r="C208" s="3"/>
      <x:c r="D208" s="3"/>
      <x:c r="E208" s="3"/>
      <x:c r="F208" s="3"/>
      <x:c r="G208" s="3"/>
      <x:c r="H208" s="3"/>
      <x:c r="I208" s="9"/>
      <x:c r="J208" s="3"/>
      <x:c r="K208" s="3"/>
      <x:c r="L208" s="3"/>
      <x:c r="M208" s="1" t="str">
        <x:f>IF(B208="","",IF(W208="Invalid hours","Invalid hours",IF(NOT(ISNUMBER(X208)),"Excluded",IF(AND(J208&lt;&gt;"",K208&lt;&gt;"",L208&lt;&gt;"",COUNTIF('SOW caps'!$N$7:$N$36,A208&amp;"|"&amp;K208)=1),"Mapped","Needs allocation"))))</x:f>
      </x:c>
      <x:c r="N208" s="8" t="str">
        <x:f>IF(B208="","",IF(M208="Mapped",_xlfn.XLOOKUP(A208&amp;"|"&amp;K208,'SOW caps'!$N$7:$N$36,'SOW caps'!$E$7:$E$36,""),IF(ISNUMBER('SOW caps'!$B$3),'SOW caps'!$B$3,"")))</x:f>
      </x:c>
      <x:c r="O208" s="8" t="str">
        <x:f>IF(AND(ISNUMBER(X208),ISNUMBER(N208),N208&gt;=0),X208*N208,"")</x:f>
      </x:c>
      <x:c r="P208" s="3"/>
      <x:c r="Q208" s="3"/>
      <x:c r="R208" s="3"/>
      <x:c r="S208" s="3"/>
      <x:c r="T208" s="3"/>
      <x:c r="U208" s="8" t="str">
        <x:f>IF(M208="Mapped",IF(OR(_xlfn.XLOOKUP(A208&amp;"|"&amp;K208,'SOW caps'!$N$7:$N$36,'SOW caps'!$M$7:$M$36,"")="Ready",_xlfn.XLOOKUP(A208&amp;"|"&amp;K208,'SOW caps'!$N$7:$N$36,'SOW caps'!$M$7:$M$36,"")="No hours"),_xlfn.XLOOKUP(A208&amp;"|"&amp;K208,'SOW caps'!$N$7:$N$36,'SOW caps'!$O$7:$O$36,""),""),"")</x:f>
      </x:c>
      <x:c r="V208" s="8" t="str">
        <x:f>IF(AND(ISNUMBER(U208),ISNUMBER(X208)),ROUND(SUMIFS($X$7:X208,$A$7:A208,A208,$K$7:K208,K208,$M$7:M208,"Mapped")*U208,2)-ROUND((SUMIFS($X$7:X208,$A$7:A208,A208,$K$7:K208,K208,$M$7:M208,"Mapped")-X208)*U208,2),"")</x:f>
      </x:c>
      <x:c r="W208" s="1" t="str">
        <x:f>IF(B208="","",IF(OR(NOT(ISNUMBER(I208)),I208&lt;0),"Invalid hours",IF(NOT(ISNUMBER(R208)),"Manual hours",IF(ROUND(I208*3600000,0)=R208,"Source hours","Adjusted hours"))))</x:f>
      </x:c>
      <x:c r="X208" s="10" t="str">
        <x:f>IF(B208="","",IF(AND(ISNUMBER(I208),I208&gt;=0,Q208="In period"),I208,""))</x:f>
      </x:c>
    </x:row>
    <x:row r="209" ht="23" customHeight="1">
      <x:c r="A209" s="3"/>
      <x:c r="B209" s="3"/>
      <x:c r="C209" s="3"/>
      <x:c r="D209" s="3"/>
      <x:c r="E209" s="3"/>
      <x:c r="F209" s="3"/>
      <x:c r="G209" s="3"/>
      <x:c r="H209" s="3"/>
      <x:c r="I209" s="9"/>
      <x:c r="J209" s="3"/>
      <x:c r="K209" s="3"/>
      <x:c r="L209" s="3"/>
      <x:c r="M209" s="1" t="str">
        <x:f>IF(B209="","",IF(W209="Invalid hours","Invalid hours",IF(NOT(ISNUMBER(X209)),"Excluded",IF(AND(J209&lt;&gt;"",K209&lt;&gt;"",L209&lt;&gt;"",COUNTIF('SOW caps'!$N$7:$N$36,A209&amp;"|"&amp;K209)=1),"Mapped","Needs allocation"))))</x:f>
      </x:c>
      <x:c r="N209" s="8" t="str">
        <x:f>IF(B209="","",IF(M209="Mapped",_xlfn.XLOOKUP(A209&amp;"|"&amp;K209,'SOW caps'!$N$7:$N$36,'SOW caps'!$E$7:$E$36,""),IF(ISNUMBER('SOW caps'!$B$3),'SOW caps'!$B$3,"")))</x:f>
      </x:c>
      <x:c r="O209" s="8" t="str">
        <x:f>IF(AND(ISNUMBER(X209),ISNUMBER(N209),N209&gt;=0),X209*N209,"")</x:f>
      </x:c>
      <x:c r="P209" s="3"/>
      <x:c r="Q209" s="3"/>
      <x:c r="R209" s="3"/>
      <x:c r="S209" s="3"/>
      <x:c r="T209" s="3"/>
      <x:c r="U209" s="8" t="str">
        <x:f>IF(M209="Mapped",IF(OR(_xlfn.XLOOKUP(A209&amp;"|"&amp;K209,'SOW caps'!$N$7:$N$36,'SOW caps'!$M$7:$M$36,"")="Ready",_xlfn.XLOOKUP(A209&amp;"|"&amp;K209,'SOW caps'!$N$7:$N$36,'SOW caps'!$M$7:$M$36,"")="No hours"),_xlfn.XLOOKUP(A209&amp;"|"&amp;K209,'SOW caps'!$N$7:$N$36,'SOW caps'!$O$7:$O$36,""),""),"")</x:f>
      </x:c>
      <x:c r="V209" s="8" t="str">
        <x:f>IF(AND(ISNUMBER(U209),ISNUMBER(X209)),ROUND(SUMIFS($X$7:X209,$A$7:A209,A209,$K$7:K209,K209,$M$7:M209,"Mapped")*U209,2)-ROUND((SUMIFS($X$7:X209,$A$7:A209,A209,$K$7:K209,K209,$M$7:M209,"Mapped")-X209)*U209,2),"")</x:f>
      </x:c>
      <x:c r="W209" s="1" t="str">
        <x:f>IF(B209="","",IF(OR(NOT(ISNUMBER(I209)),I209&lt;0),"Invalid hours",IF(NOT(ISNUMBER(R209)),"Manual hours",IF(ROUND(I209*3600000,0)=R209,"Source hours","Adjusted hours"))))</x:f>
      </x:c>
      <x:c r="X209" s="10" t="str">
        <x:f>IF(B209="","",IF(AND(ISNUMBER(I209),I209&gt;=0,Q209="In period"),I209,""))</x:f>
      </x:c>
    </x:row>
    <x:row r="210" ht="23" customHeight="1">
      <x:c r="A210" s="3"/>
      <x:c r="B210" s="3"/>
      <x:c r="C210" s="3"/>
      <x:c r="D210" s="3"/>
      <x:c r="E210" s="3"/>
      <x:c r="F210" s="3"/>
      <x:c r="G210" s="3"/>
      <x:c r="H210" s="3"/>
      <x:c r="I210" s="9"/>
      <x:c r="J210" s="3"/>
      <x:c r="K210" s="3"/>
      <x:c r="L210" s="3"/>
      <x:c r="M210" s="1" t="str">
        <x:f>IF(B210="","",IF(W210="Invalid hours","Invalid hours",IF(NOT(ISNUMBER(X210)),"Excluded",IF(AND(J210&lt;&gt;"",K210&lt;&gt;"",L210&lt;&gt;"",COUNTIF('SOW caps'!$N$7:$N$36,A210&amp;"|"&amp;K210)=1),"Mapped","Needs allocation"))))</x:f>
      </x:c>
      <x:c r="N210" s="8" t="str">
        <x:f>IF(B210="","",IF(M210="Mapped",_xlfn.XLOOKUP(A210&amp;"|"&amp;K210,'SOW caps'!$N$7:$N$36,'SOW caps'!$E$7:$E$36,""),IF(ISNUMBER('SOW caps'!$B$3),'SOW caps'!$B$3,"")))</x:f>
      </x:c>
      <x:c r="O210" s="8" t="str">
        <x:f>IF(AND(ISNUMBER(X210),ISNUMBER(N210),N210&gt;=0),X210*N210,"")</x:f>
      </x:c>
      <x:c r="P210" s="3"/>
      <x:c r="Q210" s="3"/>
      <x:c r="R210" s="3"/>
      <x:c r="S210" s="3"/>
      <x:c r="T210" s="3"/>
      <x:c r="U210" s="8" t="str">
        <x:f>IF(M210="Mapped",IF(OR(_xlfn.XLOOKUP(A210&amp;"|"&amp;K210,'SOW caps'!$N$7:$N$36,'SOW caps'!$M$7:$M$36,"")="Ready",_xlfn.XLOOKUP(A210&amp;"|"&amp;K210,'SOW caps'!$N$7:$N$36,'SOW caps'!$M$7:$M$36,"")="No hours"),_xlfn.XLOOKUP(A210&amp;"|"&amp;K210,'SOW caps'!$N$7:$N$36,'SOW caps'!$O$7:$O$36,""),""),"")</x:f>
      </x:c>
      <x:c r="V210" s="8" t="str">
        <x:f>IF(AND(ISNUMBER(U210),ISNUMBER(X210)),ROUND(SUMIFS($X$7:X210,$A$7:A210,A210,$K$7:K210,K210,$M$7:M210,"Mapped")*U210,2)-ROUND((SUMIFS($X$7:X210,$A$7:A210,A210,$K$7:K210,K210,$M$7:M210,"Mapped")-X210)*U210,2),"")</x:f>
      </x:c>
      <x:c r="W210" s="1" t="str">
        <x:f>IF(B210="","",IF(OR(NOT(ISNUMBER(I210)),I210&lt;0),"Invalid hours",IF(NOT(ISNUMBER(R210)),"Manual hours",IF(ROUND(I210*3600000,0)=R210,"Source hours","Adjusted hours"))))</x:f>
      </x:c>
      <x:c r="X210" s="10" t="str">
        <x:f>IF(B210="","",IF(AND(ISNUMBER(I210),I210&gt;=0,Q210="In period"),I210,""))</x:f>
      </x:c>
    </x:row>
    <x:row r="211" ht="23" customHeight="1">
      <x:c r="A211" s="3"/>
      <x:c r="B211" s="3"/>
      <x:c r="C211" s="3"/>
      <x:c r="D211" s="3"/>
      <x:c r="E211" s="3"/>
      <x:c r="F211" s="3"/>
      <x:c r="G211" s="3"/>
      <x:c r="H211" s="3"/>
      <x:c r="I211" s="9"/>
      <x:c r="J211" s="3"/>
      <x:c r="K211" s="3"/>
      <x:c r="L211" s="3"/>
      <x:c r="M211" s="1" t="str">
        <x:f>IF(B211="","",IF(W211="Invalid hours","Invalid hours",IF(NOT(ISNUMBER(X211)),"Excluded",IF(AND(J211&lt;&gt;"",K211&lt;&gt;"",L211&lt;&gt;"",COUNTIF('SOW caps'!$N$7:$N$36,A211&amp;"|"&amp;K211)=1),"Mapped","Needs allocation"))))</x:f>
      </x:c>
      <x:c r="N211" s="8" t="str">
        <x:f>IF(B211="","",IF(M211="Mapped",_xlfn.XLOOKUP(A211&amp;"|"&amp;K211,'SOW caps'!$N$7:$N$36,'SOW caps'!$E$7:$E$36,""),IF(ISNUMBER('SOW caps'!$B$3),'SOW caps'!$B$3,"")))</x:f>
      </x:c>
      <x:c r="O211" s="8" t="str">
        <x:f>IF(AND(ISNUMBER(X211),ISNUMBER(N211),N211&gt;=0),X211*N211,"")</x:f>
      </x:c>
      <x:c r="P211" s="3"/>
      <x:c r="Q211" s="3"/>
      <x:c r="R211" s="3"/>
      <x:c r="S211" s="3"/>
      <x:c r="T211" s="3"/>
      <x:c r="U211" s="8" t="str">
        <x:f>IF(M211="Mapped",IF(OR(_xlfn.XLOOKUP(A211&amp;"|"&amp;K211,'SOW caps'!$N$7:$N$36,'SOW caps'!$M$7:$M$36,"")="Ready",_xlfn.XLOOKUP(A211&amp;"|"&amp;K211,'SOW caps'!$N$7:$N$36,'SOW caps'!$M$7:$M$36,"")="No hours"),_xlfn.XLOOKUP(A211&amp;"|"&amp;K211,'SOW caps'!$N$7:$N$36,'SOW caps'!$O$7:$O$36,""),""),"")</x:f>
      </x:c>
      <x:c r="V211" s="8" t="str">
        <x:f>IF(AND(ISNUMBER(U211),ISNUMBER(X211)),ROUND(SUMIFS($X$7:X211,$A$7:A211,A211,$K$7:K211,K211,$M$7:M211,"Mapped")*U211,2)-ROUND((SUMIFS($X$7:X211,$A$7:A211,A211,$K$7:K211,K211,$M$7:M211,"Mapped")-X211)*U211,2),"")</x:f>
      </x:c>
      <x:c r="W211" s="1" t="str">
        <x:f>IF(B211="","",IF(OR(NOT(ISNUMBER(I211)),I211&lt;0),"Invalid hours",IF(NOT(ISNUMBER(R211)),"Manual hours",IF(ROUND(I211*3600000,0)=R211,"Source hours","Adjusted hours"))))</x:f>
      </x:c>
      <x:c r="X211" s="10" t="str">
        <x:f>IF(B211="","",IF(AND(ISNUMBER(I211),I211&gt;=0,Q211="In period"),I211,""))</x:f>
      </x:c>
    </x:row>
    <x:row r="212" ht="23" customHeight="1">
      <x:c r="A212" s="3"/>
      <x:c r="B212" s="3"/>
      <x:c r="C212" s="3"/>
      <x:c r="D212" s="3"/>
      <x:c r="E212" s="3"/>
      <x:c r="F212" s="3"/>
      <x:c r="G212" s="3"/>
      <x:c r="H212" s="3"/>
      <x:c r="I212" s="9"/>
      <x:c r="J212" s="3"/>
      <x:c r="K212" s="3"/>
      <x:c r="L212" s="3"/>
      <x:c r="M212" s="1" t="str">
        <x:f>IF(B212="","",IF(W212="Invalid hours","Invalid hours",IF(NOT(ISNUMBER(X212)),"Excluded",IF(AND(J212&lt;&gt;"",K212&lt;&gt;"",L212&lt;&gt;"",COUNTIF('SOW caps'!$N$7:$N$36,A212&amp;"|"&amp;K212)=1),"Mapped","Needs allocation"))))</x:f>
      </x:c>
      <x:c r="N212" s="8" t="str">
        <x:f>IF(B212="","",IF(M212="Mapped",_xlfn.XLOOKUP(A212&amp;"|"&amp;K212,'SOW caps'!$N$7:$N$36,'SOW caps'!$E$7:$E$36,""),IF(ISNUMBER('SOW caps'!$B$3),'SOW caps'!$B$3,"")))</x:f>
      </x:c>
      <x:c r="O212" s="8" t="str">
        <x:f>IF(AND(ISNUMBER(X212),ISNUMBER(N212),N212&gt;=0),X212*N212,"")</x:f>
      </x:c>
      <x:c r="P212" s="3"/>
      <x:c r="Q212" s="3"/>
      <x:c r="R212" s="3"/>
      <x:c r="S212" s="3"/>
      <x:c r="T212" s="3"/>
      <x:c r="U212" s="8" t="str">
        <x:f>IF(M212="Mapped",IF(OR(_xlfn.XLOOKUP(A212&amp;"|"&amp;K212,'SOW caps'!$N$7:$N$36,'SOW caps'!$M$7:$M$36,"")="Ready",_xlfn.XLOOKUP(A212&amp;"|"&amp;K212,'SOW caps'!$N$7:$N$36,'SOW caps'!$M$7:$M$36,"")="No hours"),_xlfn.XLOOKUP(A212&amp;"|"&amp;K212,'SOW caps'!$N$7:$N$36,'SOW caps'!$O$7:$O$36,""),""),"")</x:f>
      </x:c>
      <x:c r="V212" s="8" t="str">
        <x:f>IF(AND(ISNUMBER(U212),ISNUMBER(X212)),ROUND(SUMIFS($X$7:X212,$A$7:A212,A212,$K$7:K212,K212,$M$7:M212,"Mapped")*U212,2)-ROUND((SUMIFS($X$7:X212,$A$7:A212,A212,$K$7:K212,K212,$M$7:M212,"Mapped")-X212)*U212,2),"")</x:f>
      </x:c>
      <x:c r="W212" s="1" t="str">
        <x:f>IF(B212="","",IF(OR(NOT(ISNUMBER(I212)),I212&lt;0),"Invalid hours",IF(NOT(ISNUMBER(R212)),"Manual hours",IF(ROUND(I212*3600000,0)=R212,"Source hours","Adjusted hours"))))</x:f>
      </x:c>
      <x:c r="X212" s="10" t="str">
        <x:f>IF(B212="","",IF(AND(ISNUMBER(I212),I212&gt;=0,Q212="In period"),I212,""))</x:f>
      </x:c>
    </x:row>
    <x:row r="213" ht="23" customHeight="1">
      <x:c r="A213" s="3"/>
      <x:c r="B213" s="3"/>
      <x:c r="C213" s="3"/>
      <x:c r="D213" s="3"/>
      <x:c r="E213" s="3"/>
      <x:c r="F213" s="3"/>
      <x:c r="G213" s="3"/>
      <x:c r="H213" s="3"/>
      <x:c r="I213" s="9"/>
      <x:c r="J213" s="3"/>
      <x:c r="K213" s="3"/>
      <x:c r="L213" s="3"/>
      <x:c r="M213" s="1" t="str">
        <x:f>IF(B213="","",IF(W213="Invalid hours","Invalid hours",IF(NOT(ISNUMBER(X213)),"Excluded",IF(AND(J213&lt;&gt;"",K213&lt;&gt;"",L213&lt;&gt;"",COUNTIF('SOW caps'!$N$7:$N$36,A213&amp;"|"&amp;K213)=1),"Mapped","Needs allocation"))))</x:f>
      </x:c>
      <x:c r="N213" s="8" t="str">
        <x:f>IF(B213="","",IF(M213="Mapped",_xlfn.XLOOKUP(A213&amp;"|"&amp;K213,'SOW caps'!$N$7:$N$36,'SOW caps'!$E$7:$E$36,""),IF(ISNUMBER('SOW caps'!$B$3),'SOW caps'!$B$3,"")))</x:f>
      </x:c>
      <x:c r="O213" s="8" t="str">
        <x:f>IF(AND(ISNUMBER(X213),ISNUMBER(N213),N213&gt;=0),X213*N213,"")</x:f>
      </x:c>
      <x:c r="P213" s="3"/>
      <x:c r="Q213" s="3"/>
      <x:c r="R213" s="3"/>
      <x:c r="S213" s="3"/>
      <x:c r="T213" s="3"/>
      <x:c r="U213" s="8" t="str">
        <x:f>IF(M213="Mapped",IF(OR(_xlfn.XLOOKUP(A213&amp;"|"&amp;K213,'SOW caps'!$N$7:$N$36,'SOW caps'!$M$7:$M$36,"")="Ready",_xlfn.XLOOKUP(A213&amp;"|"&amp;K213,'SOW caps'!$N$7:$N$36,'SOW caps'!$M$7:$M$36,"")="No hours"),_xlfn.XLOOKUP(A213&amp;"|"&amp;K213,'SOW caps'!$N$7:$N$36,'SOW caps'!$O$7:$O$36,""),""),"")</x:f>
      </x:c>
      <x:c r="V213" s="8" t="str">
        <x:f>IF(AND(ISNUMBER(U213),ISNUMBER(X213)),ROUND(SUMIFS($X$7:X213,$A$7:A213,A213,$K$7:K213,K213,$M$7:M213,"Mapped")*U213,2)-ROUND((SUMIFS($X$7:X213,$A$7:A213,A213,$K$7:K213,K213,$M$7:M213,"Mapped")-X213)*U213,2),"")</x:f>
      </x:c>
      <x:c r="W213" s="1" t="str">
        <x:f>IF(B213="","",IF(OR(NOT(ISNUMBER(I213)),I213&lt;0),"Invalid hours",IF(NOT(ISNUMBER(R213)),"Manual hours",IF(ROUND(I213*3600000,0)=R213,"Source hours","Adjusted hours"))))</x:f>
      </x:c>
      <x:c r="X213" s="10" t="str">
        <x:f>IF(B213="","",IF(AND(ISNUMBER(I213),I213&gt;=0,Q213="In period"),I213,""))</x:f>
      </x:c>
    </x:row>
    <x:row r="214" ht="23" customHeight="1">
      <x:c r="A214" s="3"/>
      <x:c r="B214" s="3"/>
      <x:c r="C214" s="3"/>
      <x:c r="D214" s="3"/>
      <x:c r="E214" s="3"/>
      <x:c r="F214" s="3"/>
      <x:c r="G214" s="3"/>
      <x:c r="H214" s="3"/>
      <x:c r="I214" s="9"/>
      <x:c r="J214" s="3"/>
      <x:c r="K214" s="3"/>
      <x:c r="L214" s="3"/>
      <x:c r="M214" s="1" t="str">
        <x:f>IF(B214="","",IF(W214="Invalid hours","Invalid hours",IF(NOT(ISNUMBER(X214)),"Excluded",IF(AND(J214&lt;&gt;"",K214&lt;&gt;"",L214&lt;&gt;"",COUNTIF('SOW caps'!$N$7:$N$36,A214&amp;"|"&amp;K214)=1),"Mapped","Needs allocation"))))</x:f>
      </x:c>
      <x:c r="N214" s="8" t="str">
        <x:f>IF(B214="","",IF(M214="Mapped",_xlfn.XLOOKUP(A214&amp;"|"&amp;K214,'SOW caps'!$N$7:$N$36,'SOW caps'!$E$7:$E$36,""),IF(ISNUMBER('SOW caps'!$B$3),'SOW caps'!$B$3,"")))</x:f>
      </x:c>
      <x:c r="O214" s="8" t="str">
        <x:f>IF(AND(ISNUMBER(X214),ISNUMBER(N214),N214&gt;=0),X214*N214,"")</x:f>
      </x:c>
      <x:c r="P214" s="3"/>
      <x:c r="Q214" s="3"/>
      <x:c r="R214" s="3"/>
      <x:c r="S214" s="3"/>
      <x:c r="T214" s="3"/>
      <x:c r="U214" s="8" t="str">
        <x:f>IF(M214="Mapped",IF(OR(_xlfn.XLOOKUP(A214&amp;"|"&amp;K214,'SOW caps'!$N$7:$N$36,'SOW caps'!$M$7:$M$36,"")="Ready",_xlfn.XLOOKUP(A214&amp;"|"&amp;K214,'SOW caps'!$N$7:$N$36,'SOW caps'!$M$7:$M$36,"")="No hours"),_xlfn.XLOOKUP(A214&amp;"|"&amp;K214,'SOW caps'!$N$7:$N$36,'SOW caps'!$O$7:$O$36,""),""),"")</x:f>
      </x:c>
      <x:c r="V214" s="8" t="str">
        <x:f>IF(AND(ISNUMBER(U214),ISNUMBER(X214)),ROUND(SUMIFS($X$7:X214,$A$7:A214,A214,$K$7:K214,K214,$M$7:M214,"Mapped")*U214,2)-ROUND((SUMIFS($X$7:X214,$A$7:A214,A214,$K$7:K214,K214,$M$7:M214,"Mapped")-X214)*U214,2),"")</x:f>
      </x:c>
      <x:c r="W214" s="1" t="str">
        <x:f>IF(B214="","",IF(OR(NOT(ISNUMBER(I214)),I214&lt;0),"Invalid hours",IF(NOT(ISNUMBER(R214)),"Manual hours",IF(ROUND(I214*3600000,0)=R214,"Source hours","Adjusted hours"))))</x:f>
      </x:c>
      <x:c r="X214" s="10" t="str">
        <x:f>IF(B214="","",IF(AND(ISNUMBER(I214),I214&gt;=0,Q214="In period"),I214,""))</x:f>
      </x:c>
    </x:row>
    <x:row r="215" ht="23" customHeight="1">
      <x:c r="A215" s="3"/>
      <x:c r="B215" s="3"/>
      <x:c r="C215" s="3"/>
      <x:c r="D215" s="3"/>
      <x:c r="E215" s="3"/>
      <x:c r="F215" s="3"/>
      <x:c r="G215" s="3"/>
      <x:c r="H215" s="3"/>
      <x:c r="I215" s="9"/>
      <x:c r="J215" s="3"/>
      <x:c r="K215" s="3"/>
      <x:c r="L215" s="3"/>
      <x:c r="M215" s="1" t="str">
        <x:f>IF(B215="","",IF(W215="Invalid hours","Invalid hours",IF(NOT(ISNUMBER(X215)),"Excluded",IF(AND(J215&lt;&gt;"",K215&lt;&gt;"",L215&lt;&gt;"",COUNTIF('SOW caps'!$N$7:$N$36,A215&amp;"|"&amp;K215)=1),"Mapped","Needs allocation"))))</x:f>
      </x:c>
      <x:c r="N215" s="8" t="str">
        <x:f>IF(B215="","",IF(M215="Mapped",_xlfn.XLOOKUP(A215&amp;"|"&amp;K215,'SOW caps'!$N$7:$N$36,'SOW caps'!$E$7:$E$36,""),IF(ISNUMBER('SOW caps'!$B$3),'SOW caps'!$B$3,"")))</x:f>
      </x:c>
      <x:c r="O215" s="8" t="str">
        <x:f>IF(AND(ISNUMBER(X215),ISNUMBER(N215),N215&gt;=0),X215*N215,"")</x:f>
      </x:c>
      <x:c r="P215" s="3"/>
      <x:c r="Q215" s="3"/>
      <x:c r="R215" s="3"/>
      <x:c r="S215" s="3"/>
      <x:c r="T215" s="3"/>
      <x:c r="U215" s="8" t="str">
        <x:f>IF(M215="Mapped",IF(OR(_xlfn.XLOOKUP(A215&amp;"|"&amp;K215,'SOW caps'!$N$7:$N$36,'SOW caps'!$M$7:$M$36,"")="Ready",_xlfn.XLOOKUP(A215&amp;"|"&amp;K215,'SOW caps'!$N$7:$N$36,'SOW caps'!$M$7:$M$36,"")="No hours"),_xlfn.XLOOKUP(A215&amp;"|"&amp;K215,'SOW caps'!$N$7:$N$36,'SOW caps'!$O$7:$O$36,""),""),"")</x:f>
      </x:c>
      <x:c r="V215" s="8" t="str">
        <x:f>IF(AND(ISNUMBER(U215),ISNUMBER(X215)),ROUND(SUMIFS($X$7:X215,$A$7:A215,A215,$K$7:K215,K215,$M$7:M215,"Mapped")*U215,2)-ROUND((SUMIFS($X$7:X215,$A$7:A215,A215,$K$7:K215,K215,$M$7:M215,"Mapped")-X215)*U215,2),"")</x:f>
      </x:c>
      <x:c r="W215" s="1" t="str">
        <x:f>IF(B215="","",IF(OR(NOT(ISNUMBER(I215)),I215&lt;0),"Invalid hours",IF(NOT(ISNUMBER(R215)),"Manual hours",IF(ROUND(I215*3600000,0)=R215,"Source hours","Adjusted hours"))))</x:f>
      </x:c>
      <x:c r="X215" s="10" t="str">
        <x:f>IF(B215="","",IF(AND(ISNUMBER(I215),I215&gt;=0,Q215="In period"),I215,""))</x:f>
      </x:c>
    </x:row>
    <x:row r="216" ht="23" customHeight="1">
      <x:c r="A216" s="3"/>
      <x:c r="B216" s="3"/>
      <x:c r="C216" s="3"/>
      <x:c r="D216" s="3"/>
      <x:c r="E216" s="3"/>
      <x:c r="F216" s="3"/>
      <x:c r="G216" s="3"/>
      <x:c r="H216" s="3"/>
      <x:c r="I216" s="9"/>
      <x:c r="J216" s="3"/>
      <x:c r="K216" s="3"/>
      <x:c r="L216" s="3"/>
      <x:c r="M216" s="1" t="str">
        <x:f>IF(B216="","",IF(W216="Invalid hours","Invalid hours",IF(NOT(ISNUMBER(X216)),"Excluded",IF(AND(J216&lt;&gt;"",K216&lt;&gt;"",L216&lt;&gt;"",COUNTIF('SOW caps'!$N$7:$N$36,A216&amp;"|"&amp;K216)=1),"Mapped","Needs allocation"))))</x:f>
      </x:c>
      <x:c r="N216" s="8" t="str">
        <x:f>IF(B216="","",IF(M216="Mapped",_xlfn.XLOOKUP(A216&amp;"|"&amp;K216,'SOW caps'!$N$7:$N$36,'SOW caps'!$E$7:$E$36,""),IF(ISNUMBER('SOW caps'!$B$3),'SOW caps'!$B$3,"")))</x:f>
      </x:c>
      <x:c r="O216" s="8" t="str">
        <x:f>IF(AND(ISNUMBER(X216),ISNUMBER(N216),N216&gt;=0),X216*N216,"")</x:f>
      </x:c>
      <x:c r="P216" s="3"/>
      <x:c r="Q216" s="3"/>
      <x:c r="R216" s="3"/>
      <x:c r="S216" s="3"/>
      <x:c r="T216" s="3"/>
      <x:c r="U216" s="8" t="str">
        <x:f>IF(M216="Mapped",IF(OR(_xlfn.XLOOKUP(A216&amp;"|"&amp;K216,'SOW caps'!$N$7:$N$36,'SOW caps'!$M$7:$M$36,"")="Ready",_xlfn.XLOOKUP(A216&amp;"|"&amp;K216,'SOW caps'!$N$7:$N$36,'SOW caps'!$M$7:$M$36,"")="No hours"),_xlfn.XLOOKUP(A216&amp;"|"&amp;K216,'SOW caps'!$N$7:$N$36,'SOW caps'!$O$7:$O$36,""),""),"")</x:f>
      </x:c>
      <x:c r="V216" s="8" t="str">
        <x:f>IF(AND(ISNUMBER(U216),ISNUMBER(X216)),ROUND(SUMIFS($X$7:X216,$A$7:A216,A216,$K$7:K216,K216,$M$7:M216,"Mapped")*U216,2)-ROUND((SUMIFS($X$7:X216,$A$7:A216,A216,$K$7:K216,K216,$M$7:M216,"Mapped")-X216)*U216,2),"")</x:f>
      </x:c>
      <x:c r="W216" s="1" t="str">
        <x:f>IF(B216="","",IF(OR(NOT(ISNUMBER(I216)),I216&lt;0),"Invalid hours",IF(NOT(ISNUMBER(R216)),"Manual hours",IF(ROUND(I216*3600000,0)=R216,"Source hours","Adjusted hours"))))</x:f>
      </x:c>
      <x:c r="X216" s="10" t="str">
        <x:f>IF(B216="","",IF(AND(ISNUMBER(I216),I216&gt;=0,Q216="In period"),I216,""))</x:f>
      </x:c>
    </x:row>
    <x:row r="217" ht="23" customHeight="1">
      <x:c r="A217" s="3"/>
      <x:c r="B217" s="3"/>
      <x:c r="C217" s="3"/>
      <x:c r="D217" s="3"/>
      <x:c r="E217" s="3"/>
      <x:c r="F217" s="3"/>
      <x:c r="G217" s="3"/>
      <x:c r="H217" s="3"/>
      <x:c r="I217" s="9"/>
      <x:c r="J217" s="3"/>
      <x:c r="K217" s="3"/>
      <x:c r="L217" s="3"/>
      <x:c r="M217" s="1" t="str">
        <x:f>IF(B217="","",IF(W217="Invalid hours","Invalid hours",IF(NOT(ISNUMBER(X217)),"Excluded",IF(AND(J217&lt;&gt;"",K217&lt;&gt;"",L217&lt;&gt;"",COUNTIF('SOW caps'!$N$7:$N$36,A217&amp;"|"&amp;K217)=1),"Mapped","Needs allocation"))))</x:f>
      </x:c>
      <x:c r="N217" s="8" t="str">
        <x:f>IF(B217="","",IF(M217="Mapped",_xlfn.XLOOKUP(A217&amp;"|"&amp;K217,'SOW caps'!$N$7:$N$36,'SOW caps'!$E$7:$E$36,""),IF(ISNUMBER('SOW caps'!$B$3),'SOW caps'!$B$3,"")))</x:f>
      </x:c>
      <x:c r="O217" s="8" t="str">
        <x:f>IF(AND(ISNUMBER(X217),ISNUMBER(N217),N217&gt;=0),X217*N217,"")</x:f>
      </x:c>
      <x:c r="P217" s="3"/>
      <x:c r="Q217" s="3"/>
      <x:c r="R217" s="3"/>
      <x:c r="S217" s="3"/>
      <x:c r="T217" s="3"/>
      <x:c r="U217" s="8" t="str">
        <x:f>IF(M217="Mapped",IF(OR(_xlfn.XLOOKUP(A217&amp;"|"&amp;K217,'SOW caps'!$N$7:$N$36,'SOW caps'!$M$7:$M$36,"")="Ready",_xlfn.XLOOKUP(A217&amp;"|"&amp;K217,'SOW caps'!$N$7:$N$36,'SOW caps'!$M$7:$M$36,"")="No hours"),_xlfn.XLOOKUP(A217&amp;"|"&amp;K217,'SOW caps'!$N$7:$N$36,'SOW caps'!$O$7:$O$36,""),""),"")</x:f>
      </x:c>
      <x:c r="V217" s="8" t="str">
        <x:f>IF(AND(ISNUMBER(U217),ISNUMBER(X217)),ROUND(SUMIFS($X$7:X217,$A$7:A217,A217,$K$7:K217,K217,$M$7:M217,"Mapped")*U217,2)-ROUND((SUMIFS($X$7:X217,$A$7:A217,A217,$K$7:K217,K217,$M$7:M217,"Mapped")-X217)*U217,2),"")</x:f>
      </x:c>
      <x:c r="W217" s="1" t="str">
        <x:f>IF(B217="","",IF(OR(NOT(ISNUMBER(I217)),I217&lt;0),"Invalid hours",IF(NOT(ISNUMBER(R217)),"Manual hours",IF(ROUND(I217*3600000,0)=R217,"Source hours","Adjusted hours"))))</x:f>
      </x:c>
      <x:c r="X217" s="10" t="str">
        <x:f>IF(B217="","",IF(AND(ISNUMBER(I217),I217&gt;=0,Q217="In period"),I217,""))</x:f>
      </x:c>
    </x:row>
    <x:row r="218" ht="23" customHeight="1">
      <x:c r="A218" s="3"/>
      <x:c r="B218" s="3"/>
      <x:c r="C218" s="3"/>
      <x:c r="D218" s="3"/>
      <x:c r="E218" s="3"/>
      <x:c r="F218" s="3"/>
      <x:c r="G218" s="3"/>
      <x:c r="H218" s="3"/>
      <x:c r="I218" s="9"/>
      <x:c r="J218" s="3"/>
      <x:c r="K218" s="3"/>
      <x:c r="L218" s="3"/>
      <x:c r="M218" s="1" t="str">
        <x:f>IF(B218="","",IF(W218="Invalid hours","Invalid hours",IF(NOT(ISNUMBER(X218)),"Excluded",IF(AND(J218&lt;&gt;"",K218&lt;&gt;"",L218&lt;&gt;"",COUNTIF('SOW caps'!$N$7:$N$36,A218&amp;"|"&amp;K218)=1),"Mapped","Needs allocation"))))</x:f>
      </x:c>
      <x:c r="N218" s="8" t="str">
        <x:f>IF(B218="","",IF(M218="Mapped",_xlfn.XLOOKUP(A218&amp;"|"&amp;K218,'SOW caps'!$N$7:$N$36,'SOW caps'!$E$7:$E$36,""),IF(ISNUMBER('SOW caps'!$B$3),'SOW caps'!$B$3,"")))</x:f>
      </x:c>
      <x:c r="O218" s="8" t="str">
        <x:f>IF(AND(ISNUMBER(X218),ISNUMBER(N218),N218&gt;=0),X218*N218,"")</x:f>
      </x:c>
      <x:c r="P218" s="3"/>
      <x:c r="Q218" s="3"/>
      <x:c r="R218" s="3"/>
      <x:c r="S218" s="3"/>
      <x:c r="T218" s="3"/>
      <x:c r="U218" s="8" t="str">
        <x:f>IF(M218="Mapped",IF(OR(_xlfn.XLOOKUP(A218&amp;"|"&amp;K218,'SOW caps'!$N$7:$N$36,'SOW caps'!$M$7:$M$36,"")="Ready",_xlfn.XLOOKUP(A218&amp;"|"&amp;K218,'SOW caps'!$N$7:$N$36,'SOW caps'!$M$7:$M$36,"")="No hours"),_xlfn.XLOOKUP(A218&amp;"|"&amp;K218,'SOW caps'!$N$7:$N$36,'SOW caps'!$O$7:$O$36,""),""),"")</x:f>
      </x:c>
      <x:c r="V218" s="8" t="str">
        <x:f>IF(AND(ISNUMBER(U218),ISNUMBER(X218)),ROUND(SUMIFS($X$7:X218,$A$7:A218,A218,$K$7:K218,K218,$M$7:M218,"Mapped")*U218,2)-ROUND((SUMIFS($X$7:X218,$A$7:A218,A218,$K$7:K218,K218,$M$7:M218,"Mapped")-X218)*U218,2),"")</x:f>
      </x:c>
      <x:c r="W218" s="1" t="str">
        <x:f>IF(B218="","",IF(OR(NOT(ISNUMBER(I218)),I218&lt;0),"Invalid hours",IF(NOT(ISNUMBER(R218)),"Manual hours",IF(ROUND(I218*3600000,0)=R218,"Source hours","Adjusted hours"))))</x:f>
      </x:c>
      <x:c r="X218" s="10" t="str">
        <x:f>IF(B218="","",IF(AND(ISNUMBER(I218),I218&gt;=0,Q218="In period"),I218,""))</x:f>
      </x:c>
    </x:row>
    <x:row r="219" ht="23" customHeight="1">
      <x:c r="A219" s="3"/>
      <x:c r="B219" s="3"/>
      <x:c r="C219" s="3"/>
      <x:c r="D219" s="3"/>
      <x:c r="E219" s="3"/>
      <x:c r="F219" s="3"/>
      <x:c r="G219" s="3"/>
      <x:c r="H219" s="3"/>
      <x:c r="I219" s="9"/>
      <x:c r="J219" s="3"/>
      <x:c r="K219" s="3"/>
      <x:c r="L219" s="3"/>
      <x:c r="M219" s="1" t="str">
        <x:f>IF(B219="","",IF(W219="Invalid hours","Invalid hours",IF(NOT(ISNUMBER(X219)),"Excluded",IF(AND(J219&lt;&gt;"",K219&lt;&gt;"",L219&lt;&gt;"",COUNTIF('SOW caps'!$N$7:$N$36,A219&amp;"|"&amp;K219)=1),"Mapped","Needs allocation"))))</x:f>
      </x:c>
      <x:c r="N219" s="8" t="str">
        <x:f>IF(B219="","",IF(M219="Mapped",_xlfn.XLOOKUP(A219&amp;"|"&amp;K219,'SOW caps'!$N$7:$N$36,'SOW caps'!$E$7:$E$36,""),IF(ISNUMBER('SOW caps'!$B$3),'SOW caps'!$B$3,"")))</x:f>
      </x:c>
      <x:c r="O219" s="8" t="str">
        <x:f>IF(AND(ISNUMBER(X219),ISNUMBER(N219),N219&gt;=0),X219*N219,"")</x:f>
      </x:c>
      <x:c r="P219" s="3"/>
      <x:c r="Q219" s="3"/>
      <x:c r="R219" s="3"/>
      <x:c r="S219" s="3"/>
      <x:c r="T219" s="3"/>
      <x:c r="U219" s="8" t="str">
        <x:f>IF(M219="Mapped",IF(OR(_xlfn.XLOOKUP(A219&amp;"|"&amp;K219,'SOW caps'!$N$7:$N$36,'SOW caps'!$M$7:$M$36,"")="Ready",_xlfn.XLOOKUP(A219&amp;"|"&amp;K219,'SOW caps'!$N$7:$N$36,'SOW caps'!$M$7:$M$36,"")="No hours"),_xlfn.XLOOKUP(A219&amp;"|"&amp;K219,'SOW caps'!$N$7:$N$36,'SOW caps'!$O$7:$O$36,""),""),"")</x:f>
      </x:c>
      <x:c r="V219" s="8" t="str">
        <x:f>IF(AND(ISNUMBER(U219),ISNUMBER(X219)),ROUND(SUMIFS($X$7:X219,$A$7:A219,A219,$K$7:K219,K219,$M$7:M219,"Mapped")*U219,2)-ROUND((SUMIFS($X$7:X219,$A$7:A219,A219,$K$7:K219,K219,$M$7:M219,"Mapped")-X219)*U219,2),"")</x:f>
      </x:c>
      <x:c r="W219" s="1" t="str">
        <x:f>IF(B219="","",IF(OR(NOT(ISNUMBER(I219)),I219&lt;0),"Invalid hours",IF(NOT(ISNUMBER(R219)),"Manual hours",IF(ROUND(I219*3600000,0)=R219,"Source hours","Adjusted hours"))))</x:f>
      </x:c>
      <x:c r="X219" s="10" t="str">
        <x:f>IF(B219="","",IF(AND(ISNUMBER(I219),I219&gt;=0,Q219="In period"),I219,""))</x:f>
      </x:c>
    </x:row>
    <x:row r="220" ht="23" customHeight="1">
      <x:c r="A220" s="3"/>
      <x:c r="B220" s="3"/>
      <x:c r="C220" s="3"/>
      <x:c r="D220" s="3"/>
      <x:c r="E220" s="3"/>
      <x:c r="F220" s="3"/>
      <x:c r="G220" s="3"/>
      <x:c r="H220" s="3"/>
      <x:c r="I220" s="9"/>
      <x:c r="J220" s="3"/>
      <x:c r="K220" s="3"/>
      <x:c r="L220" s="3"/>
      <x:c r="M220" s="1" t="str">
        <x:f>IF(B220="","",IF(W220="Invalid hours","Invalid hours",IF(NOT(ISNUMBER(X220)),"Excluded",IF(AND(J220&lt;&gt;"",K220&lt;&gt;"",L220&lt;&gt;"",COUNTIF('SOW caps'!$N$7:$N$36,A220&amp;"|"&amp;K220)=1),"Mapped","Needs allocation"))))</x:f>
      </x:c>
      <x:c r="N220" s="8" t="str">
        <x:f>IF(B220="","",IF(M220="Mapped",_xlfn.XLOOKUP(A220&amp;"|"&amp;K220,'SOW caps'!$N$7:$N$36,'SOW caps'!$E$7:$E$36,""),IF(ISNUMBER('SOW caps'!$B$3),'SOW caps'!$B$3,"")))</x:f>
      </x:c>
      <x:c r="O220" s="8" t="str">
        <x:f>IF(AND(ISNUMBER(X220),ISNUMBER(N220),N220&gt;=0),X220*N220,"")</x:f>
      </x:c>
      <x:c r="P220" s="3"/>
      <x:c r="Q220" s="3"/>
      <x:c r="R220" s="3"/>
      <x:c r="S220" s="3"/>
      <x:c r="T220" s="3"/>
      <x:c r="U220" s="8" t="str">
        <x:f>IF(M220="Mapped",IF(OR(_xlfn.XLOOKUP(A220&amp;"|"&amp;K220,'SOW caps'!$N$7:$N$36,'SOW caps'!$M$7:$M$36,"")="Ready",_xlfn.XLOOKUP(A220&amp;"|"&amp;K220,'SOW caps'!$N$7:$N$36,'SOW caps'!$M$7:$M$36,"")="No hours"),_xlfn.XLOOKUP(A220&amp;"|"&amp;K220,'SOW caps'!$N$7:$N$36,'SOW caps'!$O$7:$O$36,""),""),"")</x:f>
      </x:c>
      <x:c r="V220" s="8" t="str">
        <x:f>IF(AND(ISNUMBER(U220),ISNUMBER(X220)),ROUND(SUMIFS($X$7:X220,$A$7:A220,A220,$K$7:K220,K220,$M$7:M220,"Mapped")*U220,2)-ROUND((SUMIFS($X$7:X220,$A$7:A220,A220,$K$7:K220,K220,$M$7:M220,"Mapped")-X220)*U220,2),"")</x:f>
      </x:c>
      <x:c r="W220" s="1" t="str">
        <x:f>IF(B220="","",IF(OR(NOT(ISNUMBER(I220)),I220&lt;0),"Invalid hours",IF(NOT(ISNUMBER(R220)),"Manual hours",IF(ROUND(I220*3600000,0)=R220,"Source hours","Adjusted hours"))))</x:f>
      </x:c>
      <x:c r="X220" s="10" t="str">
        <x:f>IF(B220="","",IF(AND(ISNUMBER(I220),I220&gt;=0,Q220="In period"),I220,""))</x:f>
      </x:c>
    </x:row>
    <x:row r="221" ht="23" customHeight="1">
      <x:c r="A221" s="3"/>
      <x:c r="B221" s="3"/>
      <x:c r="C221" s="3"/>
      <x:c r="D221" s="3"/>
      <x:c r="E221" s="3"/>
      <x:c r="F221" s="3"/>
      <x:c r="G221" s="3"/>
      <x:c r="H221" s="3"/>
      <x:c r="I221" s="9"/>
      <x:c r="J221" s="3"/>
      <x:c r="K221" s="3"/>
      <x:c r="L221" s="3"/>
      <x:c r="M221" s="1" t="str">
        <x:f>IF(B221="","",IF(W221="Invalid hours","Invalid hours",IF(NOT(ISNUMBER(X221)),"Excluded",IF(AND(J221&lt;&gt;"",K221&lt;&gt;"",L221&lt;&gt;"",COUNTIF('SOW caps'!$N$7:$N$36,A221&amp;"|"&amp;K221)=1),"Mapped","Needs allocation"))))</x:f>
      </x:c>
      <x:c r="N221" s="8" t="str">
        <x:f>IF(B221="","",IF(M221="Mapped",_xlfn.XLOOKUP(A221&amp;"|"&amp;K221,'SOW caps'!$N$7:$N$36,'SOW caps'!$E$7:$E$36,""),IF(ISNUMBER('SOW caps'!$B$3),'SOW caps'!$B$3,"")))</x:f>
      </x:c>
      <x:c r="O221" s="8" t="str">
        <x:f>IF(AND(ISNUMBER(X221),ISNUMBER(N221),N221&gt;=0),X221*N221,"")</x:f>
      </x:c>
      <x:c r="P221" s="3"/>
      <x:c r="Q221" s="3"/>
      <x:c r="R221" s="3"/>
      <x:c r="S221" s="3"/>
      <x:c r="T221" s="3"/>
      <x:c r="U221" s="8" t="str">
        <x:f>IF(M221="Mapped",IF(OR(_xlfn.XLOOKUP(A221&amp;"|"&amp;K221,'SOW caps'!$N$7:$N$36,'SOW caps'!$M$7:$M$36,"")="Ready",_xlfn.XLOOKUP(A221&amp;"|"&amp;K221,'SOW caps'!$N$7:$N$36,'SOW caps'!$M$7:$M$36,"")="No hours"),_xlfn.XLOOKUP(A221&amp;"|"&amp;K221,'SOW caps'!$N$7:$N$36,'SOW caps'!$O$7:$O$36,""),""),"")</x:f>
      </x:c>
      <x:c r="V221" s="8" t="str">
        <x:f>IF(AND(ISNUMBER(U221),ISNUMBER(X221)),ROUND(SUMIFS($X$7:X221,$A$7:A221,A221,$K$7:K221,K221,$M$7:M221,"Mapped")*U221,2)-ROUND((SUMIFS($X$7:X221,$A$7:A221,A221,$K$7:K221,K221,$M$7:M221,"Mapped")-X221)*U221,2),"")</x:f>
      </x:c>
      <x:c r="W221" s="1" t="str">
        <x:f>IF(B221="","",IF(OR(NOT(ISNUMBER(I221)),I221&lt;0),"Invalid hours",IF(NOT(ISNUMBER(R221)),"Manual hours",IF(ROUND(I221*3600000,0)=R221,"Source hours","Adjusted hours"))))</x:f>
      </x:c>
      <x:c r="X221" s="10" t="str">
        <x:f>IF(B221="","",IF(AND(ISNUMBER(I221),I221&gt;=0,Q221="In period"),I221,""))</x:f>
      </x:c>
    </x:row>
    <x:row r="222" ht="23" customHeight="1">
      <x:c r="A222" s="3"/>
      <x:c r="B222" s="3"/>
      <x:c r="C222" s="3"/>
      <x:c r="D222" s="3"/>
      <x:c r="E222" s="3"/>
      <x:c r="F222" s="3"/>
      <x:c r="G222" s="3"/>
      <x:c r="H222" s="3"/>
      <x:c r="I222" s="9"/>
      <x:c r="J222" s="3"/>
      <x:c r="K222" s="3"/>
      <x:c r="L222" s="3"/>
      <x:c r="M222" s="1" t="str">
        <x:f>IF(B222="","",IF(W222="Invalid hours","Invalid hours",IF(NOT(ISNUMBER(X222)),"Excluded",IF(AND(J222&lt;&gt;"",K222&lt;&gt;"",L222&lt;&gt;"",COUNTIF('SOW caps'!$N$7:$N$36,A222&amp;"|"&amp;K222)=1),"Mapped","Needs allocation"))))</x:f>
      </x:c>
      <x:c r="N222" s="8" t="str">
        <x:f>IF(B222="","",IF(M222="Mapped",_xlfn.XLOOKUP(A222&amp;"|"&amp;K222,'SOW caps'!$N$7:$N$36,'SOW caps'!$E$7:$E$36,""),IF(ISNUMBER('SOW caps'!$B$3),'SOW caps'!$B$3,"")))</x:f>
      </x:c>
      <x:c r="O222" s="8" t="str">
        <x:f>IF(AND(ISNUMBER(X222),ISNUMBER(N222),N222&gt;=0),X222*N222,"")</x:f>
      </x:c>
      <x:c r="P222" s="3"/>
      <x:c r="Q222" s="3"/>
      <x:c r="R222" s="3"/>
      <x:c r="S222" s="3"/>
      <x:c r="T222" s="3"/>
      <x:c r="U222" s="8" t="str">
        <x:f>IF(M222="Mapped",IF(OR(_xlfn.XLOOKUP(A222&amp;"|"&amp;K222,'SOW caps'!$N$7:$N$36,'SOW caps'!$M$7:$M$36,"")="Ready",_xlfn.XLOOKUP(A222&amp;"|"&amp;K222,'SOW caps'!$N$7:$N$36,'SOW caps'!$M$7:$M$36,"")="No hours"),_xlfn.XLOOKUP(A222&amp;"|"&amp;K222,'SOW caps'!$N$7:$N$36,'SOW caps'!$O$7:$O$36,""),""),"")</x:f>
      </x:c>
      <x:c r="V222" s="8" t="str">
        <x:f>IF(AND(ISNUMBER(U222),ISNUMBER(X222)),ROUND(SUMIFS($X$7:X222,$A$7:A222,A222,$K$7:K222,K222,$M$7:M222,"Mapped")*U222,2)-ROUND((SUMIFS($X$7:X222,$A$7:A222,A222,$K$7:K222,K222,$M$7:M222,"Mapped")-X222)*U222,2),"")</x:f>
      </x:c>
      <x:c r="W222" s="1" t="str">
        <x:f>IF(B222="","",IF(OR(NOT(ISNUMBER(I222)),I222&lt;0),"Invalid hours",IF(NOT(ISNUMBER(R222)),"Manual hours",IF(ROUND(I222*3600000,0)=R222,"Source hours","Adjusted hours"))))</x:f>
      </x:c>
      <x:c r="X222" s="10" t="str">
        <x:f>IF(B222="","",IF(AND(ISNUMBER(I222),I222&gt;=0,Q222="In period"),I222,""))</x:f>
      </x:c>
    </x:row>
    <x:row r="223" ht="23" customHeight="1">
      <x:c r="A223" s="3"/>
      <x:c r="B223" s="3"/>
      <x:c r="C223" s="3"/>
      <x:c r="D223" s="3"/>
      <x:c r="E223" s="3"/>
      <x:c r="F223" s="3"/>
      <x:c r="G223" s="3"/>
      <x:c r="H223" s="3"/>
      <x:c r="I223" s="9"/>
      <x:c r="J223" s="3"/>
      <x:c r="K223" s="3"/>
      <x:c r="L223" s="3"/>
      <x:c r="M223" s="1" t="str">
        <x:f>IF(B223="","",IF(W223="Invalid hours","Invalid hours",IF(NOT(ISNUMBER(X223)),"Excluded",IF(AND(J223&lt;&gt;"",K223&lt;&gt;"",L223&lt;&gt;"",COUNTIF('SOW caps'!$N$7:$N$36,A223&amp;"|"&amp;K223)=1),"Mapped","Needs allocation"))))</x:f>
      </x:c>
      <x:c r="N223" s="8" t="str">
        <x:f>IF(B223="","",IF(M223="Mapped",_xlfn.XLOOKUP(A223&amp;"|"&amp;K223,'SOW caps'!$N$7:$N$36,'SOW caps'!$E$7:$E$36,""),IF(ISNUMBER('SOW caps'!$B$3),'SOW caps'!$B$3,"")))</x:f>
      </x:c>
      <x:c r="O223" s="8" t="str">
        <x:f>IF(AND(ISNUMBER(X223),ISNUMBER(N223),N223&gt;=0),X223*N223,"")</x:f>
      </x:c>
      <x:c r="P223" s="3"/>
      <x:c r="Q223" s="3"/>
      <x:c r="R223" s="3"/>
      <x:c r="S223" s="3"/>
      <x:c r="T223" s="3"/>
      <x:c r="U223" s="8" t="str">
        <x:f>IF(M223="Mapped",IF(OR(_xlfn.XLOOKUP(A223&amp;"|"&amp;K223,'SOW caps'!$N$7:$N$36,'SOW caps'!$M$7:$M$36,"")="Ready",_xlfn.XLOOKUP(A223&amp;"|"&amp;K223,'SOW caps'!$N$7:$N$36,'SOW caps'!$M$7:$M$36,"")="No hours"),_xlfn.XLOOKUP(A223&amp;"|"&amp;K223,'SOW caps'!$N$7:$N$36,'SOW caps'!$O$7:$O$36,""),""),"")</x:f>
      </x:c>
      <x:c r="V223" s="8" t="str">
        <x:f>IF(AND(ISNUMBER(U223),ISNUMBER(X223)),ROUND(SUMIFS($X$7:X223,$A$7:A223,A223,$K$7:K223,K223,$M$7:M223,"Mapped")*U223,2)-ROUND((SUMIFS($X$7:X223,$A$7:A223,A223,$K$7:K223,K223,$M$7:M223,"Mapped")-X223)*U223,2),"")</x:f>
      </x:c>
      <x:c r="W223" s="1" t="str">
        <x:f>IF(B223="","",IF(OR(NOT(ISNUMBER(I223)),I223&lt;0),"Invalid hours",IF(NOT(ISNUMBER(R223)),"Manual hours",IF(ROUND(I223*3600000,0)=R223,"Source hours","Adjusted hours"))))</x:f>
      </x:c>
      <x:c r="X223" s="10" t="str">
        <x:f>IF(B223="","",IF(AND(ISNUMBER(I223),I223&gt;=0,Q223="In period"),I223,""))</x:f>
      </x:c>
    </x:row>
    <x:row r="224" ht="23" customHeight="1">
      <x:c r="A224" s="3"/>
      <x:c r="B224" s="3"/>
      <x:c r="C224" s="3"/>
      <x:c r="D224" s="3"/>
      <x:c r="E224" s="3"/>
      <x:c r="F224" s="3"/>
      <x:c r="G224" s="3"/>
      <x:c r="H224" s="3"/>
      <x:c r="I224" s="9"/>
      <x:c r="J224" s="3"/>
      <x:c r="K224" s="3"/>
      <x:c r="L224" s="3"/>
      <x:c r="M224" s="1" t="str">
        <x:f>IF(B224="","",IF(W224="Invalid hours","Invalid hours",IF(NOT(ISNUMBER(X224)),"Excluded",IF(AND(J224&lt;&gt;"",K224&lt;&gt;"",L224&lt;&gt;"",COUNTIF('SOW caps'!$N$7:$N$36,A224&amp;"|"&amp;K224)=1),"Mapped","Needs allocation"))))</x:f>
      </x:c>
      <x:c r="N224" s="8" t="str">
        <x:f>IF(B224="","",IF(M224="Mapped",_xlfn.XLOOKUP(A224&amp;"|"&amp;K224,'SOW caps'!$N$7:$N$36,'SOW caps'!$E$7:$E$36,""),IF(ISNUMBER('SOW caps'!$B$3),'SOW caps'!$B$3,"")))</x:f>
      </x:c>
      <x:c r="O224" s="8" t="str">
        <x:f>IF(AND(ISNUMBER(X224),ISNUMBER(N224),N224&gt;=0),X224*N224,"")</x:f>
      </x:c>
      <x:c r="P224" s="3"/>
      <x:c r="Q224" s="3"/>
      <x:c r="R224" s="3"/>
      <x:c r="S224" s="3"/>
      <x:c r="T224" s="3"/>
      <x:c r="U224" s="8" t="str">
        <x:f>IF(M224="Mapped",IF(OR(_xlfn.XLOOKUP(A224&amp;"|"&amp;K224,'SOW caps'!$N$7:$N$36,'SOW caps'!$M$7:$M$36,"")="Ready",_xlfn.XLOOKUP(A224&amp;"|"&amp;K224,'SOW caps'!$N$7:$N$36,'SOW caps'!$M$7:$M$36,"")="No hours"),_xlfn.XLOOKUP(A224&amp;"|"&amp;K224,'SOW caps'!$N$7:$N$36,'SOW caps'!$O$7:$O$36,""),""),"")</x:f>
      </x:c>
      <x:c r="V224" s="8" t="str">
        <x:f>IF(AND(ISNUMBER(U224),ISNUMBER(X224)),ROUND(SUMIFS($X$7:X224,$A$7:A224,A224,$K$7:K224,K224,$M$7:M224,"Mapped")*U224,2)-ROUND((SUMIFS($X$7:X224,$A$7:A224,A224,$K$7:K224,K224,$M$7:M224,"Mapped")-X224)*U224,2),"")</x:f>
      </x:c>
      <x:c r="W224" s="1" t="str">
        <x:f>IF(B224="","",IF(OR(NOT(ISNUMBER(I224)),I224&lt;0),"Invalid hours",IF(NOT(ISNUMBER(R224)),"Manual hours",IF(ROUND(I224*3600000,0)=R224,"Source hours","Adjusted hours"))))</x:f>
      </x:c>
      <x:c r="X224" s="10" t="str">
        <x:f>IF(B224="","",IF(AND(ISNUMBER(I224),I224&gt;=0,Q224="In period"),I224,""))</x:f>
      </x:c>
    </x:row>
    <x:row r="225" ht="23" customHeight="1">
      <x:c r="A225" s="3"/>
      <x:c r="B225" s="3"/>
      <x:c r="C225" s="3"/>
      <x:c r="D225" s="3"/>
      <x:c r="E225" s="3"/>
      <x:c r="F225" s="3"/>
      <x:c r="G225" s="3"/>
      <x:c r="H225" s="3"/>
      <x:c r="I225" s="9"/>
      <x:c r="J225" s="3"/>
      <x:c r="K225" s="3"/>
      <x:c r="L225" s="3"/>
      <x:c r="M225" s="1" t="str">
        <x:f>IF(B225="","",IF(W225="Invalid hours","Invalid hours",IF(NOT(ISNUMBER(X225)),"Excluded",IF(AND(J225&lt;&gt;"",K225&lt;&gt;"",L225&lt;&gt;"",COUNTIF('SOW caps'!$N$7:$N$36,A225&amp;"|"&amp;K225)=1),"Mapped","Needs allocation"))))</x:f>
      </x:c>
      <x:c r="N225" s="8" t="str">
        <x:f>IF(B225="","",IF(M225="Mapped",_xlfn.XLOOKUP(A225&amp;"|"&amp;K225,'SOW caps'!$N$7:$N$36,'SOW caps'!$E$7:$E$36,""),IF(ISNUMBER('SOW caps'!$B$3),'SOW caps'!$B$3,"")))</x:f>
      </x:c>
      <x:c r="O225" s="8" t="str">
        <x:f>IF(AND(ISNUMBER(X225),ISNUMBER(N225),N225&gt;=0),X225*N225,"")</x:f>
      </x:c>
      <x:c r="P225" s="3"/>
      <x:c r="Q225" s="3"/>
      <x:c r="R225" s="3"/>
      <x:c r="S225" s="3"/>
      <x:c r="T225" s="3"/>
      <x:c r="U225" s="8" t="str">
        <x:f>IF(M225="Mapped",IF(OR(_xlfn.XLOOKUP(A225&amp;"|"&amp;K225,'SOW caps'!$N$7:$N$36,'SOW caps'!$M$7:$M$36,"")="Ready",_xlfn.XLOOKUP(A225&amp;"|"&amp;K225,'SOW caps'!$N$7:$N$36,'SOW caps'!$M$7:$M$36,"")="No hours"),_xlfn.XLOOKUP(A225&amp;"|"&amp;K225,'SOW caps'!$N$7:$N$36,'SOW caps'!$O$7:$O$36,""),""),"")</x:f>
      </x:c>
      <x:c r="V225" s="8" t="str">
        <x:f>IF(AND(ISNUMBER(U225),ISNUMBER(X225)),ROUND(SUMIFS($X$7:X225,$A$7:A225,A225,$K$7:K225,K225,$M$7:M225,"Mapped")*U225,2)-ROUND((SUMIFS($X$7:X225,$A$7:A225,A225,$K$7:K225,K225,$M$7:M225,"Mapped")-X225)*U225,2),"")</x:f>
      </x:c>
      <x:c r="W225" s="1" t="str">
        <x:f>IF(B225="","",IF(OR(NOT(ISNUMBER(I225)),I225&lt;0),"Invalid hours",IF(NOT(ISNUMBER(R225)),"Manual hours",IF(ROUND(I225*3600000,0)=R225,"Source hours","Adjusted hours"))))</x:f>
      </x:c>
      <x:c r="X225" s="10" t="str">
        <x:f>IF(B225="","",IF(AND(ISNUMBER(I225),I225&gt;=0,Q225="In period"),I225,""))</x:f>
      </x:c>
    </x:row>
    <x:row r="226" ht="23" customHeight="1">
      <x:c r="A226" s="3"/>
      <x:c r="B226" s="3"/>
      <x:c r="C226" s="3"/>
      <x:c r="D226" s="3"/>
      <x:c r="E226" s="3"/>
      <x:c r="F226" s="3"/>
      <x:c r="G226" s="3"/>
      <x:c r="H226" s="3"/>
      <x:c r="I226" s="9"/>
      <x:c r="J226" s="3"/>
      <x:c r="K226" s="3"/>
      <x:c r="L226" s="3"/>
      <x:c r="M226" s="1" t="str">
        <x:f>IF(B226="","",IF(W226="Invalid hours","Invalid hours",IF(NOT(ISNUMBER(X226)),"Excluded",IF(AND(J226&lt;&gt;"",K226&lt;&gt;"",L226&lt;&gt;"",COUNTIF('SOW caps'!$N$7:$N$36,A226&amp;"|"&amp;K226)=1),"Mapped","Needs allocation"))))</x:f>
      </x:c>
      <x:c r="N226" s="8" t="str">
        <x:f>IF(B226="","",IF(M226="Mapped",_xlfn.XLOOKUP(A226&amp;"|"&amp;K226,'SOW caps'!$N$7:$N$36,'SOW caps'!$E$7:$E$36,""),IF(ISNUMBER('SOW caps'!$B$3),'SOW caps'!$B$3,"")))</x:f>
      </x:c>
      <x:c r="O226" s="8" t="str">
        <x:f>IF(AND(ISNUMBER(X226),ISNUMBER(N226),N226&gt;=0),X226*N226,"")</x:f>
      </x:c>
      <x:c r="P226" s="3"/>
      <x:c r="Q226" s="3"/>
      <x:c r="R226" s="3"/>
      <x:c r="S226" s="3"/>
      <x:c r="T226" s="3"/>
      <x:c r="U226" s="8" t="str">
        <x:f>IF(M226="Mapped",IF(OR(_xlfn.XLOOKUP(A226&amp;"|"&amp;K226,'SOW caps'!$N$7:$N$36,'SOW caps'!$M$7:$M$36,"")="Ready",_xlfn.XLOOKUP(A226&amp;"|"&amp;K226,'SOW caps'!$N$7:$N$36,'SOW caps'!$M$7:$M$36,"")="No hours"),_xlfn.XLOOKUP(A226&amp;"|"&amp;K226,'SOW caps'!$N$7:$N$36,'SOW caps'!$O$7:$O$36,""),""),"")</x:f>
      </x:c>
      <x:c r="V226" s="8" t="str">
        <x:f>IF(AND(ISNUMBER(U226),ISNUMBER(X226)),ROUND(SUMIFS($X$7:X226,$A$7:A226,A226,$K$7:K226,K226,$M$7:M226,"Mapped")*U226,2)-ROUND((SUMIFS($X$7:X226,$A$7:A226,A226,$K$7:K226,K226,$M$7:M226,"Mapped")-X226)*U226,2),"")</x:f>
      </x:c>
      <x:c r="W226" s="1" t="str">
        <x:f>IF(B226="","",IF(OR(NOT(ISNUMBER(I226)),I226&lt;0),"Invalid hours",IF(NOT(ISNUMBER(R226)),"Manual hours",IF(ROUND(I226*3600000,0)=R226,"Source hours","Adjusted hours"))))</x:f>
      </x:c>
      <x:c r="X226" s="10" t="str">
        <x:f>IF(B226="","",IF(AND(ISNUMBER(I226),I226&gt;=0,Q226="In period"),I226,""))</x:f>
      </x:c>
    </x:row>
    <x:row r="227" ht="23" customHeight="1">
      <x:c r="A227" s="3"/>
      <x:c r="B227" s="3"/>
      <x:c r="C227" s="3"/>
      <x:c r="D227" s="3"/>
      <x:c r="E227" s="3"/>
      <x:c r="F227" s="3"/>
      <x:c r="G227" s="3"/>
      <x:c r="H227" s="3"/>
      <x:c r="I227" s="9"/>
      <x:c r="J227" s="3"/>
      <x:c r="K227" s="3"/>
      <x:c r="L227" s="3"/>
      <x:c r="M227" s="1" t="str">
        <x:f>IF(B227="","",IF(W227="Invalid hours","Invalid hours",IF(NOT(ISNUMBER(X227)),"Excluded",IF(AND(J227&lt;&gt;"",K227&lt;&gt;"",L227&lt;&gt;"",COUNTIF('SOW caps'!$N$7:$N$36,A227&amp;"|"&amp;K227)=1),"Mapped","Needs allocation"))))</x:f>
      </x:c>
      <x:c r="N227" s="8" t="str">
        <x:f>IF(B227="","",IF(M227="Mapped",_xlfn.XLOOKUP(A227&amp;"|"&amp;K227,'SOW caps'!$N$7:$N$36,'SOW caps'!$E$7:$E$36,""),IF(ISNUMBER('SOW caps'!$B$3),'SOW caps'!$B$3,"")))</x:f>
      </x:c>
      <x:c r="O227" s="8" t="str">
        <x:f>IF(AND(ISNUMBER(X227),ISNUMBER(N227),N227&gt;=0),X227*N227,"")</x:f>
      </x:c>
      <x:c r="P227" s="3"/>
      <x:c r="Q227" s="3"/>
      <x:c r="R227" s="3"/>
      <x:c r="S227" s="3"/>
      <x:c r="T227" s="3"/>
      <x:c r="U227" s="8" t="str">
        <x:f>IF(M227="Mapped",IF(OR(_xlfn.XLOOKUP(A227&amp;"|"&amp;K227,'SOW caps'!$N$7:$N$36,'SOW caps'!$M$7:$M$36,"")="Ready",_xlfn.XLOOKUP(A227&amp;"|"&amp;K227,'SOW caps'!$N$7:$N$36,'SOW caps'!$M$7:$M$36,"")="No hours"),_xlfn.XLOOKUP(A227&amp;"|"&amp;K227,'SOW caps'!$N$7:$N$36,'SOW caps'!$O$7:$O$36,""),""),"")</x:f>
      </x:c>
      <x:c r="V227" s="8" t="str">
        <x:f>IF(AND(ISNUMBER(U227),ISNUMBER(X227)),ROUND(SUMIFS($X$7:X227,$A$7:A227,A227,$K$7:K227,K227,$M$7:M227,"Mapped")*U227,2)-ROUND((SUMIFS($X$7:X227,$A$7:A227,A227,$K$7:K227,K227,$M$7:M227,"Mapped")-X227)*U227,2),"")</x:f>
      </x:c>
      <x:c r="W227" s="1" t="str">
        <x:f>IF(B227="","",IF(OR(NOT(ISNUMBER(I227)),I227&lt;0),"Invalid hours",IF(NOT(ISNUMBER(R227)),"Manual hours",IF(ROUND(I227*3600000,0)=R227,"Source hours","Adjusted hours"))))</x:f>
      </x:c>
      <x:c r="X227" s="10" t="str">
        <x:f>IF(B227="","",IF(AND(ISNUMBER(I227),I227&gt;=0,Q227="In period"),I227,""))</x:f>
      </x:c>
    </x:row>
    <x:row r="228" ht="23" customHeight="1">
      <x:c r="A228" s="3"/>
      <x:c r="B228" s="3"/>
      <x:c r="C228" s="3"/>
      <x:c r="D228" s="3"/>
      <x:c r="E228" s="3"/>
      <x:c r="F228" s="3"/>
      <x:c r="G228" s="3"/>
      <x:c r="H228" s="3"/>
      <x:c r="I228" s="9"/>
      <x:c r="J228" s="3"/>
      <x:c r="K228" s="3"/>
      <x:c r="L228" s="3"/>
      <x:c r="M228" s="1" t="str">
        <x:f>IF(B228="","",IF(W228="Invalid hours","Invalid hours",IF(NOT(ISNUMBER(X228)),"Excluded",IF(AND(J228&lt;&gt;"",K228&lt;&gt;"",L228&lt;&gt;"",COUNTIF('SOW caps'!$N$7:$N$36,A228&amp;"|"&amp;K228)=1),"Mapped","Needs allocation"))))</x:f>
      </x:c>
      <x:c r="N228" s="8" t="str">
        <x:f>IF(B228="","",IF(M228="Mapped",_xlfn.XLOOKUP(A228&amp;"|"&amp;K228,'SOW caps'!$N$7:$N$36,'SOW caps'!$E$7:$E$36,""),IF(ISNUMBER('SOW caps'!$B$3),'SOW caps'!$B$3,"")))</x:f>
      </x:c>
      <x:c r="O228" s="8" t="str">
        <x:f>IF(AND(ISNUMBER(X228),ISNUMBER(N228),N228&gt;=0),X228*N228,"")</x:f>
      </x:c>
      <x:c r="P228" s="3"/>
      <x:c r="Q228" s="3"/>
      <x:c r="R228" s="3"/>
      <x:c r="S228" s="3"/>
      <x:c r="T228" s="3"/>
      <x:c r="U228" s="8" t="str">
        <x:f>IF(M228="Mapped",IF(OR(_xlfn.XLOOKUP(A228&amp;"|"&amp;K228,'SOW caps'!$N$7:$N$36,'SOW caps'!$M$7:$M$36,"")="Ready",_xlfn.XLOOKUP(A228&amp;"|"&amp;K228,'SOW caps'!$N$7:$N$36,'SOW caps'!$M$7:$M$36,"")="No hours"),_xlfn.XLOOKUP(A228&amp;"|"&amp;K228,'SOW caps'!$N$7:$N$36,'SOW caps'!$O$7:$O$36,""),""),"")</x:f>
      </x:c>
      <x:c r="V228" s="8" t="str">
        <x:f>IF(AND(ISNUMBER(U228),ISNUMBER(X228)),ROUND(SUMIFS($X$7:X228,$A$7:A228,A228,$K$7:K228,K228,$M$7:M228,"Mapped")*U228,2)-ROUND((SUMIFS($X$7:X228,$A$7:A228,A228,$K$7:K228,K228,$M$7:M228,"Mapped")-X228)*U228,2),"")</x:f>
      </x:c>
      <x:c r="W228" s="1" t="str">
        <x:f>IF(B228="","",IF(OR(NOT(ISNUMBER(I228)),I228&lt;0),"Invalid hours",IF(NOT(ISNUMBER(R228)),"Manual hours",IF(ROUND(I228*3600000,0)=R228,"Source hours","Adjusted hours"))))</x:f>
      </x:c>
      <x:c r="X228" s="10" t="str">
        <x:f>IF(B228="","",IF(AND(ISNUMBER(I228),I228&gt;=0,Q228="In period"),I228,""))</x:f>
      </x:c>
    </x:row>
    <x:row r="229" ht="23" customHeight="1">
      <x:c r="A229" s="3"/>
      <x:c r="B229" s="3"/>
      <x:c r="C229" s="3"/>
      <x:c r="D229" s="3"/>
      <x:c r="E229" s="3"/>
      <x:c r="F229" s="3"/>
      <x:c r="G229" s="3"/>
      <x:c r="H229" s="3"/>
      <x:c r="I229" s="9"/>
      <x:c r="J229" s="3"/>
      <x:c r="K229" s="3"/>
      <x:c r="L229" s="3"/>
      <x:c r="M229" s="1" t="str">
        <x:f>IF(B229="","",IF(W229="Invalid hours","Invalid hours",IF(NOT(ISNUMBER(X229)),"Excluded",IF(AND(J229&lt;&gt;"",K229&lt;&gt;"",L229&lt;&gt;"",COUNTIF('SOW caps'!$N$7:$N$36,A229&amp;"|"&amp;K229)=1),"Mapped","Needs allocation"))))</x:f>
      </x:c>
      <x:c r="N229" s="8" t="str">
        <x:f>IF(B229="","",IF(M229="Mapped",_xlfn.XLOOKUP(A229&amp;"|"&amp;K229,'SOW caps'!$N$7:$N$36,'SOW caps'!$E$7:$E$36,""),IF(ISNUMBER('SOW caps'!$B$3),'SOW caps'!$B$3,"")))</x:f>
      </x:c>
      <x:c r="O229" s="8" t="str">
        <x:f>IF(AND(ISNUMBER(X229),ISNUMBER(N229),N229&gt;=0),X229*N229,"")</x:f>
      </x:c>
      <x:c r="P229" s="3"/>
      <x:c r="Q229" s="3"/>
      <x:c r="R229" s="3"/>
      <x:c r="S229" s="3"/>
      <x:c r="T229" s="3"/>
      <x:c r="U229" s="8" t="str">
        <x:f>IF(M229="Mapped",IF(OR(_xlfn.XLOOKUP(A229&amp;"|"&amp;K229,'SOW caps'!$N$7:$N$36,'SOW caps'!$M$7:$M$36,"")="Ready",_xlfn.XLOOKUP(A229&amp;"|"&amp;K229,'SOW caps'!$N$7:$N$36,'SOW caps'!$M$7:$M$36,"")="No hours"),_xlfn.XLOOKUP(A229&amp;"|"&amp;K229,'SOW caps'!$N$7:$N$36,'SOW caps'!$O$7:$O$36,""),""),"")</x:f>
      </x:c>
      <x:c r="V229" s="8" t="str">
        <x:f>IF(AND(ISNUMBER(U229),ISNUMBER(X229)),ROUND(SUMIFS($X$7:X229,$A$7:A229,A229,$K$7:K229,K229,$M$7:M229,"Mapped")*U229,2)-ROUND((SUMIFS($X$7:X229,$A$7:A229,A229,$K$7:K229,K229,$M$7:M229,"Mapped")-X229)*U229,2),"")</x:f>
      </x:c>
      <x:c r="W229" s="1" t="str">
        <x:f>IF(B229="","",IF(OR(NOT(ISNUMBER(I229)),I229&lt;0),"Invalid hours",IF(NOT(ISNUMBER(R229)),"Manual hours",IF(ROUND(I229*3600000,0)=R229,"Source hours","Adjusted hours"))))</x:f>
      </x:c>
      <x:c r="X229" s="10" t="str">
        <x:f>IF(B229="","",IF(AND(ISNUMBER(I229),I229&gt;=0,Q229="In period"),I229,""))</x:f>
      </x:c>
    </x:row>
    <x:row r="230" ht="23" customHeight="1">
      <x:c r="A230" s="3"/>
      <x:c r="B230" s="3"/>
      <x:c r="C230" s="3"/>
      <x:c r="D230" s="3"/>
      <x:c r="E230" s="3"/>
      <x:c r="F230" s="3"/>
      <x:c r="G230" s="3"/>
      <x:c r="H230" s="3"/>
      <x:c r="I230" s="9"/>
      <x:c r="J230" s="3"/>
      <x:c r="K230" s="3"/>
      <x:c r="L230" s="3"/>
      <x:c r="M230" s="1" t="str">
        <x:f>IF(B230="","",IF(W230="Invalid hours","Invalid hours",IF(NOT(ISNUMBER(X230)),"Excluded",IF(AND(J230&lt;&gt;"",K230&lt;&gt;"",L230&lt;&gt;"",COUNTIF('SOW caps'!$N$7:$N$36,A230&amp;"|"&amp;K230)=1),"Mapped","Needs allocation"))))</x:f>
      </x:c>
      <x:c r="N230" s="8" t="str">
        <x:f>IF(B230="","",IF(M230="Mapped",_xlfn.XLOOKUP(A230&amp;"|"&amp;K230,'SOW caps'!$N$7:$N$36,'SOW caps'!$E$7:$E$36,""),IF(ISNUMBER('SOW caps'!$B$3),'SOW caps'!$B$3,"")))</x:f>
      </x:c>
      <x:c r="O230" s="8" t="str">
        <x:f>IF(AND(ISNUMBER(X230),ISNUMBER(N230),N230&gt;=0),X230*N230,"")</x:f>
      </x:c>
      <x:c r="P230" s="3"/>
      <x:c r="Q230" s="3"/>
      <x:c r="R230" s="3"/>
      <x:c r="S230" s="3"/>
      <x:c r="T230" s="3"/>
      <x:c r="U230" s="8" t="str">
        <x:f>IF(M230="Mapped",IF(OR(_xlfn.XLOOKUP(A230&amp;"|"&amp;K230,'SOW caps'!$N$7:$N$36,'SOW caps'!$M$7:$M$36,"")="Ready",_xlfn.XLOOKUP(A230&amp;"|"&amp;K230,'SOW caps'!$N$7:$N$36,'SOW caps'!$M$7:$M$36,"")="No hours"),_xlfn.XLOOKUP(A230&amp;"|"&amp;K230,'SOW caps'!$N$7:$N$36,'SOW caps'!$O$7:$O$36,""),""),"")</x:f>
      </x:c>
      <x:c r="V230" s="8" t="str">
        <x:f>IF(AND(ISNUMBER(U230),ISNUMBER(X230)),ROUND(SUMIFS($X$7:X230,$A$7:A230,A230,$K$7:K230,K230,$M$7:M230,"Mapped")*U230,2)-ROUND((SUMIFS($X$7:X230,$A$7:A230,A230,$K$7:K230,K230,$M$7:M230,"Mapped")-X230)*U230,2),"")</x:f>
      </x:c>
      <x:c r="W230" s="1" t="str">
        <x:f>IF(B230="","",IF(OR(NOT(ISNUMBER(I230)),I230&lt;0),"Invalid hours",IF(NOT(ISNUMBER(R230)),"Manual hours",IF(ROUND(I230*3600000,0)=R230,"Source hours","Adjusted hours"))))</x:f>
      </x:c>
      <x:c r="X230" s="10" t="str">
        <x:f>IF(B230="","",IF(AND(ISNUMBER(I230),I230&gt;=0,Q230="In period"),I230,""))</x:f>
      </x:c>
    </x:row>
    <x:row r="231" ht="23" customHeight="1">
      <x:c r="A231" s="3"/>
      <x:c r="B231" s="3"/>
      <x:c r="C231" s="3"/>
      <x:c r="D231" s="3"/>
      <x:c r="E231" s="3"/>
      <x:c r="F231" s="3"/>
      <x:c r="G231" s="3"/>
      <x:c r="H231" s="3"/>
      <x:c r="I231" s="9"/>
      <x:c r="J231" s="3"/>
      <x:c r="K231" s="3"/>
      <x:c r="L231" s="3"/>
      <x:c r="M231" s="1" t="str">
        <x:f>IF(B231="","",IF(W231="Invalid hours","Invalid hours",IF(NOT(ISNUMBER(X231)),"Excluded",IF(AND(J231&lt;&gt;"",K231&lt;&gt;"",L231&lt;&gt;"",COUNTIF('SOW caps'!$N$7:$N$36,A231&amp;"|"&amp;K231)=1),"Mapped","Needs allocation"))))</x:f>
      </x:c>
      <x:c r="N231" s="8" t="str">
        <x:f>IF(B231="","",IF(M231="Mapped",_xlfn.XLOOKUP(A231&amp;"|"&amp;K231,'SOW caps'!$N$7:$N$36,'SOW caps'!$E$7:$E$36,""),IF(ISNUMBER('SOW caps'!$B$3),'SOW caps'!$B$3,"")))</x:f>
      </x:c>
      <x:c r="O231" s="8" t="str">
        <x:f>IF(AND(ISNUMBER(X231),ISNUMBER(N231),N231&gt;=0),X231*N231,"")</x:f>
      </x:c>
      <x:c r="P231" s="3"/>
      <x:c r="Q231" s="3"/>
      <x:c r="R231" s="3"/>
      <x:c r="S231" s="3"/>
      <x:c r="T231" s="3"/>
      <x:c r="U231" s="8" t="str">
        <x:f>IF(M231="Mapped",IF(OR(_xlfn.XLOOKUP(A231&amp;"|"&amp;K231,'SOW caps'!$N$7:$N$36,'SOW caps'!$M$7:$M$36,"")="Ready",_xlfn.XLOOKUP(A231&amp;"|"&amp;K231,'SOW caps'!$N$7:$N$36,'SOW caps'!$M$7:$M$36,"")="No hours"),_xlfn.XLOOKUP(A231&amp;"|"&amp;K231,'SOW caps'!$N$7:$N$36,'SOW caps'!$O$7:$O$36,""),""),"")</x:f>
      </x:c>
      <x:c r="V231" s="8" t="str">
        <x:f>IF(AND(ISNUMBER(U231),ISNUMBER(X231)),ROUND(SUMIFS($X$7:X231,$A$7:A231,A231,$K$7:K231,K231,$M$7:M231,"Mapped")*U231,2)-ROUND((SUMIFS($X$7:X231,$A$7:A231,A231,$K$7:K231,K231,$M$7:M231,"Mapped")-X231)*U231,2),"")</x:f>
      </x:c>
      <x:c r="W231" s="1" t="str">
        <x:f>IF(B231="","",IF(OR(NOT(ISNUMBER(I231)),I231&lt;0),"Invalid hours",IF(NOT(ISNUMBER(R231)),"Manual hours",IF(ROUND(I231*3600000,0)=R231,"Source hours","Adjusted hours"))))</x:f>
      </x:c>
      <x:c r="X231" s="10" t="str">
        <x:f>IF(B231="","",IF(AND(ISNUMBER(I231),I231&gt;=0,Q231="In period"),I231,""))</x:f>
      </x:c>
    </x:row>
    <x:row r="232" ht="23" customHeight="1">
      <x:c r="A232" s="3"/>
      <x:c r="B232" s="3"/>
      <x:c r="C232" s="3"/>
      <x:c r="D232" s="3"/>
      <x:c r="E232" s="3"/>
      <x:c r="F232" s="3"/>
      <x:c r="G232" s="3"/>
      <x:c r="H232" s="3"/>
      <x:c r="I232" s="9"/>
      <x:c r="J232" s="3"/>
      <x:c r="K232" s="3"/>
      <x:c r="L232" s="3"/>
      <x:c r="M232" s="1" t="str">
        <x:f>IF(B232="","",IF(W232="Invalid hours","Invalid hours",IF(NOT(ISNUMBER(X232)),"Excluded",IF(AND(J232&lt;&gt;"",K232&lt;&gt;"",L232&lt;&gt;"",COUNTIF('SOW caps'!$N$7:$N$36,A232&amp;"|"&amp;K232)=1),"Mapped","Needs allocation"))))</x:f>
      </x:c>
      <x:c r="N232" s="8" t="str">
        <x:f>IF(B232="","",IF(M232="Mapped",_xlfn.XLOOKUP(A232&amp;"|"&amp;K232,'SOW caps'!$N$7:$N$36,'SOW caps'!$E$7:$E$36,""),IF(ISNUMBER('SOW caps'!$B$3),'SOW caps'!$B$3,"")))</x:f>
      </x:c>
      <x:c r="O232" s="8" t="str">
        <x:f>IF(AND(ISNUMBER(X232),ISNUMBER(N232),N232&gt;=0),X232*N232,"")</x:f>
      </x:c>
      <x:c r="P232" s="3"/>
      <x:c r="Q232" s="3"/>
      <x:c r="R232" s="3"/>
      <x:c r="S232" s="3"/>
      <x:c r="T232" s="3"/>
      <x:c r="U232" s="8" t="str">
        <x:f>IF(M232="Mapped",IF(OR(_xlfn.XLOOKUP(A232&amp;"|"&amp;K232,'SOW caps'!$N$7:$N$36,'SOW caps'!$M$7:$M$36,"")="Ready",_xlfn.XLOOKUP(A232&amp;"|"&amp;K232,'SOW caps'!$N$7:$N$36,'SOW caps'!$M$7:$M$36,"")="No hours"),_xlfn.XLOOKUP(A232&amp;"|"&amp;K232,'SOW caps'!$N$7:$N$36,'SOW caps'!$O$7:$O$36,""),""),"")</x:f>
      </x:c>
      <x:c r="V232" s="8" t="str">
        <x:f>IF(AND(ISNUMBER(U232),ISNUMBER(X232)),ROUND(SUMIFS($X$7:X232,$A$7:A232,A232,$K$7:K232,K232,$M$7:M232,"Mapped")*U232,2)-ROUND((SUMIFS($X$7:X232,$A$7:A232,A232,$K$7:K232,K232,$M$7:M232,"Mapped")-X232)*U232,2),"")</x:f>
      </x:c>
      <x:c r="W232" s="1" t="str">
        <x:f>IF(B232="","",IF(OR(NOT(ISNUMBER(I232)),I232&lt;0),"Invalid hours",IF(NOT(ISNUMBER(R232)),"Manual hours",IF(ROUND(I232*3600000,0)=R232,"Source hours","Adjusted hours"))))</x:f>
      </x:c>
      <x:c r="X232" s="10" t="str">
        <x:f>IF(B232="","",IF(AND(ISNUMBER(I232),I232&gt;=0,Q232="In period"),I232,""))</x:f>
      </x:c>
    </x:row>
    <x:row r="233" ht="23" customHeight="1">
      <x:c r="A233" s="3"/>
      <x:c r="B233" s="3"/>
      <x:c r="C233" s="3"/>
      <x:c r="D233" s="3"/>
      <x:c r="E233" s="3"/>
      <x:c r="F233" s="3"/>
      <x:c r="G233" s="3"/>
      <x:c r="H233" s="3"/>
      <x:c r="I233" s="9"/>
      <x:c r="J233" s="3"/>
      <x:c r="K233" s="3"/>
      <x:c r="L233" s="3"/>
      <x:c r="M233" s="1" t="str">
        <x:f>IF(B233="","",IF(W233="Invalid hours","Invalid hours",IF(NOT(ISNUMBER(X233)),"Excluded",IF(AND(J233&lt;&gt;"",K233&lt;&gt;"",L233&lt;&gt;"",COUNTIF('SOW caps'!$N$7:$N$36,A233&amp;"|"&amp;K233)=1),"Mapped","Needs allocation"))))</x:f>
      </x:c>
      <x:c r="N233" s="8" t="str">
        <x:f>IF(B233="","",IF(M233="Mapped",_xlfn.XLOOKUP(A233&amp;"|"&amp;K233,'SOW caps'!$N$7:$N$36,'SOW caps'!$E$7:$E$36,""),IF(ISNUMBER('SOW caps'!$B$3),'SOW caps'!$B$3,"")))</x:f>
      </x:c>
      <x:c r="O233" s="8" t="str">
        <x:f>IF(AND(ISNUMBER(X233),ISNUMBER(N233),N233&gt;=0),X233*N233,"")</x:f>
      </x:c>
      <x:c r="P233" s="3"/>
      <x:c r="Q233" s="3"/>
      <x:c r="R233" s="3"/>
      <x:c r="S233" s="3"/>
      <x:c r="T233" s="3"/>
      <x:c r="U233" s="8" t="str">
        <x:f>IF(M233="Mapped",IF(OR(_xlfn.XLOOKUP(A233&amp;"|"&amp;K233,'SOW caps'!$N$7:$N$36,'SOW caps'!$M$7:$M$36,"")="Ready",_xlfn.XLOOKUP(A233&amp;"|"&amp;K233,'SOW caps'!$N$7:$N$36,'SOW caps'!$M$7:$M$36,"")="No hours"),_xlfn.XLOOKUP(A233&amp;"|"&amp;K233,'SOW caps'!$N$7:$N$36,'SOW caps'!$O$7:$O$36,""),""),"")</x:f>
      </x:c>
      <x:c r="V233" s="8" t="str">
        <x:f>IF(AND(ISNUMBER(U233),ISNUMBER(X233)),ROUND(SUMIFS($X$7:X233,$A$7:A233,A233,$K$7:K233,K233,$M$7:M233,"Mapped")*U233,2)-ROUND((SUMIFS($X$7:X233,$A$7:A233,A233,$K$7:K233,K233,$M$7:M233,"Mapped")-X233)*U233,2),"")</x:f>
      </x:c>
      <x:c r="W233" s="1" t="str">
        <x:f>IF(B233="","",IF(OR(NOT(ISNUMBER(I233)),I233&lt;0),"Invalid hours",IF(NOT(ISNUMBER(R233)),"Manual hours",IF(ROUND(I233*3600000,0)=R233,"Source hours","Adjusted hours"))))</x:f>
      </x:c>
      <x:c r="X233" s="10" t="str">
        <x:f>IF(B233="","",IF(AND(ISNUMBER(I233),I233&gt;=0,Q233="In period"),I233,""))</x:f>
      </x:c>
    </x:row>
    <x:row r="234" ht="23" customHeight="1">
      <x:c r="A234" s="3"/>
      <x:c r="B234" s="3"/>
      <x:c r="C234" s="3"/>
      <x:c r="D234" s="3"/>
      <x:c r="E234" s="3"/>
      <x:c r="F234" s="3"/>
      <x:c r="G234" s="3"/>
      <x:c r="H234" s="3"/>
      <x:c r="I234" s="9"/>
      <x:c r="J234" s="3"/>
      <x:c r="K234" s="3"/>
      <x:c r="L234" s="3"/>
      <x:c r="M234" s="1" t="str">
        <x:f>IF(B234="","",IF(W234="Invalid hours","Invalid hours",IF(NOT(ISNUMBER(X234)),"Excluded",IF(AND(J234&lt;&gt;"",K234&lt;&gt;"",L234&lt;&gt;"",COUNTIF('SOW caps'!$N$7:$N$36,A234&amp;"|"&amp;K234)=1),"Mapped","Needs allocation"))))</x:f>
      </x:c>
      <x:c r="N234" s="8" t="str">
        <x:f>IF(B234="","",IF(M234="Mapped",_xlfn.XLOOKUP(A234&amp;"|"&amp;K234,'SOW caps'!$N$7:$N$36,'SOW caps'!$E$7:$E$36,""),IF(ISNUMBER('SOW caps'!$B$3),'SOW caps'!$B$3,"")))</x:f>
      </x:c>
      <x:c r="O234" s="8" t="str">
        <x:f>IF(AND(ISNUMBER(X234),ISNUMBER(N234),N234&gt;=0),X234*N234,"")</x:f>
      </x:c>
      <x:c r="P234" s="3"/>
      <x:c r="Q234" s="3"/>
      <x:c r="R234" s="3"/>
      <x:c r="S234" s="3"/>
      <x:c r="T234" s="3"/>
      <x:c r="U234" s="8" t="str">
        <x:f>IF(M234="Mapped",IF(OR(_xlfn.XLOOKUP(A234&amp;"|"&amp;K234,'SOW caps'!$N$7:$N$36,'SOW caps'!$M$7:$M$36,"")="Ready",_xlfn.XLOOKUP(A234&amp;"|"&amp;K234,'SOW caps'!$N$7:$N$36,'SOW caps'!$M$7:$M$36,"")="No hours"),_xlfn.XLOOKUP(A234&amp;"|"&amp;K234,'SOW caps'!$N$7:$N$36,'SOW caps'!$O$7:$O$36,""),""),"")</x:f>
      </x:c>
      <x:c r="V234" s="8" t="str">
        <x:f>IF(AND(ISNUMBER(U234),ISNUMBER(X234)),ROUND(SUMIFS($X$7:X234,$A$7:A234,A234,$K$7:K234,K234,$M$7:M234,"Mapped")*U234,2)-ROUND((SUMIFS($X$7:X234,$A$7:A234,A234,$K$7:K234,K234,$M$7:M234,"Mapped")-X234)*U234,2),"")</x:f>
      </x:c>
      <x:c r="W234" s="1" t="str">
        <x:f>IF(B234="","",IF(OR(NOT(ISNUMBER(I234)),I234&lt;0),"Invalid hours",IF(NOT(ISNUMBER(R234)),"Manual hours",IF(ROUND(I234*3600000,0)=R234,"Source hours","Adjusted hours"))))</x:f>
      </x:c>
      <x:c r="X234" s="10" t="str">
        <x:f>IF(B234="","",IF(AND(ISNUMBER(I234),I234&gt;=0,Q234="In period"),I234,""))</x:f>
      </x:c>
    </x:row>
    <x:row r="235" ht="23" customHeight="1">
      <x:c r="A235" s="3"/>
      <x:c r="B235" s="3"/>
      <x:c r="C235" s="3"/>
      <x:c r="D235" s="3"/>
      <x:c r="E235" s="3"/>
      <x:c r="F235" s="3"/>
      <x:c r="G235" s="3"/>
      <x:c r="H235" s="3"/>
      <x:c r="I235" s="9"/>
      <x:c r="J235" s="3"/>
      <x:c r="K235" s="3"/>
      <x:c r="L235" s="3"/>
      <x:c r="M235" s="1" t="str">
        <x:f>IF(B235="","",IF(W235="Invalid hours","Invalid hours",IF(NOT(ISNUMBER(X235)),"Excluded",IF(AND(J235&lt;&gt;"",K235&lt;&gt;"",L235&lt;&gt;"",COUNTIF('SOW caps'!$N$7:$N$36,A235&amp;"|"&amp;K235)=1),"Mapped","Needs allocation"))))</x:f>
      </x:c>
      <x:c r="N235" s="8" t="str">
        <x:f>IF(B235="","",IF(M235="Mapped",_xlfn.XLOOKUP(A235&amp;"|"&amp;K235,'SOW caps'!$N$7:$N$36,'SOW caps'!$E$7:$E$36,""),IF(ISNUMBER('SOW caps'!$B$3),'SOW caps'!$B$3,"")))</x:f>
      </x:c>
      <x:c r="O235" s="8" t="str">
        <x:f>IF(AND(ISNUMBER(X235),ISNUMBER(N235),N235&gt;=0),X235*N235,"")</x:f>
      </x:c>
      <x:c r="P235" s="3"/>
      <x:c r="Q235" s="3"/>
      <x:c r="R235" s="3"/>
      <x:c r="S235" s="3"/>
      <x:c r="T235" s="3"/>
      <x:c r="U235" s="8" t="str">
        <x:f>IF(M235="Mapped",IF(OR(_xlfn.XLOOKUP(A235&amp;"|"&amp;K235,'SOW caps'!$N$7:$N$36,'SOW caps'!$M$7:$M$36,"")="Ready",_xlfn.XLOOKUP(A235&amp;"|"&amp;K235,'SOW caps'!$N$7:$N$36,'SOW caps'!$M$7:$M$36,"")="No hours"),_xlfn.XLOOKUP(A235&amp;"|"&amp;K235,'SOW caps'!$N$7:$N$36,'SOW caps'!$O$7:$O$36,""),""),"")</x:f>
      </x:c>
      <x:c r="V235" s="8" t="str">
        <x:f>IF(AND(ISNUMBER(U235),ISNUMBER(X235)),ROUND(SUMIFS($X$7:X235,$A$7:A235,A235,$K$7:K235,K235,$M$7:M235,"Mapped")*U235,2)-ROUND((SUMIFS($X$7:X235,$A$7:A235,A235,$K$7:K235,K235,$M$7:M235,"Mapped")-X235)*U235,2),"")</x:f>
      </x:c>
      <x:c r="W235" s="1" t="str">
        <x:f>IF(B235="","",IF(OR(NOT(ISNUMBER(I235)),I235&lt;0),"Invalid hours",IF(NOT(ISNUMBER(R235)),"Manual hours",IF(ROUND(I235*3600000,0)=R235,"Source hours","Adjusted hours"))))</x:f>
      </x:c>
      <x:c r="X235" s="10" t="str">
        <x:f>IF(B235="","",IF(AND(ISNUMBER(I235),I235&gt;=0,Q235="In period"),I235,""))</x:f>
      </x:c>
    </x:row>
    <x:row r="236" ht="23" customHeight="1">
      <x:c r="A236" s="3"/>
      <x:c r="B236" s="3"/>
      <x:c r="C236" s="3"/>
      <x:c r="D236" s="3"/>
      <x:c r="E236" s="3"/>
      <x:c r="F236" s="3"/>
      <x:c r="G236" s="3"/>
      <x:c r="H236" s="3"/>
      <x:c r="I236" s="9"/>
      <x:c r="J236" s="3"/>
      <x:c r="K236" s="3"/>
      <x:c r="L236" s="3"/>
      <x:c r="M236" s="1" t="str">
        <x:f>IF(B236="","",IF(W236="Invalid hours","Invalid hours",IF(NOT(ISNUMBER(X236)),"Excluded",IF(AND(J236&lt;&gt;"",K236&lt;&gt;"",L236&lt;&gt;"",COUNTIF('SOW caps'!$N$7:$N$36,A236&amp;"|"&amp;K236)=1),"Mapped","Needs allocation"))))</x:f>
      </x:c>
      <x:c r="N236" s="8" t="str">
        <x:f>IF(B236="","",IF(M236="Mapped",_xlfn.XLOOKUP(A236&amp;"|"&amp;K236,'SOW caps'!$N$7:$N$36,'SOW caps'!$E$7:$E$36,""),IF(ISNUMBER('SOW caps'!$B$3),'SOW caps'!$B$3,"")))</x:f>
      </x:c>
      <x:c r="O236" s="8" t="str">
        <x:f>IF(AND(ISNUMBER(X236),ISNUMBER(N236),N236&gt;=0),X236*N236,"")</x:f>
      </x:c>
      <x:c r="P236" s="3"/>
      <x:c r="Q236" s="3"/>
      <x:c r="R236" s="3"/>
      <x:c r="S236" s="3"/>
      <x:c r="T236" s="3"/>
      <x:c r="U236" s="8" t="str">
        <x:f>IF(M236="Mapped",IF(OR(_xlfn.XLOOKUP(A236&amp;"|"&amp;K236,'SOW caps'!$N$7:$N$36,'SOW caps'!$M$7:$M$36,"")="Ready",_xlfn.XLOOKUP(A236&amp;"|"&amp;K236,'SOW caps'!$N$7:$N$36,'SOW caps'!$M$7:$M$36,"")="No hours"),_xlfn.XLOOKUP(A236&amp;"|"&amp;K236,'SOW caps'!$N$7:$N$36,'SOW caps'!$O$7:$O$36,""),""),"")</x:f>
      </x:c>
      <x:c r="V236" s="8" t="str">
        <x:f>IF(AND(ISNUMBER(U236),ISNUMBER(X236)),ROUND(SUMIFS($X$7:X236,$A$7:A236,A236,$K$7:K236,K236,$M$7:M236,"Mapped")*U236,2)-ROUND((SUMIFS($X$7:X236,$A$7:A236,A236,$K$7:K236,K236,$M$7:M236,"Mapped")-X236)*U236,2),"")</x:f>
      </x:c>
      <x:c r="W236" s="1" t="str">
        <x:f>IF(B236="","",IF(OR(NOT(ISNUMBER(I236)),I236&lt;0),"Invalid hours",IF(NOT(ISNUMBER(R236)),"Manual hours",IF(ROUND(I236*3600000,0)=R236,"Source hours","Adjusted hours"))))</x:f>
      </x:c>
      <x:c r="X236" s="10" t="str">
        <x:f>IF(B236="","",IF(AND(ISNUMBER(I236),I236&gt;=0,Q236="In period"),I236,""))</x:f>
      </x:c>
    </x:row>
    <x:row r="237" ht="23" customHeight="1">
      <x:c r="A237" s="3"/>
      <x:c r="B237" s="3"/>
      <x:c r="C237" s="3"/>
      <x:c r="D237" s="3"/>
      <x:c r="E237" s="3"/>
      <x:c r="F237" s="3"/>
      <x:c r="G237" s="3"/>
      <x:c r="H237" s="3"/>
      <x:c r="I237" s="9"/>
      <x:c r="J237" s="3"/>
      <x:c r="K237" s="3"/>
      <x:c r="L237" s="3"/>
      <x:c r="M237" s="1" t="str">
        <x:f>IF(B237="","",IF(W237="Invalid hours","Invalid hours",IF(NOT(ISNUMBER(X237)),"Excluded",IF(AND(J237&lt;&gt;"",K237&lt;&gt;"",L237&lt;&gt;"",COUNTIF('SOW caps'!$N$7:$N$36,A237&amp;"|"&amp;K237)=1),"Mapped","Needs allocation"))))</x:f>
      </x:c>
      <x:c r="N237" s="8" t="str">
        <x:f>IF(B237="","",IF(M237="Mapped",_xlfn.XLOOKUP(A237&amp;"|"&amp;K237,'SOW caps'!$N$7:$N$36,'SOW caps'!$E$7:$E$36,""),IF(ISNUMBER('SOW caps'!$B$3),'SOW caps'!$B$3,"")))</x:f>
      </x:c>
      <x:c r="O237" s="8" t="str">
        <x:f>IF(AND(ISNUMBER(X237),ISNUMBER(N237),N237&gt;=0),X237*N237,"")</x:f>
      </x:c>
      <x:c r="P237" s="3"/>
      <x:c r="Q237" s="3"/>
      <x:c r="R237" s="3"/>
      <x:c r="S237" s="3"/>
      <x:c r="T237" s="3"/>
      <x:c r="U237" s="8" t="str">
        <x:f>IF(M237="Mapped",IF(OR(_xlfn.XLOOKUP(A237&amp;"|"&amp;K237,'SOW caps'!$N$7:$N$36,'SOW caps'!$M$7:$M$36,"")="Ready",_xlfn.XLOOKUP(A237&amp;"|"&amp;K237,'SOW caps'!$N$7:$N$36,'SOW caps'!$M$7:$M$36,"")="No hours"),_xlfn.XLOOKUP(A237&amp;"|"&amp;K237,'SOW caps'!$N$7:$N$36,'SOW caps'!$O$7:$O$36,""),""),"")</x:f>
      </x:c>
      <x:c r="V237" s="8" t="str">
        <x:f>IF(AND(ISNUMBER(U237),ISNUMBER(X237)),ROUND(SUMIFS($X$7:X237,$A$7:A237,A237,$K$7:K237,K237,$M$7:M237,"Mapped")*U237,2)-ROUND((SUMIFS($X$7:X237,$A$7:A237,A237,$K$7:K237,K237,$M$7:M237,"Mapped")-X237)*U237,2),"")</x:f>
      </x:c>
      <x:c r="W237" s="1" t="str">
        <x:f>IF(B237="","",IF(OR(NOT(ISNUMBER(I237)),I237&lt;0),"Invalid hours",IF(NOT(ISNUMBER(R237)),"Manual hours",IF(ROUND(I237*3600000,0)=R237,"Source hours","Adjusted hours"))))</x:f>
      </x:c>
      <x:c r="X237" s="10" t="str">
        <x:f>IF(B237="","",IF(AND(ISNUMBER(I237),I237&gt;=0,Q237="In period"),I237,""))</x:f>
      </x:c>
    </x:row>
    <x:row r="238" ht="23" customHeight="1">
      <x:c r="A238" s="3"/>
      <x:c r="B238" s="3"/>
      <x:c r="C238" s="3"/>
      <x:c r="D238" s="3"/>
      <x:c r="E238" s="3"/>
      <x:c r="F238" s="3"/>
      <x:c r="G238" s="3"/>
      <x:c r="H238" s="3"/>
      <x:c r="I238" s="9"/>
      <x:c r="J238" s="3"/>
      <x:c r="K238" s="3"/>
      <x:c r="L238" s="3"/>
      <x:c r="M238" s="1" t="str">
        <x:f>IF(B238="","",IF(W238="Invalid hours","Invalid hours",IF(NOT(ISNUMBER(X238)),"Excluded",IF(AND(J238&lt;&gt;"",K238&lt;&gt;"",L238&lt;&gt;"",COUNTIF('SOW caps'!$N$7:$N$36,A238&amp;"|"&amp;K238)=1),"Mapped","Needs allocation"))))</x:f>
      </x:c>
      <x:c r="N238" s="8" t="str">
        <x:f>IF(B238="","",IF(M238="Mapped",_xlfn.XLOOKUP(A238&amp;"|"&amp;K238,'SOW caps'!$N$7:$N$36,'SOW caps'!$E$7:$E$36,""),IF(ISNUMBER('SOW caps'!$B$3),'SOW caps'!$B$3,"")))</x:f>
      </x:c>
      <x:c r="O238" s="8" t="str">
        <x:f>IF(AND(ISNUMBER(X238),ISNUMBER(N238),N238&gt;=0),X238*N238,"")</x:f>
      </x:c>
      <x:c r="P238" s="3"/>
      <x:c r="Q238" s="3"/>
      <x:c r="R238" s="3"/>
      <x:c r="S238" s="3"/>
      <x:c r="T238" s="3"/>
      <x:c r="U238" s="8" t="str">
        <x:f>IF(M238="Mapped",IF(OR(_xlfn.XLOOKUP(A238&amp;"|"&amp;K238,'SOW caps'!$N$7:$N$36,'SOW caps'!$M$7:$M$36,"")="Ready",_xlfn.XLOOKUP(A238&amp;"|"&amp;K238,'SOW caps'!$N$7:$N$36,'SOW caps'!$M$7:$M$36,"")="No hours"),_xlfn.XLOOKUP(A238&amp;"|"&amp;K238,'SOW caps'!$N$7:$N$36,'SOW caps'!$O$7:$O$36,""),""),"")</x:f>
      </x:c>
      <x:c r="V238" s="8" t="str">
        <x:f>IF(AND(ISNUMBER(U238),ISNUMBER(X238)),ROUND(SUMIFS($X$7:X238,$A$7:A238,A238,$K$7:K238,K238,$M$7:M238,"Mapped")*U238,2)-ROUND((SUMIFS($X$7:X238,$A$7:A238,A238,$K$7:K238,K238,$M$7:M238,"Mapped")-X238)*U238,2),"")</x:f>
      </x:c>
      <x:c r="W238" s="1" t="str">
        <x:f>IF(B238="","",IF(OR(NOT(ISNUMBER(I238)),I238&lt;0),"Invalid hours",IF(NOT(ISNUMBER(R238)),"Manual hours",IF(ROUND(I238*3600000,0)=R238,"Source hours","Adjusted hours"))))</x:f>
      </x:c>
      <x:c r="X238" s="10" t="str">
        <x:f>IF(B238="","",IF(AND(ISNUMBER(I238),I238&gt;=0,Q238="In period"),I238,""))</x:f>
      </x:c>
    </x:row>
    <x:row r="239" ht="23" customHeight="1">
      <x:c r="A239" s="3"/>
      <x:c r="B239" s="3"/>
      <x:c r="C239" s="3"/>
      <x:c r="D239" s="3"/>
      <x:c r="E239" s="3"/>
      <x:c r="F239" s="3"/>
      <x:c r="G239" s="3"/>
      <x:c r="H239" s="3"/>
      <x:c r="I239" s="9"/>
      <x:c r="J239" s="3"/>
      <x:c r="K239" s="3"/>
      <x:c r="L239" s="3"/>
      <x:c r="M239" s="1" t="str">
        <x:f>IF(B239="","",IF(W239="Invalid hours","Invalid hours",IF(NOT(ISNUMBER(X239)),"Excluded",IF(AND(J239&lt;&gt;"",K239&lt;&gt;"",L239&lt;&gt;"",COUNTIF('SOW caps'!$N$7:$N$36,A239&amp;"|"&amp;K239)=1),"Mapped","Needs allocation"))))</x:f>
      </x:c>
      <x:c r="N239" s="8" t="str">
        <x:f>IF(B239="","",IF(M239="Mapped",_xlfn.XLOOKUP(A239&amp;"|"&amp;K239,'SOW caps'!$N$7:$N$36,'SOW caps'!$E$7:$E$36,""),IF(ISNUMBER('SOW caps'!$B$3),'SOW caps'!$B$3,"")))</x:f>
      </x:c>
      <x:c r="O239" s="8" t="str">
        <x:f>IF(AND(ISNUMBER(X239),ISNUMBER(N239),N239&gt;=0),X239*N239,"")</x:f>
      </x:c>
      <x:c r="P239" s="3"/>
      <x:c r="Q239" s="3"/>
      <x:c r="R239" s="3"/>
      <x:c r="S239" s="3"/>
      <x:c r="T239" s="3"/>
      <x:c r="U239" s="8" t="str">
        <x:f>IF(M239="Mapped",IF(OR(_xlfn.XLOOKUP(A239&amp;"|"&amp;K239,'SOW caps'!$N$7:$N$36,'SOW caps'!$M$7:$M$36,"")="Ready",_xlfn.XLOOKUP(A239&amp;"|"&amp;K239,'SOW caps'!$N$7:$N$36,'SOW caps'!$M$7:$M$36,"")="No hours"),_xlfn.XLOOKUP(A239&amp;"|"&amp;K239,'SOW caps'!$N$7:$N$36,'SOW caps'!$O$7:$O$36,""),""),"")</x:f>
      </x:c>
      <x:c r="V239" s="8" t="str">
        <x:f>IF(AND(ISNUMBER(U239),ISNUMBER(X239)),ROUND(SUMIFS($X$7:X239,$A$7:A239,A239,$K$7:K239,K239,$M$7:M239,"Mapped")*U239,2)-ROUND((SUMIFS($X$7:X239,$A$7:A239,A239,$K$7:K239,K239,$M$7:M239,"Mapped")-X239)*U239,2),"")</x:f>
      </x:c>
      <x:c r="W239" s="1" t="str">
        <x:f>IF(B239="","",IF(OR(NOT(ISNUMBER(I239)),I239&lt;0),"Invalid hours",IF(NOT(ISNUMBER(R239)),"Manual hours",IF(ROUND(I239*3600000,0)=R239,"Source hours","Adjusted hours"))))</x:f>
      </x:c>
      <x:c r="X239" s="10" t="str">
        <x:f>IF(B239="","",IF(AND(ISNUMBER(I239),I239&gt;=0,Q239="In period"),I239,""))</x:f>
      </x:c>
    </x:row>
    <x:row r="240" ht="23" customHeight="1">
      <x:c r="A240" s="3"/>
      <x:c r="B240" s="3"/>
      <x:c r="C240" s="3"/>
      <x:c r="D240" s="3"/>
      <x:c r="E240" s="3"/>
      <x:c r="F240" s="3"/>
      <x:c r="G240" s="3"/>
      <x:c r="H240" s="3"/>
      <x:c r="I240" s="9"/>
      <x:c r="J240" s="3"/>
      <x:c r="K240" s="3"/>
      <x:c r="L240" s="3"/>
      <x:c r="M240" s="1" t="str">
        <x:f>IF(B240="","",IF(W240="Invalid hours","Invalid hours",IF(NOT(ISNUMBER(X240)),"Excluded",IF(AND(J240&lt;&gt;"",K240&lt;&gt;"",L240&lt;&gt;"",COUNTIF('SOW caps'!$N$7:$N$36,A240&amp;"|"&amp;K240)=1),"Mapped","Needs allocation"))))</x:f>
      </x:c>
      <x:c r="N240" s="8" t="str">
        <x:f>IF(B240="","",IF(M240="Mapped",_xlfn.XLOOKUP(A240&amp;"|"&amp;K240,'SOW caps'!$N$7:$N$36,'SOW caps'!$E$7:$E$36,""),IF(ISNUMBER('SOW caps'!$B$3),'SOW caps'!$B$3,"")))</x:f>
      </x:c>
      <x:c r="O240" s="8" t="str">
        <x:f>IF(AND(ISNUMBER(X240),ISNUMBER(N240),N240&gt;=0),X240*N240,"")</x:f>
      </x:c>
      <x:c r="P240" s="3"/>
      <x:c r="Q240" s="3"/>
      <x:c r="R240" s="3"/>
      <x:c r="S240" s="3"/>
      <x:c r="T240" s="3"/>
      <x:c r="U240" s="8" t="str">
        <x:f>IF(M240="Mapped",IF(OR(_xlfn.XLOOKUP(A240&amp;"|"&amp;K240,'SOW caps'!$N$7:$N$36,'SOW caps'!$M$7:$M$36,"")="Ready",_xlfn.XLOOKUP(A240&amp;"|"&amp;K240,'SOW caps'!$N$7:$N$36,'SOW caps'!$M$7:$M$36,"")="No hours"),_xlfn.XLOOKUP(A240&amp;"|"&amp;K240,'SOW caps'!$N$7:$N$36,'SOW caps'!$O$7:$O$36,""),""),"")</x:f>
      </x:c>
      <x:c r="V240" s="8" t="str">
        <x:f>IF(AND(ISNUMBER(U240),ISNUMBER(X240)),ROUND(SUMIFS($X$7:X240,$A$7:A240,A240,$K$7:K240,K240,$M$7:M240,"Mapped")*U240,2)-ROUND((SUMIFS($X$7:X240,$A$7:A240,A240,$K$7:K240,K240,$M$7:M240,"Mapped")-X240)*U240,2),"")</x:f>
      </x:c>
      <x:c r="W240" s="1" t="str">
        <x:f>IF(B240="","",IF(OR(NOT(ISNUMBER(I240)),I240&lt;0),"Invalid hours",IF(NOT(ISNUMBER(R240)),"Manual hours",IF(ROUND(I240*3600000,0)=R240,"Source hours","Adjusted hours"))))</x:f>
      </x:c>
      <x:c r="X240" s="10" t="str">
        <x:f>IF(B240="","",IF(AND(ISNUMBER(I240),I240&gt;=0,Q240="In period"),I240,""))</x:f>
      </x:c>
    </x:row>
    <x:row r="241" ht="23" customHeight="1">
      <x:c r="A241" s="3"/>
      <x:c r="B241" s="3"/>
      <x:c r="C241" s="3"/>
      <x:c r="D241" s="3"/>
      <x:c r="E241" s="3"/>
      <x:c r="F241" s="3"/>
      <x:c r="G241" s="3"/>
      <x:c r="H241" s="3"/>
      <x:c r="I241" s="9"/>
      <x:c r="J241" s="3"/>
      <x:c r="K241" s="3"/>
      <x:c r="L241" s="3"/>
      <x:c r="M241" s="1" t="str">
        <x:f>IF(B241="","",IF(W241="Invalid hours","Invalid hours",IF(NOT(ISNUMBER(X241)),"Excluded",IF(AND(J241&lt;&gt;"",K241&lt;&gt;"",L241&lt;&gt;"",COUNTIF('SOW caps'!$N$7:$N$36,A241&amp;"|"&amp;K241)=1),"Mapped","Needs allocation"))))</x:f>
      </x:c>
      <x:c r="N241" s="8" t="str">
        <x:f>IF(B241="","",IF(M241="Mapped",_xlfn.XLOOKUP(A241&amp;"|"&amp;K241,'SOW caps'!$N$7:$N$36,'SOW caps'!$E$7:$E$36,""),IF(ISNUMBER('SOW caps'!$B$3),'SOW caps'!$B$3,"")))</x:f>
      </x:c>
      <x:c r="O241" s="8" t="str">
        <x:f>IF(AND(ISNUMBER(X241),ISNUMBER(N241),N241&gt;=0),X241*N241,"")</x:f>
      </x:c>
      <x:c r="P241" s="3"/>
      <x:c r="Q241" s="3"/>
      <x:c r="R241" s="3"/>
      <x:c r="S241" s="3"/>
      <x:c r="T241" s="3"/>
      <x:c r="U241" s="8" t="str">
        <x:f>IF(M241="Mapped",IF(OR(_xlfn.XLOOKUP(A241&amp;"|"&amp;K241,'SOW caps'!$N$7:$N$36,'SOW caps'!$M$7:$M$36,"")="Ready",_xlfn.XLOOKUP(A241&amp;"|"&amp;K241,'SOW caps'!$N$7:$N$36,'SOW caps'!$M$7:$M$36,"")="No hours"),_xlfn.XLOOKUP(A241&amp;"|"&amp;K241,'SOW caps'!$N$7:$N$36,'SOW caps'!$O$7:$O$36,""),""),"")</x:f>
      </x:c>
      <x:c r="V241" s="8" t="str">
        <x:f>IF(AND(ISNUMBER(U241),ISNUMBER(X241)),ROUND(SUMIFS($X$7:X241,$A$7:A241,A241,$K$7:K241,K241,$M$7:M241,"Mapped")*U241,2)-ROUND((SUMIFS($X$7:X241,$A$7:A241,A241,$K$7:K241,K241,$M$7:M241,"Mapped")-X241)*U241,2),"")</x:f>
      </x:c>
      <x:c r="W241" s="1" t="str">
        <x:f>IF(B241="","",IF(OR(NOT(ISNUMBER(I241)),I241&lt;0),"Invalid hours",IF(NOT(ISNUMBER(R241)),"Manual hours",IF(ROUND(I241*3600000,0)=R241,"Source hours","Adjusted hours"))))</x:f>
      </x:c>
      <x:c r="X241" s="10" t="str">
        <x:f>IF(B241="","",IF(AND(ISNUMBER(I241),I241&gt;=0,Q241="In period"),I241,""))</x:f>
      </x:c>
    </x:row>
    <x:row r="242" ht="23" customHeight="1">
      <x:c r="A242" s="3"/>
      <x:c r="B242" s="3"/>
      <x:c r="C242" s="3"/>
      <x:c r="D242" s="3"/>
      <x:c r="E242" s="3"/>
      <x:c r="F242" s="3"/>
      <x:c r="G242" s="3"/>
      <x:c r="H242" s="3"/>
      <x:c r="I242" s="9"/>
      <x:c r="J242" s="3"/>
      <x:c r="K242" s="3"/>
      <x:c r="L242" s="3"/>
      <x:c r="M242" s="1" t="str">
        <x:f>IF(B242="","",IF(W242="Invalid hours","Invalid hours",IF(NOT(ISNUMBER(X242)),"Excluded",IF(AND(J242&lt;&gt;"",K242&lt;&gt;"",L242&lt;&gt;"",COUNTIF('SOW caps'!$N$7:$N$36,A242&amp;"|"&amp;K242)=1),"Mapped","Needs allocation"))))</x:f>
      </x:c>
      <x:c r="N242" s="8" t="str">
        <x:f>IF(B242="","",IF(M242="Mapped",_xlfn.XLOOKUP(A242&amp;"|"&amp;K242,'SOW caps'!$N$7:$N$36,'SOW caps'!$E$7:$E$36,""),IF(ISNUMBER('SOW caps'!$B$3),'SOW caps'!$B$3,"")))</x:f>
      </x:c>
      <x:c r="O242" s="8" t="str">
        <x:f>IF(AND(ISNUMBER(X242),ISNUMBER(N242),N242&gt;=0),X242*N242,"")</x:f>
      </x:c>
      <x:c r="P242" s="3"/>
      <x:c r="Q242" s="3"/>
      <x:c r="R242" s="3"/>
      <x:c r="S242" s="3"/>
      <x:c r="T242" s="3"/>
      <x:c r="U242" s="8" t="str">
        <x:f>IF(M242="Mapped",IF(OR(_xlfn.XLOOKUP(A242&amp;"|"&amp;K242,'SOW caps'!$N$7:$N$36,'SOW caps'!$M$7:$M$36,"")="Ready",_xlfn.XLOOKUP(A242&amp;"|"&amp;K242,'SOW caps'!$N$7:$N$36,'SOW caps'!$M$7:$M$36,"")="No hours"),_xlfn.XLOOKUP(A242&amp;"|"&amp;K242,'SOW caps'!$N$7:$N$36,'SOW caps'!$O$7:$O$36,""),""),"")</x:f>
      </x:c>
      <x:c r="V242" s="8" t="str">
        <x:f>IF(AND(ISNUMBER(U242),ISNUMBER(X242)),ROUND(SUMIFS($X$7:X242,$A$7:A242,A242,$K$7:K242,K242,$M$7:M242,"Mapped")*U242,2)-ROUND((SUMIFS($X$7:X242,$A$7:A242,A242,$K$7:K242,K242,$M$7:M242,"Mapped")-X242)*U242,2),"")</x:f>
      </x:c>
      <x:c r="W242" s="1" t="str">
        <x:f>IF(B242="","",IF(OR(NOT(ISNUMBER(I242)),I242&lt;0),"Invalid hours",IF(NOT(ISNUMBER(R242)),"Manual hours",IF(ROUND(I242*3600000,0)=R242,"Source hours","Adjusted hours"))))</x:f>
      </x:c>
      <x:c r="X242" s="10" t="str">
        <x:f>IF(B242="","",IF(AND(ISNUMBER(I242),I242&gt;=0,Q242="In period"),I242,""))</x:f>
      </x:c>
    </x:row>
    <x:row r="243" ht="23" customHeight="1">
      <x:c r="A243" s="3"/>
      <x:c r="B243" s="3"/>
      <x:c r="C243" s="3"/>
      <x:c r="D243" s="3"/>
      <x:c r="E243" s="3"/>
      <x:c r="F243" s="3"/>
      <x:c r="G243" s="3"/>
      <x:c r="H243" s="3"/>
      <x:c r="I243" s="9"/>
      <x:c r="J243" s="3"/>
      <x:c r="K243" s="3"/>
      <x:c r="L243" s="3"/>
      <x:c r="M243" s="1" t="str">
        <x:f>IF(B243="","",IF(W243="Invalid hours","Invalid hours",IF(NOT(ISNUMBER(X243)),"Excluded",IF(AND(J243&lt;&gt;"",K243&lt;&gt;"",L243&lt;&gt;"",COUNTIF('SOW caps'!$N$7:$N$36,A243&amp;"|"&amp;K243)=1),"Mapped","Needs allocation"))))</x:f>
      </x:c>
      <x:c r="N243" s="8" t="str">
        <x:f>IF(B243="","",IF(M243="Mapped",_xlfn.XLOOKUP(A243&amp;"|"&amp;K243,'SOW caps'!$N$7:$N$36,'SOW caps'!$E$7:$E$36,""),IF(ISNUMBER('SOW caps'!$B$3),'SOW caps'!$B$3,"")))</x:f>
      </x:c>
      <x:c r="O243" s="8" t="str">
        <x:f>IF(AND(ISNUMBER(X243),ISNUMBER(N243),N243&gt;=0),X243*N243,"")</x:f>
      </x:c>
      <x:c r="P243" s="3"/>
      <x:c r="Q243" s="3"/>
      <x:c r="R243" s="3"/>
      <x:c r="S243" s="3"/>
      <x:c r="T243" s="3"/>
      <x:c r="U243" s="8" t="str">
        <x:f>IF(M243="Mapped",IF(OR(_xlfn.XLOOKUP(A243&amp;"|"&amp;K243,'SOW caps'!$N$7:$N$36,'SOW caps'!$M$7:$M$36,"")="Ready",_xlfn.XLOOKUP(A243&amp;"|"&amp;K243,'SOW caps'!$N$7:$N$36,'SOW caps'!$M$7:$M$36,"")="No hours"),_xlfn.XLOOKUP(A243&amp;"|"&amp;K243,'SOW caps'!$N$7:$N$36,'SOW caps'!$O$7:$O$36,""),""),"")</x:f>
      </x:c>
      <x:c r="V243" s="8" t="str">
        <x:f>IF(AND(ISNUMBER(U243),ISNUMBER(X243)),ROUND(SUMIFS($X$7:X243,$A$7:A243,A243,$K$7:K243,K243,$M$7:M243,"Mapped")*U243,2)-ROUND((SUMIFS($X$7:X243,$A$7:A243,A243,$K$7:K243,K243,$M$7:M243,"Mapped")-X243)*U243,2),"")</x:f>
      </x:c>
      <x:c r="W243" s="1" t="str">
        <x:f>IF(B243="","",IF(OR(NOT(ISNUMBER(I243)),I243&lt;0),"Invalid hours",IF(NOT(ISNUMBER(R243)),"Manual hours",IF(ROUND(I243*3600000,0)=R243,"Source hours","Adjusted hours"))))</x:f>
      </x:c>
      <x:c r="X243" s="10" t="str">
        <x:f>IF(B243="","",IF(AND(ISNUMBER(I243),I243&gt;=0,Q243="In period"),I243,""))</x:f>
      </x:c>
    </x:row>
    <x:row r="244" ht="23" customHeight="1">
      <x:c r="A244" s="3"/>
      <x:c r="B244" s="3"/>
      <x:c r="C244" s="3"/>
      <x:c r="D244" s="3"/>
      <x:c r="E244" s="3"/>
      <x:c r="F244" s="3"/>
      <x:c r="G244" s="3"/>
      <x:c r="H244" s="3"/>
      <x:c r="I244" s="9"/>
      <x:c r="J244" s="3"/>
      <x:c r="K244" s="3"/>
      <x:c r="L244" s="3"/>
      <x:c r="M244" s="1" t="str">
        <x:f>IF(B244="","",IF(W244="Invalid hours","Invalid hours",IF(NOT(ISNUMBER(X244)),"Excluded",IF(AND(J244&lt;&gt;"",K244&lt;&gt;"",L244&lt;&gt;"",COUNTIF('SOW caps'!$N$7:$N$36,A244&amp;"|"&amp;K244)=1),"Mapped","Needs allocation"))))</x:f>
      </x:c>
      <x:c r="N244" s="8" t="str">
        <x:f>IF(B244="","",IF(M244="Mapped",_xlfn.XLOOKUP(A244&amp;"|"&amp;K244,'SOW caps'!$N$7:$N$36,'SOW caps'!$E$7:$E$36,""),IF(ISNUMBER('SOW caps'!$B$3),'SOW caps'!$B$3,"")))</x:f>
      </x:c>
      <x:c r="O244" s="8" t="str">
        <x:f>IF(AND(ISNUMBER(X244),ISNUMBER(N244),N244&gt;=0),X244*N244,"")</x:f>
      </x:c>
      <x:c r="P244" s="3"/>
      <x:c r="Q244" s="3"/>
      <x:c r="R244" s="3"/>
      <x:c r="S244" s="3"/>
      <x:c r="T244" s="3"/>
      <x:c r="U244" s="8" t="str">
        <x:f>IF(M244="Mapped",IF(OR(_xlfn.XLOOKUP(A244&amp;"|"&amp;K244,'SOW caps'!$N$7:$N$36,'SOW caps'!$M$7:$M$36,"")="Ready",_xlfn.XLOOKUP(A244&amp;"|"&amp;K244,'SOW caps'!$N$7:$N$36,'SOW caps'!$M$7:$M$36,"")="No hours"),_xlfn.XLOOKUP(A244&amp;"|"&amp;K244,'SOW caps'!$N$7:$N$36,'SOW caps'!$O$7:$O$36,""),""),"")</x:f>
      </x:c>
      <x:c r="V244" s="8" t="str">
        <x:f>IF(AND(ISNUMBER(U244),ISNUMBER(X244)),ROUND(SUMIFS($X$7:X244,$A$7:A244,A244,$K$7:K244,K244,$M$7:M244,"Mapped")*U244,2)-ROUND((SUMIFS($X$7:X244,$A$7:A244,A244,$K$7:K244,K244,$M$7:M244,"Mapped")-X244)*U244,2),"")</x:f>
      </x:c>
      <x:c r="W244" s="1" t="str">
        <x:f>IF(B244="","",IF(OR(NOT(ISNUMBER(I244)),I244&lt;0),"Invalid hours",IF(NOT(ISNUMBER(R244)),"Manual hours",IF(ROUND(I244*3600000,0)=R244,"Source hours","Adjusted hours"))))</x:f>
      </x:c>
      <x:c r="X244" s="10" t="str">
        <x:f>IF(B244="","",IF(AND(ISNUMBER(I244),I244&gt;=0,Q244="In period"),I244,""))</x:f>
      </x:c>
    </x:row>
    <x:row r="245" ht="23" customHeight="1">
      <x:c r="A245" s="3"/>
      <x:c r="B245" s="3"/>
      <x:c r="C245" s="3"/>
      <x:c r="D245" s="3"/>
      <x:c r="E245" s="3"/>
      <x:c r="F245" s="3"/>
      <x:c r="G245" s="3"/>
      <x:c r="H245" s="3"/>
      <x:c r="I245" s="9"/>
      <x:c r="J245" s="3"/>
      <x:c r="K245" s="3"/>
      <x:c r="L245" s="3"/>
      <x:c r="M245" s="1" t="str">
        <x:f>IF(B245="","",IF(W245="Invalid hours","Invalid hours",IF(NOT(ISNUMBER(X245)),"Excluded",IF(AND(J245&lt;&gt;"",K245&lt;&gt;"",L245&lt;&gt;"",COUNTIF('SOW caps'!$N$7:$N$36,A245&amp;"|"&amp;K245)=1),"Mapped","Needs allocation"))))</x:f>
      </x:c>
      <x:c r="N245" s="8" t="str">
        <x:f>IF(B245="","",IF(M245="Mapped",_xlfn.XLOOKUP(A245&amp;"|"&amp;K245,'SOW caps'!$N$7:$N$36,'SOW caps'!$E$7:$E$36,""),IF(ISNUMBER('SOW caps'!$B$3),'SOW caps'!$B$3,"")))</x:f>
      </x:c>
      <x:c r="O245" s="8" t="str">
        <x:f>IF(AND(ISNUMBER(X245),ISNUMBER(N245),N245&gt;=0),X245*N245,"")</x:f>
      </x:c>
      <x:c r="P245" s="3"/>
      <x:c r="Q245" s="3"/>
      <x:c r="R245" s="3"/>
      <x:c r="S245" s="3"/>
      <x:c r="T245" s="3"/>
      <x:c r="U245" s="8" t="str">
        <x:f>IF(M245="Mapped",IF(OR(_xlfn.XLOOKUP(A245&amp;"|"&amp;K245,'SOW caps'!$N$7:$N$36,'SOW caps'!$M$7:$M$36,"")="Ready",_xlfn.XLOOKUP(A245&amp;"|"&amp;K245,'SOW caps'!$N$7:$N$36,'SOW caps'!$M$7:$M$36,"")="No hours"),_xlfn.XLOOKUP(A245&amp;"|"&amp;K245,'SOW caps'!$N$7:$N$36,'SOW caps'!$O$7:$O$36,""),""),"")</x:f>
      </x:c>
      <x:c r="V245" s="8" t="str">
        <x:f>IF(AND(ISNUMBER(U245),ISNUMBER(X245)),ROUND(SUMIFS($X$7:X245,$A$7:A245,A245,$K$7:K245,K245,$M$7:M245,"Mapped")*U245,2)-ROUND((SUMIFS($X$7:X245,$A$7:A245,A245,$K$7:K245,K245,$M$7:M245,"Mapped")-X245)*U245,2),"")</x:f>
      </x:c>
      <x:c r="W245" s="1" t="str">
        <x:f>IF(B245="","",IF(OR(NOT(ISNUMBER(I245)),I245&lt;0),"Invalid hours",IF(NOT(ISNUMBER(R245)),"Manual hours",IF(ROUND(I245*3600000,0)=R245,"Source hours","Adjusted hours"))))</x:f>
      </x:c>
      <x:c r="X245" s="10" t="str">
        <x:f>IF(B245="","",IF(AND(ISNUMBER(I245),I245&gt;=0,Q245="In period"),I245,""))</x:f>
      </x:c>
    </x:row>
    <x:row r="246" ht="23" customHeight="1">
      <x:c r="A246" s="3"/>
      <x:c r="B246" s="3"/>
      <x:c r="C246" s="3"/>
      <x:c r="D246" s="3"/>
      <x:c r="E246" s="3"/>
      <x:c r="F246" s="3"/>
      <x:c r="G246" s="3"/>
      <x:c r="H246" s="3"/>
      <x:c r="I246" s="9"/>
      <x:c r="J246" s="3"/>
      <x:c r="K246" s="3"/>
      <x:c r="L246" s="3"/>
      <x:c r="M246" s="1" t="str">
        <x:f>IF(B246="","",IF(W246="Invalid hours","Invalid hours",IF(NOT(ISNUMBER(X246)),"Excluded",IF(AND(J246&lt;&gt;"",K246&lt;&gt;"",L246&lt;&gt;"",COUNTIF('SOW caps'!$N$7:$N$36,A246&amp;"|"&amp;K246)=1),"Mapped","Needs allocation"))))</x:f>
      </x:c>
      <x:c r="N246" s="8" t="str">
        <x:f>IF(B246="","",IF(M246="Mapped",_xlfn.XLOOKUP(A246&amp;"|"&amp;K246,'SOW caps'!$N$7:$N$36,'SOW caps'!$E$7:$E$36,""),IF(ISNUMBER('SOW caps'!$B$3),'SOW caps'!$B$3,"")))</x:f>
      </x:c>
      <x:c r="O246" s="8" t="str">
        <x:f>IF(AND(ISNUMBER(X246),ISNUMBER(N246),N246&gt;=0),X246*N246,"")</x:f>
      </x:c>
      <x:c r="P246" s="3"/>
      <x:c r="Q246" s="3"/>
      <x:c r="R246" s="3"/>
      <x:c r="S246" s="3"/>
      <x:c r="T246" s="3"/>
      <x:c r="U246" s="8" t="str">
        <x:f>IF(M246="Mapped",IF(OR(_xlfn.XLOOKUP(A246&amp;"|"&amp;K246,'SOW caps'!$N$7:$N$36,'SOW caps'!$M$7:$M$36,"")="Ready",_xlfn.XLOOKUP(A246&amp;"|"&amp;K246,'SOW caps'!$N$7:$N$36,'SOW caps'!$M$7:$M$36,"")="No hours"),_xlfn.XLOOKUP(A246&amp;"|"&amp;K246,'SOW caps'!$N$7:$N$36,'SOW caps'!$O$7:$O$36,""),""),"")</x:f>
      </x:c>
      <x:c r="V246" s="8" t="str">
        <x:f>IF(AND(ISNUMBER(U246),ISNUMBER(X246)),ROUND(SUMIFS($X$7:X246,$A$7:A246,A246,$K$7:K246,K246,$M$7:M246,"Mapped")*U246,2)-ROUND((SUMIFS($X$7:X246,$A$7:A246,A246,$K$7:K246,K246,$M$7:M246,"Mapped")-X246)*U246,2),"")</x:f>
      </x:c>
      <x:c r="W246" s="1" t="str">
        <x:f>IF(B246="","",IF(OR(NOT(ISNUMBER(I246)),I246&lt;0),"Invalid hours",IF(NOT(ISNUMBER(R246)),"Manual hours",IF(ROUND(I246*3600000,0)=R246,"Source hours","Adjusted hours"))))</x:f>
      </x:c>
      <x:c r="X246" s="10" t="str">
        <x:f>IF(B246="","",IF(AND(ISNUMBER(I246),I246&gt;=0,Q246="In period"),I246,""))</x:f>
      </x:c>
    </x:row>
    <x:row r="247" ht="23" customHeight="1">
      <x:c r="A247" s="3"/>
      <x:c r="B247" s="3"/>
      <x:c r="C247" s="3"/>
      <x:c r="D247" s="3"/>
      <x:c r="E247" s="3"/>
      <x:c r="F247" s="3"/>
      <x:c r="G247" s="3"/>
      <x:c r="H247" s="3"/>
      <x:c r="I247" s="9"/>
      <x:c r="J247" s="3"/>
      <x:c r="K247" s="3"/>
      <x:c r="L247" s="3"/>
      <x:c r="M247" s="1" t="str">
        <x:f>IF(B247="","",IF(W247="Invalid hours","Invalid hours",IF(NOT(ISNUMBER(X247)),"Excluded",IF(AND(J247&lt;&gt;"",K247&lt;&gt;"",L247&lt;&gt;"",COUNTIF('SOW caps'!$N$7:$N$36,A247&amp;"|"&amp;K247)=1),"Mapped","Needs allocation"))))</x:f>
      </x:c>
      <x:c r="N247" s="8" t="str">
        <x:f>IF(B247="","",IF(M247="Mapped",_xlfn.XLOOKUP(A247&amp;"|"&amp;K247,'SOW caps'!$N$7:$N$36,'SOW caps'!$E$7:$E$36,""),IF(ISNUMBER('SOW caps'!$B$3),'SOW caps'!$B$3,"")))</x:f>
      </x:c>
      <x:c r="O247" s="8" t="str">
        <x:f>IF(AND(ISNUMBER(X247),ISNUMBER(N247),N247&gt;=0),X247*N247,"")</x:f>
      </x:c>
      <x:c r="P247" s="3"/>
      <x:c r="Q247" s="3"/>
      <x:c r="R247" s="3"/>
      <x:c r="S247" s="3"/>
      <x:c r="T247" s="3"/>
      <x:c r="U247" s="8" t="str">
        <x:f>IF(M247="Mapped",IF(OR(_xlfn.XLOOKUP(A247&amp;"|"&amp;K247,'SOW caps'!$N$7:$N$36,'SOW caps'!$M$7:$M$36,"")="Ready",_xlfn.XLOOKUP(A247&amp;"|"&amp;K247,'SOW caps'!$N$7:$N$36,'SOW caps'!$M$7:$M$36,"")="No hours"),_xlfn.XLOOKUP(A247&amp;"|"&amp;K247,'SOW caps'!$N$7:$N$36,'SOW caps'!$O$7:$O$36,""),""),"")</x:f>
      </x:c>
      <x:c r="V247" s="8" t="str">
        <x:f>IF(AND(ISNUMBER(U247),ISNUMBER(X247)),ROUND(SUMIFS($X$7:X247,$A$7:A247,A247,$K$7:K247,K247,$M$7:M247,"Mapped")*U247,2)-ROUND((SUMIFS($X$7:X247,$A$7:A247,A247,$K$7:K247,K247,$M$7:M247,"Mapped")-X247)*U247,2),"")</x:f>
      </x:c>
      <x:c r="W247" s="1" t="str">
        <x:f>IF(B247="","",IF(OR(NOT(ISNUMBER(I247)),I247&lt;0),"Invalid hours",IF(NOT(ISNUMBER(R247)),"Manual hours",IF(ROUND(I247*3600000,0)=R247,"Source hours","Adjusted hours"))))</x:f>
      </x:c>
      <x:c r="X247" s="10" t="str">
        <x:f>IF(B247="","",IF(AND(ISNUMBER(I247),I247&gt;=0,Q247="In period"),I247,""))</x:f>
      </x:c>
    </x:row>
    <x:row r="248" ht="23" customHeight="1">
      <x:c r="A248" s="3"/>
      <x:c r="B248" s="3"/>
      <x:c r="C248" s="3"/>
      <x:c r="D248" s="3"/>
      <x:c r="E248" s="3"/>
      <x:c r="F248" s="3"/>
      <x:c r="G248" s="3"/>
      <x:c r="H248" s="3"/>
      <x:c r="I248" s="9"/>
      <x:c r="J248" s="3"/>
      <x:c r="K248" s="3"/>
      <x:c r="L248" s="3"/>
      <x:c r="M248" s="1" t="str">
        <x:f>IF(B248="","",IF(W248="Invalid hours","Invalid hours",IF(NOT(ISNUMBER(X248)),"Excluded",IF(AND(J248&lt;&gt;"",K248&lt;&gt;"",L248&lt;&gt;"",COUNTIF('SOW caps'!$N$7:$N$36,A248&amp;"|"&amp;K248)=1),"Mapped","Needs allocation"))))</x:f>
      </x:c>
      <x:c r="N248" s="8" t="str">
        <x:f>IF(B248="","",IF(M248="Mapped",_xlfn.XLOOKUP(A248&amp;"|"&amp;K248,'SOW caps'!$N$7:$N$36,'SOW caps'!$E$7:$E$36,""),IF(ISNUMBER('SOW caps'!$B$3),'SOW caps'!$B$3,"")))</x:f>
      </x:c>
      <x:c r="O248" s="8" t="str">
        <x:f>IF(AND(ISNUMBER(X248),ISNUMBER(N248),N248&gt;=0),X248*N248,"")</x:f>
      </x:c>
      <x:c r="P248" s="3"/>
      <x:c r="Q248" s="3"/>
      <x:c r="R248" s="3"/>
      <x:c r="S248" s="3"/>
      <x:c r="T248" s="3"/>
      <x:c r="U248" s="8" t="str">
        <x:f>IF(M248="Mapped",IF(OR(_xlfn.XLOOKUP(A248&amp;"|"&amp;K248,'SOW caps'!$N$7:$N$36,'SOW caps'!$M$7:$M$36,"")="Ready",_xlfn.XLOOKUP(A248&amp;"|"&amp;K248,'SOW caps'!$N$7:$N$36,'SOW caps'!$M$7:$M$36,"")="No hours"),_xlfn.XLOOKUP(A248&amp;"|"&amp;K248,'SOW caps'!$N$7:$N$36,'SOW caps'!$O$7:$O$36,""),""),"")</x:f>
      </x:c>
      <x:c r="V248" s="8" t="str">
        <x:f>IF(AND(ISNUMBER(U248),ISNUMBER(X248)),ROUND(SUMIFS($X$7:X248,$A$7:A248,A248,$K$7:K248,K248,$M$7:M248,"Mapped")*U248,2)-ROUND((SUMIFS($X$7:X248,$A$7:A248,A248,$K$7:K248,K248,$M$7:M248,"Mapped")-X248)*U248,2),"")</x:f>
      </x:c>
      <x:c r="W248" s="1" t="str">
        <x:f>IF(B248="","",IF(OR(NOT(ISNUMBER(I248)),I248&lt;0),"Invalid hours",IF(NOT(ISNUMBER(R248)),"Manual hours",IF(ROUND(I248*3600000,0)=R248,"Source hours","Adjusted hours"))))</x:f>
      </x:c>
      <x:c r="X248" s="10" t="str">
        <x:f>IF(B248="","",IF(AND(ISNUMBER(I248),I248&gt;=0,Q248="In period"),I248,""))</x:f>
      </x:c>
    </x:row>
    <x:row r="249" ht="23" customHeight="1">
      <x:c r="A249" s="3"/>
      <x:c r="B249" s="3"/>
      <x:c r="C249" s="3"/>
      <x:c r="D249" s="3"/>
      <x:c r="E249" s="3"/>
      <x:c r="F249" s="3"/>
      <x:c r="G249" s="3"/>
      <x:c r="H249" s="3"/>
      <x:c r="I249" s="9"/>
      <x:c r="J249" s="3"/>
      <x:c r="K249" s="3"/>
      <x:c r="L249" s="3"/>
      <x:c r="M249" s="1" t="str">
        <x:f>IF(B249="","",IF(W249="Invalid hours","Invalid hours",IF(NOT(ISNUMBER(X249)),"Excluded",IF(AND(J249&lt;&gt;"",K249&lt;&gt;"",L249&lt;&gt;"",COUNTIF('SOW caps'!$N$7:$N$36,A249&amp;"|"&amp;K249)=1),"Mapped","Needs allocation"))))</x:f>
      </x:c>
      <x:c r="N249" s="8" t="str">
        <x:f>IF(B249="","",IF(M249="Mapped",_xlfn.XLOOKUP(A249&amp;"|"&amp;K249,'SOW caps'!$N$7:$N$36,'SOW caps'!$E$7:$E$36,""),IF(ISNUMBER('SOW caps'!$B$3),'SOW caps'!$B$3,"")))</x:f>
      </x:c>
      <x:c r="O249" s="8" t="str">
        <x:f>IF(AND(ISNUMBER(X249),ISNUMBER(N249),N249&gt;=0),X249*N249,"")</x:f>
      </x:c>
      <x:c r="P249" s="3"/>
      <x:c r="Q249" s="3"/>
      <x:c r="R249" s="3"/>
      <x:c r="S249" s="3"/>
      <x:c r="T249" s="3"/>
      <x:c r="U249" s="8" t="str">
        <x:f>IF(M249="Mapped",IF(OR(_xlfn.XLOOKUP(A249&amp;"|"&amp;K249,'SOW caps'!$N$7:$N$36,'SOW caps'!$M$7:$M$36,"")="Ready",_xlfn.XLOOKUP(A249&amp;"|"&amp;K249,'SOW caps'!$N$7:$N$36,'SOW caps'!$M$7:$M$36,"")="No hours"),_xlfn.XLOOKUP(A249&amp;"|"&amp;K249,'SOW caps'!$N$7:$N$36,'SOW caps'!$O$7:$O$36,""),""),"")</x:f>
      </x:c>
      <x:c r="V249" s="8" t="str">
        <x:f>IF(AND(ISNUMBER(U249),ISNUMBER(X249)),ROUND(SUMIFS($X$7:X249,$A$7:A249,A249,$K$7:K249,K249,$M$7:M249,"Mapped")*U249,2)-ROUND((SUMIFS($X$7:X249,$A$7:A249,A249,$K$7:K249,K249,$M$7:M249,"Mapped")-X249)*U249,2),"")</x:f>
      </x:c>
      <x:c r="W249" s="1" t="str">
        <x:f>IF(B249="","",IF(OR(NOT(ISNUMBER(I249)),I249&lt;0),"Invalid hours",IF(NOT(ISNUMBER(R249)),"Manual hours",IF(ROUND(I249*3600000,0)=R249,"Source hours","Adjusted hours"))))</x:f>
      </x:c>
      <x:c r="X249" s="10" t="str">
        <x:f>IF(B249="","",IF(AND(ISNUMBER(I249),I249&gt;=0,Q249="In period"),I249,""))</x:f>
      </x:c>
    </x:row>
    <x:row r="250" ht="23" customHeight="1">
      <x:c r="A250" s="3"/>
      <x:c r="B250" s="3"/>
      <x:c r="C250" s="3"/>
      <x:c r="D250" s="3"/>
      <x:c r="E250" s="3"/>
      <x:c r="F250" s="3"/>
      <x:c r="G250" s="3"/>
      <x:c r="H250" s="3"/>
      <x:c r="I250" s="9"/>
      <x:c r="J250" s="3"/>
      <x:c r="K250" s="3"/>
      <x:c r="L250" s="3"/>
      <x:c r="M250" s="1" t="str">
        <x:f>IF(B250="","",IF(W250="Invalid hours","Invalid hours",IF(NOT(ISNUMBER(X250)),"Excluded",IF(AND(J250&lt;&gt;"",K250&lt;&gt;"",L250&lt;&gt;"",COUNTIF('SOW caps'!$N$7:$N$36,A250&amp;"|"&amp;K250)=1),"Mapped","Needs allocation"))))</x:f>
      </x:c>
      <x:c r="N250" s="8" t="str">
        <x:f>IF(B250="","",IF(M250="Mapped",_xlfn.XLOOKUP(A250&amp;"|"&amp;K250,'SOW caps'!$N$7:$N$36,'SOW caps'!$E$7:$E$36,""),IF(ISNUMBER('SOW caps'!$B$3),'SOW caps'!$B$3,"")))</x:f>
      </x:c>
      <x:c r="O250" s="8" t="str">
        <x:f>IF(AND(ISNUMBER(X250),ISNUMBER(N250),N250&gt;=0),X250*N250,"")</x:f>
      </x:c>
      <x:c r="P250" s="3"/>
      <x:c r="Q250" s="3"/>
      <x:c r="R250" s="3"/>
      <x:c r="S250" s="3"/>
      <x:c r="T250" s="3"/>
      <x:c r="U250" s="8" t="str">
        <x:f>IF(M250="Mapped",IF(OR(_xlfn.XLOOKUP(A250&amp;"|"&amp;K250,'SOW caps'!$N$7:$N$36,'SOW caps'!$M$7:$M$36,"")="Ready",_xlfn.XLOOKUP(A250&amp;"|"&amp;K250,'SOW caps'!$N$7:$N$36,'SOW caps'!$M$7:$M$36,"")="No hours"),_xlfn.XLOOKUP(A250&amp;"|"&amp;K250,'SOW caps'!$N$7:$N$36,'SOW caps'!$O$7:$O$36,""),""),"")</x:f>
      </x:c>
      <x:c r="V250" s="8" t="str">
        <x:f>IF(AND(ISNUMBER(U250),ISNUMBER(X250)),ROUND(SUMIFS($X$7:X250,$A$7:A250,A250,$K$7:K250,K250,$M$7:M250,"Mapped")*U250,2)-ROUND((SUMIFS($X$7:X250,$A$7:A250,A250,$K$7:K250,K250,$M$7:M250,"Mapped")-X250)*U250,2),"")</x:f>
      </x:c>
      <x:c r="W250" s="1" t="str">
        <x:f>IF(B250="","",IF(OR(NOT(ISNUMBER(I250)),I250&lt;0),"Invalid hours",IF(NOT(ISNUMBER(R250)),"Manual hours",IF(ROUND(I250*3600000,0)=R250,"Source hours","Adjusted hours"))))</x:f>
      </x:c>
      <x:c r="X250" s="10" t="str">
        <x:f>IF(B250="","",IF(AND(ISNUMBER(I250),I250&gt;=0,Q250="In period"),I250,""))</x:f>
      </x:c>
    </x:row>
    <x:row r="251" ht="23" customHeight="1">
      <x:c r="A251" s="3"/>
      <x:c r="B251" s="3"/>
      <x:c r="C251" s="3"/>
      <x:c r="D251" s="3"/>
      <x:c r="E251" s="3"/>
      <x:c r="F251" s="3"/>
      <x:c r="G251" s="3"/>
      <x:c r="H251" s="3"/>
      <x:c r="I251" s="9"/>
      <x:c r="J251" s="3"/>
      <x:c r="K251" s="3"/>
      <x:c r="L251" s="3"/>
      <x:c r="M251" s="1" t="str">
        <x:f>IF(B251="","",IF(W251="Invalid hours","Invalid hours",IF(NOT(ISNUMBER(X251)),"Excluded",IF(AND(J251&lt;&gt;"",K251&lt;&gt;"",L251&lt;&gt;"",COUNTIF('SOW caps'!$N$7:$N$36,A251&amp;"|"&amp;K251)=1),"Mapped","Needs allocation"))))</x:f>
      </x:c>
      <x:c r="N251" s="8" t="str">
        <x:f>IF(B251="","",IF(M251="Mapped",_xlfn.XLOOKUP(A251&amp;"|"&amp;K251,'SOW caps'!$N$7:$N$36,'SOW caps'!$E$7:$E$36,""),IF(ISNUMBER('SOW caps'!$B$3),'SOW caps'!$B$3,"")))</x:f>
      </x:c>
      <x:c r="O251" s="8" t="str">
        <x:f>IF(AND(ISNUMBER(X251),ISNUMBER(N251),N251&gt;=0),X251*N251,"")</x:f>
      </x:c>
      <x:c r="P251" s="3"/>
      <x:c r="Q251" s="3"/>
      <x:c r="R251" s="3"/>
      <x:c r="S251" s="3"/>
      <x:c r="T251" s="3"/>
      <x:c r="U251" s="8" t="str">
        <x:f>IF(M251="Mapped",IF(OR(_xlfn.XLOOKUP(A251&amp;"|"&amp;K251,'SOW caps'!$N$7:$N$36,'SOW caps'!$M$7:$M$36,"")="Ready",_xlfn.XLOOKUP(A251&amp;"|"&amp;K251,'SOW caps'!$N$7:$N$36,'SOW caps'!$M$7:$M$36,"")="No hours"),_xlfn.XLOOKUP(A251&amp;"|"&amp;K251,'SOW caps'!$N$7:$N$36,'SOW caps'!$O$7:$O$36,""),""),"")</x:f>
      </x:c>
      <x:c r="V251" s="8" t="str">
        <x:f>IF(AND(ISNUMBER(U251),ISNUMBER(X251)),ROUND(SUMIFS($X$7:X251,$A$7:A251,A251,$K$7:K251,K251,$M$7:M251,"Mapped")*U251,2)-ROUND((SUMIFS($X$7:X251,$A$7:A251,A251,$K$7:K251,K251,$M$7:M251,"Mapped")-X251)*U251,2),"")</x:f>
      </x:c>
      <x:c r="W251" s="1" t="str">
        <x:f>IF(B251="","",IF(OR(NOT(ISNUMBER(I251)),I251&lt;0),"Invalid hours",IF(NOT(ISNUMBER(R251)),"Manual hours",IF(ROUND(I251*3600000,0)=R251,"Source hours","Adjusted hours"))))</x:f>
      </x:c>
      <x:c r="X251" s="10" t="str">
        <x:f>IF(B251="","",IF(AND(ISNUMBER(I251),I251&gt;=0,Q251="In period"),I251,""))</x:f>
      </x:c>
    </x:row>
    <x:row r="252" ht="23" customHeight="1">
      <x:c r="A252" s="3"/>
      <x:c r="B252" s="3"/>
      <x:c r="C252" s="3"/>
      <x:c r="D252" s="3"/>
      <x:c r="E252" s="3"/>
      <x:c r="F252" s="3"/>
      <x:c r="G252" s="3"/>
      <x:c r="H252" s="3"/>
      <x:c r="I252" s="9"/>
      <x:c r="J252" s="3"/>
      <x:c r="K252" s="3"/>
      <x:c r="L252" s="3"/>
      <x:c r="M252" s="1" t="str">
        <x:f>IF(B252="","",IF(W252="Invalid hours","Invalid hours",IF(NOT(ISNUMBER(X252)),"Excluded",IF(AND(J252&lt;&gt;"",K252&lt;&gt;"",L252&lt;&gt;"",COUNTIF('SOW caps'!$N$7:$N$36,A252&amp;"|"&amp;K252)=1),"Mapped","Needs allocation"))))</x:f>
      </x:c>
      <x:c r="N252" s="8" t="str">
        <x:f>IF(B252="","",IF(M252="Mapped",_xlfn.XLOOKUP(A252&amp;"|"&amp;K252,'SOW caps'!$N$7:$N$36,'SOW caps'!$E$7:$E$36,""),IF(ISNUMBER('SOW caps'!$B$3),'SOW caps'!$B$3,"")))</x:f>
      </x:c>
      <x:c r="O252" s="8" t="str">
        <x:f>IF(AND(ISNUMBER(X252),ISNUMBER(N252),N252&gt;=0),X252*N252,"")</x:f>
      </x:c>
      <x:c r="P252" s="3"/>
      <x:c r="Q252" s="3"/>
      <x:c r="R252" s="3"/>
      <x:c r="S252" s="3"/>
      <x:c r="T252" s="3"/>
      <x:c r="U252" s="8" t="str">
        <x:f>IF(M252="Mapped",IF(OR(_xlfn.XLOOKUP(A252&amp;"|"&amp;K252,'SOW caps'!$N$7:$N$36,'SOW caps'!$M$7:$M$36,"")="Ready",_xlfn.XLOOKUP(A252&amp;"|"&amp;K252,'SOW caps'!$N$7:$N$36,'SOW caps'!$M$7:$M$36,"")="No hours"),_xlfn.XLOOKUP(A252&amp;"|"&amp;K252,'SOW caps'!$N$7:$N$36,'SOW caps'!$O$7:$O$36,""),""),"")</x:f>
      </x:c>
      <x:c r="V252" s="8" t="str">
        <x:f>IF(AND(ISNUMBER(U252),ISNUMBER(X252)),ROUND(SUMIFS($X$7:X252,$A$7:A252,A252,$K$7:K252,K252,$M$7:M252,"Mapped")*U252,2)-ROUND((SUMIFS($X$7:X252,$A$7:A252,A252,$K$7:K252,K252,$M$7:M252,"Mapped")-X252)*U252,2),"")</x:f>
      </x:c>
      <x:c r="W252" s="1" t="str">
        <x:f>IF(B252="","",IF(OR(NOT(ISNUMBER(I252)),I252&lt;0),"Invalid hours",IF(NOT(ISNUMBER(R252)),"Manual hours",IF(ROUND(I252*3600000,0)=R252,"Source hours","Adjusted hours"))))</x:f>
      </x:c>
      <x:c r="X252" s="10" t="str">
        <x:f>IF(B252="","",IF(AND(ISNUMBER(I252),I252&gt;=0,Q252="In period"),I252,""))</x:f>
      </x:c>
    </x:row>
    <x:row r="253" ht="23" customHeight="1">
      <x:c r="A253" s="3"/>
      <x:c r="B253" s="3"/>
      <x:c r="C253" s="3"/>
      <x:c r="D253" s="3"/>
      <x:c r="E253" s="3"/>
      <x:c r="F253" s="3"/>
      <x:c r="G253" s="3"/>
      <x:c r="H253" s="3"/>
      <x:c r="I253" s="9"/>
      <x:c r="J253" s="3"/>
      <x:c r="K253" s="3"/>
      <x:c r="L253" s="3"/>
      <x:c r="M253" s="1" t="str">
        <x:f>IF(B253="","",IF(W253="Invalid hours","Invalid hours",IF(NOT(ISNUMBER(X253)),"Excluded",IF(AND(J253&lt;&gt;"",K253&lt;&gt;"",L253&lt;&gt;"",COUNTIF('SOW caps'!$N$7:$N$36,A253&amp;"|"&amp;K253)=1),"Mapped","Needs allocation"))))</x:f>
      </x:c>
      <x:c r="N253" s="8" t="str">
        <x:f>IF(B253="","",IF(M253="Mapped",_xlfn.XLOOKUP(A253&amp;"|"&amp;K253,'SOW caps'!$N$7:$N$36,'SOW caps'!$E$7:$E$36,""),IF(ISNUMBER('SOW caps'!$B$3),'SOW caps'!$B$3,"")))</x:f>
      </x:c>
      <x:c r="O253" s="8" t="str">
        <x:f>IF(AND(ISNUMBER(X253),ISNUMBER(N253),N253&gt;=0),X253*N253,"")</x:f>
      </x:c>
      <x:c r="P253" s="3"/>
      <x:c r="Q253" s="3"/>
      <x:c r="R253" s="3"/>
      <x:c r="S253" s="3"/>
      <x:c r="T253" s="3"/>
      <x:c r="U253" s="8" t="str">
        <x:f>IF(M253="Mapped",IF(OR(_xlfn.XLOOKUP(A253&amp;"|"&amp;K253,'SOW caps'!$N$7:$N$36,'SOW caps'!$M$7:$M$36,"")="Ready",_xlfn.XLOOKUP(A253&amp;"|"&amp;K253,'SOW caps'!$N$7:$N$36,'SOW caps'!$M$7:$M$36,"")="No hours"),_xlfn.XLOOKUP(A253&amp;"|"&amp;K253,'SOW caps'!$N$7:$N$36,'SOW caps'!$O$7:$O$36,""),""),"")</x:f>
      </x:c>
      <x:c r="V253" s="8" t="str">
        <x:f>IF(AND(ISNUMBER(U253),ISNUMBER(X253)),ROUND(SUMIFS($X$7:X253,$A$7:A253,A253,$K$7:K253,K253,$M$7:M253,"Mapped")*U253,2)-ROUND((SUMIFS($X$7:X253,$A$7:A253,A253,$K$7:K253,K253,$M$7:M253,"Mapped")-X253)*U253,2),"")</x:f>
      </x:c>
      <x:c r="W253" s="1" t="str">
        <x:f>IF(B253="","",IF(OR(NOT(ISNUMBER(I253)),I253&lt;0),"Invalid hours",IF(NOT(ISNUMBER(R253)),"Manual hours",IF(ROUND(I253*3600000,0)=R253,"Source hours","Adjusted hours"))))</x:f>
      </x:c>
      <x:c r="X253" s="10" t="str">
        <x:f>IF(B253="","",IF(AND(ISNUMBER(I253),I253&gt;=0,Q253="In period"),I253,""))</x:f>
      </x:c>
    </x:row>
    <x:row r="254" ht="23" customHeight="1">
      <x:c r="A254" s="3"/>
      <x:c r="B254" s="3"/>
      <x:c r="C254" s="3"/>
      <x:c r="D254" s="3"/>
      <x:c r="E254" s="3"/>
      <x:c r="F254" s="3"/>
      <x:c r="G254" s="3"/>
      <x:c r="H254" s="3"/>
      <x:c r="I254" s="9"/>
      <x:c r="J254" s="3"/>
      <x:c r="K254" s="3"/>
      <x:c r="L254" s="3"/>
      <x:c r="M254" s="1" t="str">
        <x:f>IF(B254="","",IF(W254="Invalid hours","Invalid hours",IF(NOT(ISNUMBER(X254)),"Excluded",IF(AND(J254&lt;&gt;"",K254&lt;&gt;"",L254&lt;&gt;"",COUNTIF('SOW caps'!$N$7:$N$36,A254&amp;"|"&amp;K254)=1),"Mapped","Needs allocation"))))</x:f>
      </x:c>
      <x:c r="N254" s="8" t="str">
        <x:f>IF(B254="","",IF(M254="Mapped",_xlfn.XLOOKUP(A254&amp;"|"&amp;K254,'SOW caps'!$N$7:$N$36,'SOW caps'!$E$7:$E$36,""),IF(ISNUMBER('SOW caps'!$B$3),'SOW caps'!$B$3,"")))</x:f>
      </x:c>
      <x:c r="O254" s="8" t="str">
        <x:f>IF(AND(ISNUMBER(X254),ISNUMBER(N254),N254&gt;=0),X254*N254,"")</x:f>
      </x:c>
      <x:c r="P254" s="3"/>
      <x:c r="Q254" s="3"/>
      <x:c r="R254" s="3"/>
      <x:c r="S254" s="3"/>
      <x:c r="T254" s="3"/>
      <x:c r="U254" s="8" t="str">
        <x:f>IF(M254="Mapped",IF(OR(_xlfn.XLOOKUP(A254&amp;"|"&amp;K254,'SOW caps'!$N$7:$N$36,'SOW caps'!$M$7:$M$36,"")="Ready",_xlfn.XLOOKUP(A254&amp;"|"&amp;K254,'SOW caps'!$N$7:$N$36,'SOW caps'!$M$7:$M$36,"")="No hours"),_xlfn.XLOOKUP(A254&amp;"|"&amp;K254,'SOW caps'!$N$7:$N$36,'SOW caps'!$O$7:$O$36,""),""),"")</x:f>
      </x:c>
      <x:c r="V254" s="8" t="str">
        <x:f>IF(AND(ISNUMBER(U254),ISNUMBER(X254)),ROUND(SUMIFS($X$7:X254,$A$7:A254,A254,$K$7:K254,K254,$M$7:M254,"Mapped")*U254,2)-ROUND((SUMIFS($X$7:X254,$A$7:A254,A254,$K$7:K254,K254,$M$7:M254,"Mapped")-X254)*U254,2),"")</x:f>
      </x:c>
      <x:c r="W254" s="1" t="str">
        <x:f>IF(B254="","",IF(OR(NOT(ISNUMBER(I254)),I254&lt;0),"Invalid hours",IF(NOT(ISNUMBER(R254)),"Manual hours",IF(ROUND(I254*3600000,0)=R254,"Source hours","Adjusted hours"))))</x:f>
      </x:c>
      <x:c r="X254" s="10" t="str">
        <x:f>IF(B254="","",IF(AND(ISNUMBER(I254),I254&gt;=0,Q254="In period"),I254,""))</x:f>
      </x:c>
    </x:row>
    <x:row r="255" ht="23" customHeight="1">
      <x:c r="A255" s="3"/>
      <x:c r="B255" s="3"/>
      <x:c r="C255" s="3"/>
      <x:c r="D255" s="3"/>
      <x:c r="E255" s="3"/>
      <x:c r="F255" s="3"/>
      <x:c r="G255" s="3"/>
      <x:c r="H255" s="3"/>
      <x:c r="I255" s="9"/>
      <x:c r="J255" s="3"/>
      <x:c r="K255" s="3"/>
      <x:c r="L255" s="3"/>
      <x:c r="M255" s="1" t="str">
        <x:f>IF(B255="","",IF(W255="Invalid hours","Invalid hours",IF(NOT(ISNUMBER(X255)),"Excluded",IF(AND(J255&lt;&gt;"",K255&lt;&gt;"",L255&lt;&gt;"",COUNTIF('SOW caps'!$N$7:$N$36,A255&amp;"|"&amp;K255)=1),"Mapped","Needs allocation"))))</x:f>
      </x:c>
      <x:c r="N255" s="8" t="str">
        <x:f>IF(B255="","",IF(M255="Mapped",_xlfn.XLOOKUP(A255&amp;"|"&amp;K255,'SOW caps'!$N$7:$N$36,'SOW caps'!$E$7:$E$36,""),IF(ISNUMBER('SOW caps'!$B$3),'SOW caps'!$B$3,"")))</x:f>
      </x:c>
      <x:c r="O255" s="8" t="str">
        <x:f>IF(AND(ISNUMBER(X255),ISNUMBER(N255),N255&gt;=0),X255*N255,"")</x:f>
      </x:c>
      <x:c r="P255" s="3"/>
      <x:c r="Q255" s="3"/>
      <x:c r="R255" s="3"/>
      <x:c r="S255" s="3"/>
      <x:c r="T255" s="3"/>
      <x:c r="U255" s="8" t="str">
        <x:f>IF(M255="Mapped",IF(OR(_xlfn.XLOOKUP(A255&amp;"|"&amp;K255,'SOW caps'!$N$7:$N$36,'SOW caps'!$M$7:$M$36,"")="Ready",_xlfn.XLOOKUP(A255&amp;"|"&amp;K255,'SOW caps'!$N$7:$N$36,'SOW caps'!$M$7:$M$36,"")="No hours"),_xlfn.XLOOKUP(A255&amp;"|"&amp;K255,'SOW caps'!$N$7:$N$36,'SOW caps'!$O$7:$O$36,""),""),"")</x:f>
      </x:c>
      <x:c r="V255" s="8" t="str">
        <x:f>IF(AND(ISNUMBER(U255),ISNUMBER(X255)),ROUND(SUMIFS($X$7:X255,$A$7:A255,A255,$K$7:K255,K255,$M$7:M255,"Mapped")*U255,2)-ROUND((SUMIFS($X$7:X255,$A$7:A255,A255,$K$7:K255,K255,$M$7:M255,"Mapped")-X255)*U255,2),"")</x:f>
      </x:c>
      <x:c r="W255" s="1" t="str">
        <x:f>IF(B255="","",IF(OR(NOT(ISNUMBER(I255)),I255&lt;0),"Invalid hours",IF(NOT(ISNUMBER(R255)),"Manual hours",IF(ROUND(I255*3600000,0)=R255,"Source hours","Adjusted hours"))))</x:f>
      </x:c>
      <x:c r="X255" s="10" t="str">
        <x:f>IF(B255="","",IF(AND(ISNUMBER(I255),I255&gt;=0,Q255="In period"),I255,""))</x:f>
      </x:c>
    </x:row>
    <x:row r="256" ht="23" customHeight="1">
      <x:c r="A256" s="3"/>
      <x:c r="B256" s="3"/>
      <x:c r="C256" s="3"/>
      <x:c r="D256" s="3"/>
      <x:c r="E256" s="3"/>
      <x:c r="F256" s="3"/>
      <x:c r="G256" s="3"/>
      <x:c r="H256" s="3"/>
      <x:c r="I256" s="9"/>
      <x:c r="J256" s="3"/>
      <x:c r="K256" s="3"/>
      <x:c r="L256" s="3"/>
      <x:c r="M256" s="1" t="str">
        <x:f>IF(B256="","",IF(W256="Invalid hours","Invalid hours",IF(NOT(ISNUMBER(X256)),"Excluded",IF(AND(J256&lt;&gt;"",K256&lt;&gt;"",L256&lt;&gt;"",COUNTIF('SOW caps'!$N$7:$N$36,A256&amp;"|"&amp;K256)=1),"Mapped","Needs allocation"))))</x:f>
      </x:c>
      <x:c r="N256" s="8" t="str">
        <x:f>IF(B256="","",IF(M256="Mapped",_xlfn.XLOOKUP(A256&amp;"|"&amp;K256,'SOW caps'!$N$7:$N$36,'SOW caps'!$E$7:$E$36,""),IF(ISNUMBER('SOW caps'!$B$3),'SOW caps'!$B$3,"")))</x:f>
      </x:c>
      <x:c r="O256" s="8" t="str">
        <x:f>IF(AND(ISNUMBER(X256),ISNUMBER(N256),N256&gt;=0),X256*N256,"")</x:f>
      </x:c>
      <x:c r="P256" s="3"/>
      <x:c r="Q256" s="3"/>
      <x:c r="R256" s="3"/>
      <x:c r="S256" s="3"/>
      <x:c r="T256" s="3"/>
      <x:c r="U256" s="8" t="str">
        <x:f>IF(M256="Mapped",IF(OR(_xlfn.XLOOKUP(A256&amp;"|"&amp;K256,'SOW caps'!$N$7:$N$36,'SOW caps'!$M$7:$M$36,"")="Ready",_xlfn.XLOOKUP(A256&amp;"|"&amp;K256,'SOW caps'!$N$7:$N$36,'SOW caps'!$M$7:$M$36,"")="No hours"),_xlfn.XLOOKUP(A256&amp;"|"&amp;K256,'SOW caps'!$N$7:$N$36,'SOW caps'!$O$7:$O$36,""),""),"")</x:f>
      </x:c>
      <x:c r="V256" s="8" t="str">
        <x:f>IF(AND(ISNUMBER(U256),ISNUMBER(X256)),ROUND(SUMIFS($X$7:X256,$A$7:A256,A256,$K$7:K256,K256,$M$7:M256,"Mapped")*U256,2)-ROUND((SUMIFS($X$7:X256,$A$7:A256,A256,$K$7:K256,K256,$M$7:M256,"Mapped")-X256)*U256,2),"")</x:f>
      </x:c>
      <x:c r="W256" s="1" t="str">
        <x:f>IF(B256="","",IF(OR(NOT(ISNUMBER(I256)),I256&lt;0),"Invalid hours",IF(NOT(ISNUMBER(R256)),"Manual hours",IF(ROUND(I256*3600000,0)=R256,"Source hours","Adjusted hours"))))</x:f>
      </x:c>
      <x:c r="X256" s="10" t="str">
        <x:f>IF(B256="","",IF(AND(ISNUMBER(I256),I256&gt;=0,Q256="In period"),I256,""))</x:f>
      </x:c>
    </x:row>
    <x:row r="257" ht="23" customHeight="1">
      <x:c r="A257" s="3"/>
      <x:c r="B257" s="3"/>
      <x:c r="C257" s="3"/>
      <x:c r="D257" s="3"/>
      <x:c r="E257" s="3"/>
      <x:c r="F257" s="3"/>
      <x:c r="G257" s="3"/>
      <x:c r="H257" s="3"/>
      <x:c r="I257" s="9"/>
      <x:c r="J257" s="3"/>
      <x:c r="K257" s="3"/>
      <x:c r="L257" s="3"/>
      <x:c r="M257" s="1" t="str">
        <x:f>IF(B257="","",IF(W257="Invalid hours","Invalid hours",IF(NOT(ISNUMBER(X257)),"Excluded",IF(AND(J257&lt;&gt;"",K257&lt;&gt;"",L257&lt;&gt;"",COUNTIF('SOW caps'!$N$7:$N$36,A257&amp;"|"&amp;K257)=1),"Mapped","Needs allocation"))))</x:f>
      </x:c>
      <x:c r="N257" s="8" t="str">
        <x:f>IF(B257="","",IF(M257="Mapped",_xlfn.XLOOKUP(A257&amp;"|"&amp;K257,'SOW caps'!$N$7:$N$36,'SOW caps'!$E$7:$E$36,""),IF(ISNUMBER('SOW caps'!$B$3),'SOW caps'!$B$3,"")))</x:f>
      </x:c>
      <x:c r="O257" s="8" t="str">
        <x:f>IF(AND(ISNUMBER(X257),ISNUMBER(N257),N257&gt;=0),X257*N257,"")</x:f>
      </x:c>
      <x:c r="P257" s="3"/>
      <x:c r="Q257" s="3"/>
      <x:c r="R257" s="3"/>
      <x:c r="S257" s="3"/>
      <x:c r="T257" s="3"/>
      <x:c r="U257" s="8" t="str">
        <x:f>IF(M257="Mapped",IF(OR(_xlfn.XLOOKUP(A257&amp;"|"&amp;K257,'SOW caps'!$N$7:$N$36,'SOW caps'!$M$7:$M$36,"")="Ready",_xlfn.XLOOKUP(A257&amp;"|"&amp;K257,'SOW caps'!$N$7:$N$36,'SOW caps'!$M$7:$M$36,"")="No hours"),_xlfn.XLOOKUP(A257&amp;"|"&amp;K257,'SOW caps'!$N$7:$N$36,'SOW caps'!$O$7:$O$36,""),""),"")</x:f>
      </x:c>
      <x:c r="V257" s="8" t="str">
        <x:f>IF(AND(ISNUMBER(U257),ISNUMBER(X257)),ROUND(SUMIFS($X$7:X257,$A$7:A257,A257,$K$7:K257,K257,$M$7:M257,"Mapped")*U257,2)-ROUND((SUMIFS($X$7:X257,$A$7:A257,A257,$K$7:K257,K257,$M$7:M257,"Mapped")-X257)*U257,2),"")</x:f>
      </x:c>
      <x:c r="W257" s="1" t="str">
        <x:f>IF(B257="","",IF(OR(NOT(ISNUMBER(I257)),I257&lt;0),"Invalid hours",IF(NOT(ISNUMBER(R257)),"Manual hours",IF(ROUND(I257*3600000,0)=R257,"Source hours","Adjusted hours"))))</x:f>
      </x:c>
      <x:c r="X257" s="10" t="str">
        <x:f>IF(B257="","",IF(AND(ISNUMBER(I257),I257&gt;=0,Q257="In period"),I257,""))</x:f>
      </x:c>
    </x:row>
    <x:row r="258" ht="23" customHeight="1">
      <x:c r="A258" s="3"/>
      <x:c r="B258" s="3"/>
      <x:c r="C258" s="3"/>
      <x:c r="D258" s="3"/>
      <x:c r="E258" s="3"/>
      <x:c r="F258" s="3"/>
      <x:c r="G258" s="3"/>
      <x:c r="H258" s="3"/>
      <x:c r="I258" s="9"/>
      <x:c r="J258" s="3"/>
      <x:c r="K258" s="3"/>
      <x:c r="L258" s="3"/>
      <x:c r="M258" s="1" t="str">
        <x:f>IF(B258="","",IF(W258="Invalid hours","Invalid hours",IF(NOT(ISNUMBER(X258)),"Excluded",IF(AND(J258&lt;&gt;"",K258&lt;&gt;"",L258&lt;&gt;"",COUNTIF('SOW caps'!$N$7:$N$36,A258&amp;"|"&amp;K258)=1),"Mapped","Needs allocation"))))</x:f>
      </x:c>
      <x:c r="N258" s="8" t="str">
        <x:f>IF(B258="","",IF(M258="Mapped",_xlfn.XLOOKUP(A258&amp;"|"&amp;K258,'SOW caps'!$N$7:$N$36,'SOW caps'!$E$7:$E$36,""),IF(ISNUMBER('SOW caps'!$B$3),'SOW caps'!$B$3,"")))</x:f>
      </x:c>
      <x:c r="O258" s="8" t="str">
        <x:f>IF(AND(ISNUMBER(X258),ISNUMBER(N258),N258&gt;=0),X258*N258,"")</x:f>
      </x:c>
      <x:c r="P258" s="3"/>
      <x:c r="Q258" s="3"/>
      <x:c r="R258" s="3"/>
      <x:c r="S258" s="3"/>
      <x:c r="T258" s="3"/>
      <x:c r="U258" s="8" t="str">
        <x:f>IF(M258="Mapped",IF(OR(_xlfn.XLOOKUP(A258&amp;"|"&amp;K258,'SOW caps'!$N$7:$N$36,'SOW caps'!$M$7:$M$36,"")="Ready",_xlfn.XLOOKUP(A258&amp;"|"&amp;K258,'SOW caps'!$N$7:$N$36,'SOW caps'!$M$7:$M$36,"")="No hours"),_xlfn.XLOOKUP(A258&amp;"|"&amp;K258,'SOW caps'!$N$7:$N$36,'SOW caps'!$O$7:$O$36,""),""),"")</x:f>
      </x:c>
      <x:c r="V258" s="8" t="str">
        <x:f>IF(AND(ISNUMBER(U258),ISNUMBER(X258)),ROUND(SUMIFS($X$7:X258,$A$7:A258,A258,$K$7:K258,K258,$M$7:M258,"Mapped")*U258,2)-ROUND((SUMIFS($X$7:X258,$A$7:A258,A258,$K$7:K258,K258,$M$7:M258,"Mapped")-X258)*U258,2),"")</x:f>
      </x:c>
      <x:c r="W258" s="1" t="str">
        <x:f>IF(B258="","",IF(OR(NOT(ISNUMBER(I258)),I258&lt;0),"Invalid hours",IF(NOT(ISNUMBER(R258)),"Manual hours",IF(ROUND(I258*3600000,0)=R258,"Source hours","Adjusted hours"))))</x:f>
      </x:c>
      <x:c r="X258" s="10" t="str">
        <x:f>IF(B258="","",IF(AND(ISNUMBER(I258),I258&gt;=0,Q258="In period"),I258,""))</x:f>
      </x:c>
    </x:row>
    <x:row r="259" ht="23" customHeight="1">
      <x:c r="A259" s="3"/>
      <x:c r="B259" s="3"/>
      <x:c r="C259" s="3"/>
      <x:c r="D259" s="3"/>
      <x:c r="E259" s="3"/>
      <x:c r="F259" s="3"/>
      <x:c r="G259" s="3"/>
      <x:c r="H259" s="3"/>
      <x:c r="I259" s="9"/>
      <x:c r="J259" s="3"/>
      <x:c r="K259" s="3"/>
      <x:c r="L259" s="3"/>
      <x:c r="M259" s="1" t="str">
        <x:f>IF(B259="","",IF(W259="Invalid hours","Invalid hours",IF(NOT(ISNUMBER(X259)),"Excluded",IF(AND(J259&lt;&gt;"",K259&lt;&gt;"",L259&lt;&gt;"",COUNTIF('SOW caps'!$N$7:$N$36,A259&amp;"|"&amp;K259)=1),"Mapped","Needs allocation"))))</x:f>
      </x:c>
      <x:c r="N259" s="8" t="str">
        <x:f>IF(B259="","",IF(M259="Mapped",_xlfn.XLOOKUP(A259&amp;"|"&amp;K259,'SOW caps'!$N$7:$N$36,'SOW caps'!$E$7:$E$36,""),IF(ISNUMBER('SOW caps'!$B$3),'SOW caps'!$B$3,"")))</x:f>
      </x:c>
      <x:c r="O259" s="8" t="str">
        <x:f>IF(AND(ISNUMBER(X259),ISNUMBER(N259),N259&gt;=0),X259*N259,"")</x:f>
      </x:c>
      <x:c r="P259" s="3"/>
      <x:c r="Q259" s="3"/>
      <x:c r="R259" s="3"/>
      <x:c r="S259" s="3"/>
      <x:c r="T259" s="3"/>
      <x:c r="U259" s="8" t="str">
        <x:f>IF(M259="Mapped",IF(OR(_xlfn.XLOOKUP(A259&amp;"|"&amp;K259,'SOW caps'!$N$7:$N$36,'SOW caps'!$M$7:$M$36,"")="Ready",_xlfn.XLOOKUP(A259&amp;"|"&amp;K259,'SOW caps'!$N$7:$N$36,'SOW caps'!$M$7:$M$36,"")="No hours"),_xlfn.XLOOKUP(A259&amp;"|"&amp;K259,'SOW caps'!$N$7:$N$36,'SOW caps'!$O$7:$O$36,""),""),"")</x:f>
      </x:c>
      <x:c r="V259" s="8" t="str">
        <x:f>IF(AND(ISNUMBER(U259),ISNUMBER(X259)),ROUND(SUMIFS($X$7:X259,$A$7:A259,A259,$K$7:K259,K259,$M$7:M259,"Mapped")*U259,2)-ROUND((SUMIFS($X$7:X259,$A$7:A259,A259,$K$7:K259,K259,$M$7:M259,"Mapped")-X259)*U259,2),"")</x:f>
      </x:c>
      <x:c r="W259" s="1" t="str">
        <x:f>IF(B259="","",IF(OR(NOT(ISNUMBER(I259)),I259&lt;0),"Invalid hours",IF(NOT(ISNUMBER(R259)),"Manual hours",IF(ROUND(I259*3600000,0)=R259,"Source hours","Adjusted hours"))))</x:f>
      </x:c>
      <x:c r="X259" s="10" t="str">
        <x:f>IF(B259="","",IF(AND(ISNUMBER(I259),I259&gt;=0,Q259="In period"),I259,""))</x:f>
      </x:c>
    </x:row>
    <x:row r="260" ht="23" customHeight="1">
      <x:c r="A260" s="3"/>
      <x:c r="B260" s="3"/>
      <x:c r="C260" s="3"/>
      <x:c r="D260" s="3"/>
      <x:c r="E260" s="3"/>
      <x:c r="F260" s="3"/>
      <x:c r="G260" s="3"/>
      <x:c r="H260" s="3"/>
      <x:c r="I260" s="9"/>
      <x:c r="J260" s="3"/>
      <x:c r="K260" s="3"/>
      <x:c r="L260" s="3"/>
      <x:c r="M260" s="1" t="str">
        <x:f>IF(B260="","",IF(W260="Invalid hours","Invalid hours",IF(NOT(ISNUMBER(X260)),"Excluded",IF(AND(J260&lt;&gt;"",K260&lt;&gt;"",L260&lt;&gt;"",COUNTIF('SOW caps'!$N$7:$N$36,A260&amp;"|"&amp;K260)=1),"Mapped","Needs allocation"))))</x:f>
      </x:c>
      <x:c r="N260" s="8" t="str">
        <x:f>IF(B260="","",IF(M260="Mapped",_xlfn.XLOOKUP(A260&amp;"|"&amp;K260,'SOW caps'!$N$7:$N$36,'SOW caps'!$E$7:$E$36,""),IF(ISNUMBER('SOW caps'!$B$3),'SOW caps'!$B$3,"")))</x:f>
      </x:c>
      <x:c r="O260" s="8" t="str">
        <x:f>IF(AND(ISNUMBER(X260),ISNUMBER(N260),N260&gt;=0),X260*N260,"")</x:f>
      </x:c>
      <x:c r="P260" s="3"/>
      <x:c r="Q260" s="3"/>
      <x:c r="R260" s="3"/>
      <x:c r="S260" s="3"/>
      <x:c r="T260" s="3"/>
      <x:c r="U260" s="8" t="str">
        <x:f>IF(M260="Mapped",IF(OR(_xlfn.XLOOKUP(A260&amp;"|"&amp;K260,'SOW caps'!$N$7:$N$36,'SOW caps'!$M$7:$M$36,"")="Ready",_xlfn.XLOOKUP(A260&amp;"|"&amp;K260,'SOW caps'!$N$7:$N$36,'SOW caps'!$M$7:$M$36,"")="No hours"),_xlfn.XLOOKUP(A260&amp;"|"&amp;K260,'SOW caps'!$N$7:$N$36,'SOW caps'!$O$7:$O$36,""),""),"")</x:f>
      </x:c>
      <x:c r="V260" s="8" t="str">
        <x:f>IF(AND(ISNUMBER(U260),ISNUMBER(X260)),ROUND(SUMIFS($X$7:X260,$A$7:A260,A260,$K$7:K260,K260,$M$7:M260,"Mapped")*U260,2)-ROUND((SUMIFS($X$7:X260,$A$7:A260,A260,$K$7:K260,K260,$M$7:M260,"Mapped")-X260)*U260,2),"")</x:f>
      </x:c>
      <x:c r="W260" s="1" t="str">
        <x:f>IF(B260="","",IF(OR(NOT(ISNUMBER(I260)),I260&lt;0),"Invalid hours",IF(NOT(ISNUMBER(R260)),"Manual hours",IF(ROUND(I260*3600000,0)=R260,"Source hours","Adjusted hours"))))</x:f>
      </x:c>
      <x:c r="X260" s="10" t="str">
        <x:f>IF(B260="","",IF(AND(ISNUMBER(I260),I260&gt;=0,Q260="In period"),I260,""))</x:f>
      </x:c>
    </x:row>
    <x:row r="261" ht="23" customHeight="1">
      <x:c r="A261" s="3"/>
      <x:c r="B261" s="3"/>
      <x:c r="C261" s="3"/>
      <x:c r="D261" s="3"/>
      <x:c r="E261" s="3"/>
      <x:c r="F261" s="3"/>
      <x:c r="G261" s="3"/>
      <x:c r="H261" s="3"/>
      <x:c r="I261" s="9"/>
      <x:c r="J261" s="3"/>
      <x:c r="K261" s="3"/>
      <x:c r="L261" s="3"/>
      <x:c r="M261" s="1" t="str">
        <x:f>IF(B261="","",IF(W261="Invalid hours","Invalid hours",IF(NOT(ISNUMBER(X261)),"Excluded",IF(AND(J261&lt;&gt;"",K261&lt;&gt;"",L261&lt;&gt;"",COUNTIF('SOW caps'!$N$7:$N$36,A261&amp;"|"&amp;K261)=1),"Mapped","Needs allocation"))))</x:f>
      </x:c>
      <x:c r="N261" s="8" t="str">
        <x:f>IF(B261="","",IF(M261="Mapped",_xlfn.XLOOKUP(A261&amp;"|"&amp;K261,'SOW caps'!$N$7:$N$36,'SOW caps'!$E$7:$E$36,""),IF(ISNUMBER('SOW caps'!$B$3),'SOW caps'!$B$3,"")))</x:f>
      </x:c>
      <x:c r="O261" s="8" t="str">
        <x:f>IF(AND(ISNUMBER(X261),ISNUMBER(N261),N261&gt;=0),X261*N261,"")</x:f>
      </x:c>
      <x:c r="P261" s="3"/>
      <x:c r="Q261" s="3"/>
      <x:c r="R261" s="3"/>
      <x:c r="S261" s="3"/>
      <x:c r="T261" s="3"/>
      <x:c r="U261" s="8" t="str">
        <x:f>IF(M261="Mapped",IF(OR(_xlfn.XLOOKUP(A261&amp;"|"&amp;K261,'SOW caps'!$N$7:$N$36,'SOW caps'!$M$7:$M$36,"")="Ready",_xlfn.XLOOKUP(A261&amp;"|"&amp;K261,'SOW caps'!$N$7:$N$36,'SOW caps'!$M$7:$M$36,"")="No hours"),_xlfn.XLOOKUP(A261&amp;"|"&amp;K261,'SOW caps'!$N$7:$N$36,'SOW caps'!$O$7:$O$36,""),""),"")</x:f>
      </x:c>
      <x:c r="V261" s="8" t="str">
        <x:f>IF(AND(ISNUMBER(U261),ISNUMBER(X261)),ROUND(SUMIFS($X$7:X261,$A$7:A261,A261,$K$7:K261,K261,$M$7:M261,"Mapped")*U261,2)-ROUND((SUMIFS($X$7:X261,$A$7:A261,A261,$K$7:K261,K261,$M$7:M261,"Mapped")-X261)*U261,2),"")</x:f>
      </x:c>
      <x:c r="W261" s="1" t="str">
        <x:f>IF(B261="","",IF(OR(NOT(ISNUMBER(I261)),I261&lt;0),"Invalid hours",IF(NOT(ISNUMBER(R261)),"Manual hours",IF(ROUND(I261*3600000,0)=R261,"Source hours","Adjusted hours"))))</x:f>
      </x:c>
      <x:c r="X261" s="10" t="str">
        <x:f>IF(B261="","",IF(AND(ISNUMBER(I261),I261&gt;=0,Q261="In period"),I261,""))</x:f>
      </x:c>
    </x:row>
    <x:row r="262" ht="23" customHeight="1">
      <x:c r="A262" s="3"/>
      <x:c r="B262" s="3"/>
      <x:c r="C262" s="3"/>
      <x:c r="D262" s="3"/>
      <x:c r="E262" s="3"/>
      <x:c r="F262" s="3"/>
      <x:c r="G262" s="3"/>
      <x:c r="H262" s="3"/>
      <x:c r="I262" s="9"/>
      <x:c r="J262" s="3"/>
      <x:c r="K262" s="3"/>
      <x:c r="L262" s="3"/>
      <x:c r="M262" s="1" t="str">
        <x:f>IF(B262="","",IF(W262="Invalid hours","Invalid hours",IF(NOT(ISNUMBER(X262)),"Excluded",IF(AND(J262&lt;&gt;"",K262&lt;&gt;"",L262&lt;&gt;"",COUNTIF('SOW caps'!$N$7:$N$36,A262&amp;"|"&amp;K262)=1),"Mapped","Needs allocation"))))</x:f>
      </x:c>
      <x:c r="N262" s="8" t="str">
        <x:f>IF(B262="","",IF(M262="Mapped",_xlfn.XLOOKUP(A262&amp;"|"&amp;K262,'SOW caps'!$N$7:$N$36,'SOW caps'!$E$7:$E$36,""),IF(ISNUMBER('SOW caps'!$B$3),'SOW caps'!$B$3,"")))</x:f>
      </x:c>
      <x:c r="O262" s="8" t="str">
        <x:f>IF(AND(ISNUMBER(X262),ISNUMBER(N262),N262&gt;=0),X262*N262,"")</x:f>
      </x:c>
      <x:c r="P262" s="3"/>
      <x:c r="Q262" s="3"/>
      <x:c r="R262" s="3"/>
      <x:c r="S262" s="3"/>
      <x:c r="T262" s="3"/>
      <x:c r="U262" s="8" t="str">
        <x:f>IF(M262="Mapped",IF(OR(_xlfn.XLOOKUP(A262&amp;"|"&amp;K262,'SOW caps'!$N$7:$N$36,'SOW caps'!$M$7:$M$36,"")="Ready",_xlfn.XLOOKUP(A262&amp;"|"&amp;K262,'SOW caps'!$N$7:$N$36,'SOW caps'!$M$7:$M$36,"")="No hours"),_xlfn.XLOOKUP(A262&amp;"|"&amp;K262,'SOW caps'!$N$7:$N$36,'SOW caps'!$O$7:$O$36,""),""),"")</x:f>
      </x:c>
      <x:c r="V262" s="8" t="str">
        <x:f>IF(AND(ISNUMBER(U262),ISNUMBER(X262)),ROUND(SUMIFS($X$7:X262,$A$7:A262,A262,$K$7:K262,K262,$M$7:M262,"Mapped")*U262,2)-ROUND((SUMIFS($X$7:X262,$A$7:A262,A262,$K$7:K262,K262,$M$7:M262,"Mapped")-X262)*U262,2),"")</x:f>
      </x:c>
      <x:c r="W262" s="1" t="str">
        <x:f>IF(B262="","",IF(OR(NOT(ISNUMBER(I262)),I262&lt;0),"Invalid hours",IF(NOT(ISNUMBER(R262)),"Manual hours",IF(ROUND(I262*3600000,0)=R262,"Source hours","Adjusted hours"))))</x:f>
      </x:c>
      <x:c r="X262" s="10" t="str">
        <x:f>IF(B262="","",IF(AND(ISNUMBER(I262),I262&gt;=0,Q262="In period"),I262,""))</x:f>
      </x:c>
    </x:row>
    <x:row r="263" ht="23" customHeight="1">
      <x:c r="A263" s="3"/>
      <x:c r="B263" s="3"/>
      <x:c r="C263" s="3"/>
      <x:c r="D263" s="3"/>
      <x:c r="E263" s="3"/>
      <x:c r="F263" s="3"/>
      <x:c r="G263" s="3"/>
      <x:c r="H263" s="3"/>
      <x:c r="I263" s="9"/>
      <x:c r="J263" s="3"/>
      <x:c r="K263" s="3"/>
      <x:c r="L263" s="3"/>
      <x:c r="M263" s="1" t="str">
        <x:f>IF(B263="","",IF(W263="Invalid hours","Invalid hours",IF(NOT(ISNUMBER(X263)),"Excluded",IF(AND(J263&lt;&gt;"",K263&lt;&gt;"",L263&lt;&gt;"",COUNTIF('SOW caps'!$N$7:$N$36,A263&amp;"|"&amp;K263)=1),"Mapped","Needs allocation"))))</x:f>
      </x:c>
      <x:c r="N263" s="8" t="str">
        <x:f>IF(B263="","",IF(M263="Mapped",_xlfn.XLOOKUP(A263&amp;"|"&amp;K263,'SOW caps'!$N$7:$N$36,'SOW caps'!$E$7:$E$36,""),IF(ISNUMBER('SOW caps'!$B$3),'SOW caps'!$B$3,"")))</x:f>
      </x:c>
      <x:c r="O263" s="8" t="str">
        <x:f>IF(AND(ISNUMBER(X263),ISNUMBER(N263),N263&gt;=0),X263*N263,"")</x:f>
      </x:c>
      <x:c r="P263" s="3"/>
      <x:c r="Q263" s="3"/>
      <x:c r="R263" s="3"/>
      <x:c r="S263" s="3"/>
      <x:c r="T263" s="3"/>
      <x:c r="U263" s="8" t="str">
        <x:f>IF(M263="Mapped",IF(OR(_xlfn.XLOOKUP(A263&amp;"|"&amp;K263,'SOW caps'!$N$7:$N$36,'SOW caps'!$M$7:$M$36,"")="Ready",_xlfn.XLOOKUP(A263&amp;"|"&amp;K263,'SOW caps'!$N$7:$N$36,'SOW caps'!$M$7:$M$36,"")="No hours"),_xlfn.XLOOKUP(A263&amp;"|"&amp;K263,'SOW caps'!$N$7:$N$36,'SOW caps'!$O$7:$O$36,""),""),"")</x:f>
      </x:c>
      <x:c r="V263" s="8" t="str">
        <x:f>IF(AND(ISNUMBER(U263),ISNUMBER(X263)),ROUND(SUMIFS($X$7:X263,$A$7:A263,A263,$K$7:K263,K263,$M$7:M263,"Mapped")*U263,2)-ROUND((SUMIFS($X$7:X263,$A$7:A263,A263,$K$7:K263,K263,$M$7:M263,"Mapped")-X263)*U263,2),"")</x:f>
      </x:c>
      <x:c r="W263" s="1" t="str">
        <x:f>IF(B263="","",IF(OR(NOT(ISNUMBER(I263)),I263&lt;0),"Invalid hours",IF(NOT(ISNUMBER(R263)),"Manual hours",IF(ROUND(I263*3600000,0)=R263,"Source hours","Adjusted hours"))))</x:f>
      </x:c>
      <x:c r="X263" s="10" t="str">
        <x:f>IF(B263="","",IF(AND(ISNUMBER(I263),I263&gt;=0,Q263="In period"),I263,""))</x:f>
      </x:c>
    </x:row>
    <x:row r="264" ht="23" customHeight="1">
      <x:c r="A264" s="3"/>
      <x:c r="B264" s="3"/>
      <x:c r="C264" s="3"/>
      <x:c r="D264" s="3"/>
      <x:c r="E264" s="3"/>
      <x:c r="F264" s="3"/>
      <x:c r="G264" s="3"/>
      <x:c r="H264" s="3"/>
      <x:c r="I264" s="9"/>
      <x:c r="J264" s="3"/>
      <x:c r="K264" s="3"/>
      <x:c r="L264" s="3"/>
      <x:c r="M264" s="1" t="str">
        <x:f>IF(B264="","",IF(W264="Invalid hours","Invalid hours",IF(NOT(ISNUMBER(X264)),"Excluded",IF(AND(J264&lt;&gt;"",K264&lt;&gt;"",L264&lt;&gt;"",COUNTIF('SOW caps'!$N$7:$N$36,A264&amp;"|"&amp;K264)=1),"Mapped","Needs allocation"))))</x:f>
      </x:c>
      <x:c r="N264" s="8" t="str">
        <x:f>IF(B264="","",IF(M264="Mapped",_xlfn.XLOOKUP(A264&amp;"|"&amp;K264,'SOW caps'!$N$7:$N$36,'SOW caps'!$E$7:$E$36,""),IF(ISNUMBER('SOW caps'!$B$3),'SOW caps'!$B$3,"")))</x:f>
      </x:c>
      <x:c r="O264" s="8" t="str">
        <x:f>IF(AND(ISNUMBER(X264),ISNUMBER(N264),N264&gt;=0),X264*N264,"")</x:f>
      </x:c>
      <x:c r="P264" s="3"/>
      <x:c r="Q264" s="3"/>
      <x:c r="R264" s="3"/>
      <x:c r="S264" s="3"/>
      <x:c r="T264" s="3"/>
      <x:c r="U264" s="8" t="str">
        <x:f>IF(M264="Mapped",IF(OR(_xlfn.XLOOKUP(A264&amp;"|"&amp;K264,'SOW caps'!$N$7:$N$36,'SOW caps'!$M$7:$M$36,"")="Ready",_xlfn.XLOOKUP(A264&amp;"|"&amp;K264,'SOW caps'!$N$7:$N$36,'SOW caps'!$M$7:$M$36,"")="No hours"),_xlfn.XLOOKUP(A264&amp;"|"&amp;K264,'SOW caps'!$N$7:$N$36,'SOW caps'!$O$7:$O$36,""),""),"")</x:f>
      </x:c>
      <x:c r="V264" s="8" t="str">
        <x:f>IF(AND(ISNUMBER(U264),ISNUMBER(X264)),ROUND(SUMIFS($X$7:X264,$A$7:A264,A264,$K$7:K264,K264,$M$7:M264,"Mapped")*U264,2)-ROUND((SUMIFS($X$7:X264,$A$7:A264,A264,$K$7:K264,K264,$M$7:M264,"Mapped")-X264)*U264,2),"")</x:f>
      </x:c>
      <x:c r="W264" s="1" t="str">
        <x:f>IF(B264="","",IF(OR(NOT(ISNUMBER(I264)),I264&lt;0),"Invalid hours",IF(NOT(ISNUMBER(R264)),"Manual hours",IF(ROUND(I264*3600000,0)=R264,"Source hours","Adjusted hours"))))</x:f>
      </x:c>
      <x:c r="X264" s="10" t="str">
        <x:f>IF(B264="","",IF(AND(ISNUMBER(I264),I264&gt;=0,Q264="In period"),I264,""))</x:f>
      </x:c>
    </x:row>
    <x:row r="265" ht="23" customHeight="1">
      <x:c r="A265" s="3"/>
      <x:c r="B265" s="3"/>
      <x:c r="C265" s="3"/>
      <x:c r="D265" s="3"/>
      <x:c r="E265" s="3"/>
      <x:c r="F265" s="3"/>
      <x:c r="G265" s="3"/>
      <x:c r="H265" s="3"/>
      <x:c r="I265" s="9"/>
      <x:c r="J265" s="3"/>
      <x:c r="K265" s="3"/>
      <x:c r="L265" s="3"/>
      <x:c r="M265" s="1" t="str">
        <x:f>IF(B265="","",IF(W265="Invalid hours","Invalid hours",IF(NOT(ISNUMBER(X265)),"Excluded",IF(AND(J265&lt;&gt;"",K265&lt;&gt;"",L265&lt;&gt;"",COUNTIF('SOW caps'!$N$7:$N$36,A265&amp;"|"&amp;K265)=1),"Mapped","Needs allocation"))))</x:f>
      </x:c>
      <x:c r="N265" s="8" t="str">
        <x:f>IF(B265="","",IF(M265="Mapped",_xlfn.XLOOKUP(A265&amp;"|"&amp;K265,'SOW caps'!$N$7:$N$36,'SOW caps'!$E$7:$E$36,""),IF(ISNUMBER('SOW caps'!$B$3),'SOW caps'!$B$3,"")))</x:f>
      </x:c>
      <x:c r="O265" s="8" t="str">
        <x:f>IF(AND(ISNUMBER(X265),ISNUMBER(N265),N265&gt;=0),X265*N265,"")</x:f>
      </x:c>
      <x:c r="P265" s="3"/>
      <x:c r="Q265" s="3"/>
      <x:c r="R265" s="3"/>
      <x:c r="S265" s="3"/>
      <x:c r="T265" s="3"/>
      <x:c r="U265" s="8" t="str">
        <x:f>IF(M265="Mapped",IF(OR(_xlfn.XLOOKUP(A265&amp;"|"&amp;K265,'SOW caps'!$N$7:$N$36,'SOW caps'!$M$7:$M$36,"")="Ready",_xlfn.XLOOKUP(A265&amp;"|"&amp;K265,'SOW caps'!$N$7:$N$36,'SOW caps'!$M$7:$M$36,"")="No hours"),_xlfn.XLOOKUP(A265&amp;"|"&amp;K265,'SOW caps'!$N$7:$N$36,'SOW caps'!$O$7:$O$36,""),""),"")</x:f>
      </x:c>
      <x:c r="V265" s="8" t="str">
        <x:f>IF(AND(ISNUMBER(U265),ISNUMBER(X265)),ROUND(SUMIFS($X$7:X265,$A$7:A265,A265,$K$7:K265,K265,$M$7:M265,"Mapped")*U265,2)-ROUND((SUMIFS($X$7:X265,$A$7:A265,A265,$K$7:K265,K265,$M$7:M265,"Mapped")-X265)*U265,2),"")</x:f>
      </x:c>
      <x:c r="W265" s="1" t="str">
        <x:f>IF(B265="","",IF(OR(NOT(ISNUMBER(I265)),I265&lt;0),"Invalid hours",IF(NOT(ISNUMBER(R265)),"Manual hours",IF(ROUND(I265*3600000,0)=R265,"Source hours","Adjusted hours"))))</x:f>
      </x:c>
      <x:c r="X265" s="10" t="str">
        <x:f>IF(B265="","",IF(AND(ISNUMBER(I265),I265&gt;=0,Q265="In period"),I265,""))</x:f>
      </x:c>
    </x:row>
    <x:row r="266" ht="23" customHeight="1">
      <x:c r="A266" s="3"/>
      <x:c r="B266" s="3"/>
      <x:c r="C266" s="3"/>
      <x:c r="D266" s="3"/>
      <x:c r="E266" s="3"/>
      <x:c r="F266" s="3"/>
      <x:c r="G266" s="3"/>
      <x:c r="H266" s="3"/>
      <x:c r="I266" s="9"/>
      <x:c r="J266" s="3"/>
      <x:c r="K266" s="3"/>
      <x:c r="L266" s="3"/>
      <x:c r="M266" s="1" t="str">
        <x:f>IF(B266="","",IF(W266="Invalid hours","Invalid hours",IF(NOT(ISNUMBER(X266)),"Excluded",IF(AND(J266&lt;&gt;"",K266&lt;&gt;"",L266&lt;&gt;"",COUNTIF('SOW caps'!$N$7:$N$36,A266&amp;"|"&amp;K266)=1),"Mapped","Needs allocation"))))</x:f>
      </x:c>
      <x:c r="N266" s="8" t="str">
        <x:f>IF(B266="","",IF(M266="Mapped",_xlfn.XLOOKUP(A266&amp;"|"&amp;K266,'SOW caps'!$N$7:$N$36,'SOW caps'!$E$7:$E$36,""),IF(ISNUMBER('SOW caps'!$B$3),'SOW caps'!$B$3,"")))</x:f>
      </x:c>
      <x:c r="O266" s="8" t="str">
        <x:f>IF(AND(ISNUMBER(X266),ISNUMBER(N266),N266&gt;=0),X266*N266,"")</x:f>
      </x:c>
      <x:c r="P266" s="3"/>
      <x:c r="Q266" s="3"/>
      <x:c r="R266" s="3"/>
      <x:c r="S266" s="3"/>
      <x:c r="T266" s="3"/>
      <x:c r="U266" s="8" t="str">
        <x:f>IF(M266="Mapped",IF(OR(_xlfn.XLOOKUP(A266&amp;"|"&amp;K266,'SOW caps'!$N$7:$N$36,'SOW caps'!$M$7:$M$36,"")="Ready",_xlfn.XLOOKUP(A266&amp;"|"&amp;K266,'SOW caps'!$N$7:$N$36,'SOW caps'!$M$7:$M$36,"")="No hours"),_xlfn.XLOOKUP(A266&amp;"|"&amp;K266,'SOW caps'!$N$7:$N$36,'SOW caps'!$O$7:$O$36,""),""),"")</x:f>
      </x:c>
      <x:c r="V266" s="8" t="str">
        <x:f>IF(AND(ISNUMBER(U266),ISNUMBER(X266)),ROUND(SUMIFS($X$7:X266,$A$7:A266,A266,$K$7:K266,K266,$M$7:M266,"Mapped")*U266,2)-ROUND((SUMIFS($X$7:X266,$A$7:A266,A266,$K$7:K266,K266,$M$7:M266,"Mapped")-X266)*U266,2),"")</x:f>
      </x:c>
      <x:c r="W266" s="1" t="str">
        <x:f>IF(B266="","",IF(OR(NOT(ISNUMBER(I266)),I266&lt;0),"Invalid hours",IF(NOT(ISNUMBER(R266)),"Manual hours",IF(ROUND(I266*3600000,0)=R266,"Source hours","Adjusted hours"))))</x:f>
      </x:c>
      <x:c r="X266" s="10" t="str">
        <x:f>IF(B266="","",IF(AND(ISNUMBER(I266),I266&gt;=0,Q266="In period"),I266,""))</x:f>
      </x:c>
    </x:row>
    <x:row r="267" ht="23" customHeight="1">
      <x:c r="A267" s="3"/>
      <x:c r="B267" s="3"/>
      <x:c r="C267" s="3"/>
      <x:c r="D267" s="3"/>
      <x:c r="E267" s="3"/>
      <x:c r="F267" s="3"/>
      <x:c r="G267" s="3"/>
      <x:c r="H267" s="3"/>
      <x:c r="I267" s="9"/>
      <x:c r="J267" s="3"/>
      <x:c r="K267" s="3"/>
      <x:c r="L267" s="3"/>
      <x:c r="M267" s="1" t="str">
        <x:f>IF(B267="","",IF(W267="Invalid hours","Invalid hours",IF(NOT(ISNUMBER(X267)),"Excluded",IF(AND(J267&lt;&gt;"",K267&lt;&gt;"",L267&lt;&gt;"",COUNTIF('SOW caps'!$N$7:$N$36,A267&amp;"|"&amp;K267)=1),"Mapped","Needs allocation"))))</x:f>
      </x:c>
      <x:c r="N267" s="8" t="str">
        <x:f>IF(B267="","",IF(M267="Mapped",_xlfn.XLOOKUP(A267&amp;"|"&amp;K267,'SOW caps'!$N$7:$N$36,'SOW caps'!$E$7:$E$36,""),IF(ISNUMBER('SOW caps'!$B$3),'SOW caps'!$B$3,"")))</x:f>
      </x:c>
      <x:c r="O267" s="8" t="str">
        <x:f>IF(AND(ISNUMBER(X267),ISNUMBER(N267),N267&gt;=0),X267*N267,"")</x:f>
      </x:c>
      <x:c r="P267" s="3"/>
      <x:c r="Q267" s="3"/>
      <x:c r="R267" s="3"/>
      <x:c r="S267" s="3"/>
      <x:c r="T267" s="3"/>
      <x:c r="U267" s="8" t="str">
        <x:f>IF(M267="Mapped",IF(OR(_xlfn.XLOOKUP(A267&amp;"|"&amp;K267,'SOW caps'!$N$7:$N$36,'SOW caps'!$M$7:$M$36,"")="Ready",_xlfn.XLOOKUP(A267&amp;"|"&amp;K267,'SOW caps'!$N$7:$N$36,'SOW caps'!$M$7:$M$36,"")="No hours"),_xlfn.XLOOKUP(A267&amp;"|"&amp;K267,'SOW caps'!$N$7:$N$36,'SOW caps'!$O$7:$O$36,""),""),"")</x:f>
      </x:c>
      <x:c r="V267" s="8" t="str">
        <x:f>IF(AND(ISNUMBER(U267),ISNUMBER(X267)),ROUND(SUMIFS($X$7:X267,$A$7:A267,A267,$K$7:K267,K267,$M$7:M267,"Mapped")*U267,2)-ROUND((SUMIFS($X$7:X267,$A$7:A267,A267,$K$7:K267,K267,$M$7:M267,"Mapped")-X267)*U267,2),"")</x:f>
      </x:c>
      <x:c r="W267" s="1" t="str">
        <x:f>IF(B267="","",IF(OR(NOT(ISNUMBER(I267)),I267&lt;0),"Invalid hours",IF(NOT(ISNUMBER(R267)),"Manual hours",IF(ROUND(I267*3600000,0)=R267,"Source hours","Adjusted hours"))))</x:f>
      </x:c>
      <x:c r="X267" s="10" t="str">
        <x:f>IF(B267="","",IF(AND(ISNUMBER(I267),I267&gt;=0,Q267="In period"),I267,""))</x:f>
      </x:c>
    </x:row>
    <x:row r="268" ht="23" customHeight="1">
      <x:c r="A268" s="3"/>
      <x:c r="B268" s="3"/>
      <x:c r="C268" s="3"/>
      <x:c r="D268" s="3"/>
      <x:c r="E268" s="3"/>
      <x:c r="F268" s="3"/>
      <x:c r="G268" s="3"/>
      <x:c r="H268" s="3"/>
      <x:c r="I268" s="9"/>
      <x:c r="J268" s="3"/>
      <x:c r="K268" s="3"/>
      <x:c r="L268" s="3"/>
      <x:c r="M268" s="1" t="str">
        <x:f>IF(B268="","",IF(W268="Invalid hours","Invalid hours",IF(NOT(ISNUMBER(X268)),"Excluded",IF(AND(J268&lt;&gt;"",K268&lt;&gt;"",L268&lt;&gt;"",COUNTIF('SOW caps'!$N$7:$N$36,A268&amp;"|"&amp;K268)=1),"Mapped","Needs allocation"))))</x:f>
      </x:c>
      <x:c r="N268" s="8" t="str">
        <x:f>IF(B268="","",IF(M268="Mapped",_xlfn.XLOOKUP(A268&amp;"|"&amp;K268,'SOW caps'!$N$7:$N$36,'SOW caps'!$E$7:$E$36,""),IF(ISNUMBER('SOW caps'!$B$3),'SOW caps'!$B$3,"")))</x:f>
      </x:c>
      <x:c r="O268" s="8" t="str">
        <x:f>IF(AND(ISNUMBER(X268),ISNUMBER(N268),N268&gt;=0),X268*N268,"")</x:f>
      </x:c>
      <x:c r="P268" s="3"/>
      <x:c r="Q268" s="3"/>
      <x:c r="R268" s="3"/>
      <x:c r="S268" s="3"/>
      <x:c r="T268" s="3"/>
      <x:c r="U268" s="8" t="str">
        <x:f>IF(M268="Mapped",IF(OR(_xlfn.XLOOKUP(A268&amp;"|"&amp;K268,'SOW caps'!$N$7:$N$36,'SOW caps'!$M$7:$M$36,"")="Ready",_xlfn.XLOOKUP(A268&amp;"|"&amp;K268,'SOW caps'!$N$7:$N$36,'SOW caps'!$M$7:$M$36,"")="No hours"),_xlfn.XLOOKUP(A268&amp;"|"&amp;K268,'SOW caps'!$N$7:$N$36,'SOW caps'!$O$7:$O$36,""),""),"")</x:f>
      </x:c>
      <x:c r="V268" s="8" t="str">
        <x:f>IF(AND(ISNUMBER(U268),ISNUMBER(X268)),ROUND(SUMIFS($X$7:X268,$A$7:A268,A268,$K$7:K268,K268,$M$7:M268,"Mapped")*U268,2)-ROUND((SUMIFS($X$7:X268,$A$7:A268,A268,$K$7:K268,K268,$M$7:M268,"Mapped")-X268)*U268,2),"")</x:f>
      </x:c>
      <x:c r="W268" s="1" t="str">
        <x:f>IF(B268="","",IF(OR(NOT(ISNUMBER(I268)),I268&lt;0),"Invalid hours",IF(NOT(ISNUMBER(R268)),"Manual hours",IF(ROUND(I268*3600000,0)=R268,"Source hours","Adjusted hours"))))</x:f>
      </x:c>
      <x:c r="X268" s="10" t="str">
        <x:f>IF(B268="","",IF(AND(ISNUMBER(I268),I268&gt;=0,Q268="In period"),I268,""))</x:f>
      </x:c>
    </x:row>
    <x:row r="269" ht="23" customHeight="1">
      <x:c r="A269" s="3"/>
      <x:c r="B269" s="3"/>
      <x:c r="C269" s="3"/>
      <x:c r="D269" s="3"/>
      <x:c r="E269" s="3"/>
      <x:c r="F269" s="3"/>
      <x:c r="G269" s="3"/>
      <x:c r="H269" s="3"/>
      <x:c r="I269" s="9"/>
      <x:c r="J269" s="3"/>
      <x:c r="K269" s="3"/>
      <x:c r="L269" s="3"/>
      <x:c r="M269" s="1" t="str">
        <x:f>IF(B269="","",IF(W269="Invalid hours","Invalid hours",IF(NOT(ISNUMBER(X269)),"Excluded",IF(AND(J269&lt;&gt;"",K269&lt;&gt;"",L269&lt;&gt;"",COUNTIF('SOW caps'!$N$7:$N$36,A269&amp;"|"&amp;K269)=1),"Mapped","Needs allocation"))))</x:f>
      </x:c>
      <x:c r="N269" s="8" t="str">
        <x:f>IF(B269="","",IF(M269="Mapped",_xlfn.XLOOKUP(A269&amp;"|"&amp;K269,'SOW caps'!$N$7:$N$36,'SOW caps'!$E$7:$E$36,""),IF(ISNUMBER('SOW caps'!$B$3),'SOW caps'!$B$3,"")))</x:f>
      </x:c>
      <x:c r="O269" s="8" t="str">
        <x:f>IF(AND(ISNUMBER(X269),ISNUMBER(N269),N269&gt;=0),X269*N269,"")</x:f>
      </x:c>
      <x:c r="P269" s="3"/>
      <x:c r="Q269" s="3"/>
      <x:c r="R269" s="3"/>
      <x:c r="S269" s="3"/>
      <x:c r="T269" s="3"/>
      <x:c r="U269" s="8" t="str">
        <x:f>IF(M269="Mapped",IF(OR(_xlfn.XLOOKUP(A269&amp;"|"&amp;K269,'SOW caps'!$N$7:$N$36,'SOW caps'!$M$7:$M$36,"")="Ready",_xlfn.XLOOKUP(A269&amp;"|"&amp;K269,'SOW caps'!$N$7:$N$36,'SOW caps'!$M$7:$M$36,"")="No hours"),_xlfn.XLOOKUP(A269&amp;"|"&amp;K269,'SOW caps'!$N$7:$N$36,'SOW caps'!$O$7:$O$36,""),""),"")</x:f>
      </x:c>
      <x:c r="V269" s="8" t="str">
        <x:f>IF(AND(ISNUMBER(U269),ISNUMBER(X269)),ROUND(SUMIFS($X$7:X269,$A$7:A269,A269,$K$7:K269,K269,$M$7:M269,"Mapped")*U269,2)-ROUND((SUMIFS($X$7:X269,$A$7:A269,A269,$K$7:K269,K269,$M$7:M269,"Mapped")-X269)*U269,2),"")</x:f>
      </x:c>
      <x:c r="W269" s="1" t="str">
        <x:f>IF(B269="","",IF(OR(NOT(ISNUMBER(I269)),I269&lt;0),"Invalid hours",IF(NOT(ISNUMBER(R269)),"Manual hours",IF(ROUND(I269*3600000,0)=R269,"Source hours","Adjusted hours"))))</x:f>
      </x:c>
      <x:c r="X269" s="10" t="str">
        <x:f>IF(B269="","",IF(AND(ISNUMBER(I269),I269&gt;=0,Q269="In period"),I269,""))</x:f>
      </x:c>
    </x:row>
    <x:row r="270" ht="23" customHeight="1">
      <x:c r="A270" s="3"/>
      <x:c r="B270" s="3"/>
      <x:c r="C270" s="3"/>
      <x:c r="D270" s="3"/>
      <x:c r="E270" s="3"/>
      <x:c r="F270" s="3"/>
      <x:c r="G270" s="3"/>
      <x:c r="H270" s="3"/>
      <x:c r="I270" s="9"/>
      <x:c r="J270" s="3"/>
      <x:c r="K270" s="3"/>
      <x:c r="L270" s="3"/>
      <x:c r="M270" s="1" t="str">
        <x:f>IF(B270="","",IF(W270="Invalid hours","Invalid hours",IF(NOT(ISNUMBER(X270)),"Excluded",IF(AND(J270&lt;&gt;"",K270&lt;&gt;"",L270&lt;&gt;"",COUNTIF('SOW caps'!$N$7:$N$36,A270&amp;"|"&amp;K270)=1),"Mapped","Needs allocation"))))</x:f>
      </x:c>
      <x:c r="N270" s="8" t="str">
        <x:f>IF(B270="","",IF(M270="Mapped",_xlfn.XLOOKUP(A270&amp;"|"&amp;K270,'SOW caps'!$N$7:$N$36,'SOW caps'!$E$7:$E$36,""),IF(ISNUMBER('SOW caps'!$B$3),'SOW caps'!$B$3,"")))</x:f>
      </x:c>
      <x:c r="O270" s="8" t="str">
        <x:f>IF(AND(ISNUMBER(X270),ISNUMBER(N270),N270&gt;=0),X270*N270,"")</x:f>
      </x:c>
      <x:c r="P270" s="3"/>
      <x:c r="Q270" s="3"/>
      <x:c r="R270" s="3"/>
      <x:c r="S270" s="3"/>
      <x:c r="T270" s="3"/>
      <x:c r="U270" s="8" t="str">
        <x:f>IF(M270="Mapped",IF(OR(_xlfn.XLOOKUP(A270&amp;"|"&amp;K270,'SOW caps'!$N$7:$N$36,'SOW caps'!$M$7:$M$36,"")="Ready",_xlfn.XLOOKUP(A270&amp;"|"&amp;K270,'SOW caps'!$N$7:$N$36,'SOW caps'!$M$7:$M$36,"")="No hours"),_xlfn.XLOOKUP(A270&amp;"|"&amp;K270,'SOW caps'!$N$7:$N$36,'SOW caps'!$O$7:$O$36,""),""),"")</x:f>
      </x:c>
      <x:c r="V270" s="8" t="str">
        <x:f>IF(AND(ISNUMBER(U270),ISNUMBER(X270)),ROUND(SUMIFS($X$7:X270,$A$7:A270,A270,$K$7:K270,K270,$M$7:M270,"Mapped")*U270,2)-ROUND((SUMIFS($X$7:X270,$A$7:A270,A270,$K$7:K270,K270,$M$7:M270,"Mapped")-X270)*U270,2),"")</x:f>
      </x:c>
      <x:c r="W270" s="1" t="str">
        <x:f>IF(B270="","",IF(OR(NOT(ISNUMBER(I270)),I270&lt;0),"Invalid hours",IF(NOT(ISNUMBER(R270)),"Manual hours",IF(ROUND(I270*3600000,0)=R270,"Source hours","Adjusted hours"))))</x:f>
      </x:c>
      <x:c r="X270" s="10" t="str">
        <x:f>IF(B270="","",IF(AND(ISNUMBER(I270),I270&gt;=0,Q270="In period"),I270,""))</x:f>
      </x:c>
    </x:row>
    <x:row r="271" ht="23" customHeight="1">
      <x:c r="A271" s="3"/>
      <x:c r="B271" s="3"/>
      <x:c r="C271" s="3"/>
      <x:c r="D271" s="3"/>
      <x:c r="E271" s="3"/>
      <x:c r="F271" s="3"/>
      <x:c r="G271" s="3"/>
      <x:c r="H271" s="3"/>
      <x:c r="I271" s="9"/>
      <x:c r="J271" s="3"/>
      <x:c r="K271" s="3"/>
      <x:c r="L271" s="3"/>
      <x:c r="M271" s="1" t="str">
        <x:f>IF(B271="","",IF(W271="Invalid hours","Invalid hours",IF(NOT(ISNUMBER(X271)),"Excluded",IF(AND(J271&lt;&gt;"",K271&lt;&gt;"",L271&lt;&gt;"",COUNTIF('SOW caps'!$N$7:$N$36,A271&amp;"|"&amp;K271)=1),"Mapped","Needs allocation"))))</x:f>
      </x:c>
      <x:c r="N271" s="8" t="str">
        <x:f>IF(B271="","",IF(M271="Mapped",_xlfn.XLOOKUP(A271&amp;"|"&amp;K271,'SOW caps'!$N$7:$N$36,'SOW caps'!$E$7:$E$36,""),IF(ISNUMBER('SOW caps'!$B$3),'SOW caps'!$B$3,"")))</x:f>
      </x:c>
      <x:c r="O271" s="8" t="str">
        <x:f>IF(AND(ISNUMBER(X271),ISNUMBER(N271),N271&gt;=0),X271*N271,"")</x:f>
      </x:c>
      <x:c r="P271" s="3"/>
      <x:c r="Q271" s="3"/>
      <x:c r="R271" s="3"/>
      <x:c r="S271" s="3"/>
      <x:c r="T271" s="3"/>
      <x:c r="U271" s="8" t="str">
        <x:f>IF(M271="Mapped",IF(OR(_xlfn.XLOOKUP(A271&amp;"|"&amp;K271,'SOW caps'!$N$7:$N$36,'SOW caps'!$M$7:$M$36,"")="Ready",_xlfn.XLOOKUP(A271&amp;"|"&amp;K271,'SOW caps'!$N$7:$N$36,'SOW caps'!$M$7:$M$36,"")="No hours"),_xlfn.XLOOKUP(A271&amp;"|"&amp;K271,'SOW caps'!$N$7:$N$36,'SOW caps'!$O$7:$O$36,""),""),"")</x:f>
      </x:c>
      <x:c r="V271" s="8" t="str">
        <x:f>IF(AND(ISNUMBER(U271),ISNUMBER(X271)),ROUND(SUMIFS($X$7:X271,$A$7:A271,A271,$K$7:K271,K271,$M$7:M271,"Mapped")*U271,2)-ROUND((SUMIFS($X$7:X271,$A$7:A271,A271,$K$7:K271,K271,$M$7:M271,"Mapped")-X271)*U271,2),"")</x:f>
      </x:c>
      <x:c r="W271" s="1" t="str">
        <x:f>IF(B271="","",IF(OR(NOT(ISNUMBER(I271)),I271&lt;0),"Invalid hours",IF(NOT(ISNUMBER(R271)),"Manual hours",IF(ROUND(I271*3600000,0)=R271,"Source hours","Adjusted hours"))))</x:f>
      </x:c>
      <x:c r="X271" s="10" t="str">
        <x:f>IF(B271="","",IF(AND(ISNUMBER(I271),I271&gt;=0,Q271="In period"),I271,""))</x:f>
      </x:c>
    </x:row>
    <x:row r="272" ht="23" customHeight="1">
      <x:c r="A272" s="3"/>
      <x:c r="B272" s="3"/>
      <x:c r="C272" s="3"/>
      <x:c r="D272" s="3"/>
      <x:c r="E272" s="3"/>
      <x:c r="F272" s="3"/>
      <x:c r="G272" s="3"/>
      <x:c r="H272" s="3"/>
      <x:c r="I272" s="9"/>
      <x:c r="J272" s="3"/>
      <x:c r="K272" s="3"/>
      <x:c r="L272" s="3"/>
      <x:c r="M272" s="1" t="str">
        <x:f>IF(B272="","",IF(W272="Invalid hours","Invalid hours",IF(NOT(ISNUMBER(X272)),"Excluded",IF(AND(J272&lt;&gt;"",K272&lt;&gt;"",L272&lt;&gt;"",COUNTIF('SOW caps'!$N$7:$N$36,A272&amp;"|"&amp;K272)=1),"Mapped","Needs allocation"))))</x:f>
      </x:c>
      <x:c r="N272" s="8" t="str">
        <x:f>IF(B272="","",IF(M272="Mapped",_xlfn.XLOOKUP(A272&amp;"|"&amp;K272,'SOW caps'!$N$7:$N$36,'SOW caps'!$E$7:$E$36,""),IF(ISNUMBER('SOW caps'!$B$3),'SOW caps'!$B$3,"")))</x:f>
      </x:c>
      <x:c r="O272" s="8" t="str">
        <x:f>IF(AND(ISNUMBER(X272),ISNUMBER(N272),N272&gt;=0),X272*N272,"")</x:f>
      </x:c>
      <x:c r="P272" s="3"/>
      <x:c r="Q272" s="3"/>
      <x:c r="R272" s="3"/>
      <x:c r="S272" s="3"/>
      <x:c r="T272" s="3"/>
      <x:c r="U272" s="8" t="str">
        <x:f>IF(M272="Mapped",IF(OR(_xlfn.XLOOKUP(A272&amp;"|"&amp;K272,'SOW caps'!$N$7:$N$36,'SOW caps'!$M$7:$M$36,"")="Ready",_xlfn.XLOOKUP(A272&amp;"|"&amp;K272,'SOW caps'!$N$7:$N$36,'SOW caps'!$M$7:$M$36,"")="No hours"),_xlfn.XLOOKUP(A272&amp;"|"&amp;K272,'SOW caps'!$N$7:$N$36,'SOW caps'!$O$7:$O$36,""),""),"")</x:f>
      </x:c>
      <x:c r="V272" s="8" t="str">
        <x:f>IF(AND(ISNUMBER(U272),ISNUMBER(X272)),ROUND(SUMIFS($X$7:X272,$A$7:A272,A272,$K$7:K272,K272,$M$7:M272,"Mapped")*U272,2)-ROUND((SUMIFS($X$7:X272,$A$7:A272,A272,$K$7:K272,K272,$M$7:M272,"Mapped")-X272)*U272,2),"")</x:f>
      </x:c>
      <x:c r="W272" s="1" t="str">
        <x:f>IF(B272="","",IF(OR(NOT(ISNUMBER(I272)),I272&lt;0),"Invalid hours",IF(NOT(ISNUMBER(R272)),"Manual hours",IF(ROUND(I272*3600000,0)=R272,"Source hours","Adjusted hours"))))</x:f>
      </x:c>
      <x:c r="X272" s="10" t="str">
        <x:f>IF(B272="","",IF(AND(ISNUMBER(I272),I272&gt;=0,Q272="In period"),I272,""))</x:f>
      </x:c>
    </x:row>
    <x:row r="273" ht="23" customHeight="1">
      <x:c r="A273" s="3"/>
      <x:c r="B273" s="3"/>
      <x:c r="C273" s="3"/>
      <x:c r="D273" s="3"/>
      <x:c r="E273" s="3"/>
      <x:c r="F273" s="3"/>
      <x:c r="G273" s="3"/>
      <x:c r="H273" s="3"/>
      <x:c r="I273" s="9"/>
      <x:c r="J273" s="3"/>
      <x:c r="K273" s="3"/>
      <x:c r="L273" s="3"/>
      <x:c r="M273" s="1" t="str">
        <x:f>IF(B273="","",IF(W273="Invalid hours","Invalid hours",IF(NOT(ISNUMBER(X273)),"Excluded",IF(AND(J273&lt;&gt;"",K273&lt;&gt;"",L273&lt;&gt;"",COUNTIF('SOW caps'!$N$7:$N$36,A273&amp;"|"&amp;K273)=1),"Mapped","Needs allocation"))))</x:f>
      </x:c>
      <x:c r="N273" s="8" t="str">
        <x:f>IF(B273="","",IF(M273="Mapped",_xlfn.XLOOKUP(A273&amp;"|"&amp;K273,'SOW caps'!$N$7:$N$36,'SOW caps'!$E$7:$E$36,""),IF(ISNUMBER('SOW caps'!$B$3),'SOW caps'!$B$3,"")))</x:f>
      </x:c>
      <x:c r="O273" s="8" t="str">
        <x:f>IF(AND(ISNUMBER(X273),ISNUMBER(N273),N273&gt;=0),X273*N273,"")</x:f>
      </x:c>
      <x:c r="P273" s="3"/>
      <x:c r="Q273" s="3"/>
      <x:c r="R273" s="3"/>
      <x:c r="S273" s="3"/>
      <x:c r="T273" s="3"/>
      <x:c r="U273" s="8" t="str">
        <x:f>IF(M273="Mapped",IF(OR(_xlfn.XLOOKUP(A273&amp;"|"&amp;K273,'SOW caps'!$N$7:$N$36,'SOW caps'!$M$7:$M$36,"")="Ready",_xlfn.XLOOKUP(A273&amp;"|"&amp;K273,'SOW caps'!$N$7:$N$36,'SOW caps'!$M$7:$M$36,"")="No hours"),_xlfn.XLOOKUP(A273&amp;"|"&amp;K273,'SOW caps'!$N$7:$N$36,'SOW caps'!$O$7:$O$36,""),""),"")</x:f>
      </x:c>
      <x:c r="V273" s="8" t="str">
        <x:f>IF(AND(ISNUMBER(U273),ISNUMBER(X273)),ROUND(SUMIFS($X$7:X273,$A$7:A273,A273,$K$7:K273,K273,$M$7:M273,"Mapped")*U273,2)-ROUND((SUMIFS($X$7:X273,$A$7:A273,A273,$K$7:K273,K273,$M$7:M273,"Mapped")-X273)*U273,2),"")</x:f>
      </x:c>
      <x:c r="W273" s="1" t="str">
        <x:f>IF(B273="","",IF(OR(NOT(ISNUMBER(I273)),I273&lt;0),"Invalid hours",IF(NOT(ISNUMBER(R273)),"Manual hours",IF(ROUND(I273*3600000,0)=R273,"Source hours","Adjusted hours"))))</x:f>
      </x:c>
      <x:c r="X273" s="10" t="str">
        <x:f>IF(B273="","",IF(AND(ISNUMBER(I273),I273&gt;=0,Q273="In period"),I273,""))</x:f>
      </x:c>
    </x:row>
    <x:row r="274" ht="23" customHeight="1">
      <x:c r="A274" s="3"/>
      <x:c r="B274" s="3"/>
      <x:c r="C274" s="3"/>
      <x:c r="D274" s="3"/>
      <x:c r="E274" s="3"/>
      <x:c r="F274" s="3"/>
      <x:c r="G274" s="3"/>
      <x:c r="H274" s="3"/>
      <x:c r="I274" s="9"/>
      <x:c r="J274" s="3"/>
      <x:c r="K274" s="3"/>
      <x:c r="L274" s="3"/>
      <x:c r="M274" s="1" t="str">
        <x:f>IF(B274="","",IF(W274="Invalid hours","Invalid hours",IF(NOT(ISNUMBER(X274)),"Excluded",IF(AND(J274&lt;&gt;"",K274&lt;&gt;"",L274&lt;&gt;"",COUNTIF('SOW caps'!$N$7:$N$36,A274&amp;"|"&amp;K274)=1),"Mapped","Needs allocation"))))</x:f>
      </x:c>
      <x:c r="N274" s="8" t="str">
        <x:f>IF(B274="","",IF(M274="Mapped",_xlfn.XLOOKUP(A274&amp;"|"&amp;K274,'SOW caps'!$N$7:$N$36,'SOW caps'!$E$7:$E$36,""),IF(ISNUMBER('SOW caps'!$B$3),'SOW caps'!$B$3,"")))</x:f>
      </x:c>
      <x:c r="O274" s="8" t="str">
        <x:f>IF(AND(ISNUMBER(X274),ISNUMBER(N274),N274&gt;=0),X274*N274,"")</x:f>
      </x:c>
      <x:c r="P274" s="3"/>
      <x:c r="Q274" s="3"/>
      <x:c r="R274" s="3"/>
      <x:c r="S274" s="3"/>
      <x:c r="T274" s="3"/>
      <x:c r="U274" s="8" t="str">
        <x:f>IF(M274="Mapped",IF(OR(_xlfn.XLOOKUP(A274&amp;"|"&amp;K274,'SOW caps'!$N$7:$N$36,'SOW caps'!$M$7:$M$36,"")="Ready",_xlfn.XLOOKUP(A274&amp;"|"&amp;K274,'SOW caps'!$N$7:$N$36,'SOW caps'!$M$7:$M$36,"")="No hours"),_xlfn.XLOOKUP(A274&amp;"|"&amp;K274,'SOW caps'!$N$7:$N$36,'SOW caps'!$O$7:$O$36,""),""),"")</x:f>
      </x:c>
      <x:c r="V274" s="8" t="str">
        <x:f>IF(AND(ISNUMBER(U274),ISNUMBER(X274)),ROUND(SUMIFS($X$7:X274,$A$7:A274,A274,$K$7:K274,K274,$M$7:M274,"Mapped")*U274,2)-ROUND((SUMIFS($X$7:X274,$A$7:A274,A274,$K$7:K274,K274,$M$7:M274,"Mapped")-X274)*U274,2),"")</x:f>
      </x:c>
      <x:c r="W274" s="1" t="str">
        <x:f>IF(B274="","",IF(OR(NOT(ISNUMBER(I274)),I274&lt;0),"Invalid hours",IF(NOT(ISNUMBER(R274)),"Manual hours",IF(ROUND(I274*3600000,0)=R274,"Source hours","Adjusted hours"))))</x:f>
      </x:c>
      <x:c r="X274" s="10" t="str">
        <x:f>IF(B274="","",IF(AND(ISNUMBER(I274),I274&gt;=0,Q274="In period"),I274,""))</x:f>
      </x:c>
    </x:row>
    <x:row r="275" ht="23" customHeight="1">
      <x:c r="A275" s="3"/>
      <x:c r="B275" s="3"/>
      <x:c r="C275" s="3"/>
      <x:c r="D275" s="3"/>
      <x:c r="E275" s="3"/>
      <x:c r="F275" s="3"/>
      <x:c r="G275" s="3"/>
      <x:c r="H275" s="3"/>
      <x:c r="I275" s="9"/>
      <x:c r="J275" s="3"/>
      <x:c r="K275" s="3"/>
      <x:c r="L275" s="3"/>
      <x:c r="M275" s="1" t="str">
        <x:f>IF(B275="","",IF(W275="Invalid hours","Invalid hours",IF(NOT(ISNUMBER(X275)),"Excluded",IF(AND(J275&lt;&gt;"",K275&lt;&gt;"",L275&lt;&gt;"",COUNTIF('SOW caps'!$N$7:$N$36,A275&amp;"|"&amp;K275)=1),"Mapped","Needs allocation"))))</x:f>
      </x:c>
      <x:c r="N275" s="8" t="str">
        <x:f>IF(B275="","",IF(M275="Mapped",_xlfn.XLOOKUP(A275&amp;"|"&amp;K275,'SOW caps'!$N$7:$N$36,'SOW caps'!$E$7:$E$36,""),IF(ISNUMBER('SOW caps'!$B$3),'SOW caps'!$B$3,"")))</x:f>
      </x:c>
      <x:c r="O275" s="8" t="str">
        <x:f>IF(AND(ISNUMBER(X275),ISNUMBER(N275),N275&gt;=0),X275*N275,"")</x:f>
      </x:c>
      <x:c r="P275" s="3"/>
      <x:c r="Q275" s="3"/>
      <x:c r="R275" s="3"/>
      <x:c r="S275" s="3"/>
      <x:c r="T275" s="3"/>
      <x:c r="U275" s="8" t="str">
        <x:f>IF(M275="Mapped",IF(OR(_xlfn.XLOOKUP(A275&amp;"|"&amp;K275,'SOW caps'!$N$7:$N$36,'SOW caps'!$M$7:$M$36,"")="Ready",_xlfn.XLOOKUP(A275&amp;"|"&amp;K275,'SOW caps'!$N$7:$N$36,'SOW caps'!$M$7:$M$36,"")="No hours"),_xlfn.XLOOKUP(A275&amp;"|"&amp;K275,'SOW caps'!$N$7:$N$36,'SOW caps'!$O$7:$O$36,""),""),"")</x:f>
      </x:c>
      <x:c r="V275" s="8" t="str">
        <x:f>IF(AND(ISNUMBER(U275),ISNUMBER(X275)),ROUND(SUMIFS($X$7:X275,$A$7:A275,A275,$K$7:K275,K275,$M$7:M275,"Mapped")*U275,2)-ROUND((SUMIFS($X$7:X275,$A$7:A275,A275,$K$7:K275,K275,$M$7:M275,"Mapped")-X275)*U275,2),"")</x:f>
      </x:c>
      <x:c r="W275" s="1" t="str">
        <x:f>IF(B275="","",IF(OR(NOT(ISNUMBER(I275)),I275&lt;0),"Invalid hours",IF(NOT(ISNUMBER(R275)),"Manual hours",IF(ROUND(I275*3600000,0)=R275,"Source hours","Adjusted hours"))))</x:f>
      </x:c>
      <x:c r="X275" s="10" t="str">
        <x:f>IF(B275="","",IF(AND(ISNUMBER(I275),I275&gt;=0,Q275="In period"),I275,""))</x:f>
      </x:c>
    </x:row>
    <x:row r="276" ht="23" customHeight="1">
      <x:c r="A276" s="3"/>
      <x:c r="B276" s="3"/>
      <x:c r="C276" s="3"/>
      <x:c r="D276" s="3"/>
      <x:c r="E276" s="3"/>
      <x:c r="F276" s="3"/>
      <x:c r="G276" s="3"/>
      <x:c r="H276" s="3"/>
      <x:c r="I276" s="9"/>
      <x:c r="J276" s="3"/>
      <x:c r="K276" s="3"/>
      <x:c r="L276" s="3"/>
      <x:c r="M276" s="1" t="str">
        <x:f>IF(B276="","",IF(W276="Invalid hours","Invalid hours",IF(NOT(ISNUMBER(X276)),"Excluded",IF(AND(J276&lt;&gt;"",K276&lt;&gt;"",L276&lt;&gt;"",COUNTIF('SOW caps'!$N$7:$N$36,A276&amp;"|"&amp;K276)=1),"Mapped","Needs allocation"))))</x:f>
      </x:c>
      <x:c r="N276" s="8" t="str">
        <x:f>IF(B276="","",IF(M276="Mapped",_xlfn.XLOOKUP(A276&amp;"|"&amp;K276,'SOW caps'!$N$7:$N$36,'SOW caps'!$E$7:$E$36,""),IF(ISNUMBER('SOW caps'!$B$3),'SOW caps'!$B$3,"")))</x:f>
      </x:c>
      <x:c r="O276" s="8" t="str">
        <x:f>IF(AND(ISNUMBER(X276),ISNUMBER(N276),N276&gt;=0),X276*N276,"")</x:f>
      </x:c>
      <x:c r="P276" s="3"/>
      <x:c r="Q276" s="3"/>
      <x:c r="R276" s="3"/>
      <x:c r="S276" s="3"/>
      <x:c r="T276" s="3"/>
      <x:c r="U276" s="8" t="str">
        <x:f>IF(M276="Mapped",IF(OR(_xlfn.XLOOKUP(A276&amp;"|"&amp;K276,'SOW caps'!$N$7:$N$36,'SOW caps'!$M$7:$M$36,"")="Ready",_xlfn.XLOOKUP(A276&amp;"|"&amp;K276,'SOW caps'!$N$7:$N$36,'SOW caps'!$M$7:$M$36,"")="No hours"),_xlfn.XLOOKUP(A276&amp;"|"&amp;K276,'SOW caps'!$N$7:$N$36,'SOW caps'!$O$7:$O$36,""),""),"")</x:f>
      </x:c>
      <x:c r="V276" s="8" t="str">
        <x:f>IF(AND(ISNUMBER(U276),ISNUMBER(X276)),ROUND(SUMIFS($X$7:X276,$A$7:A276,A276,$K$7:K276,K276,$M$7:M276,"Mapped")*U276,2)-ROUND((SUMIFS($X$7:X276,$A$7:A276,A276,$K$7:K276,K276,$M$7:M276,"Mapped")-X276)*U276,2),"")</x:f>
      </x:c>
      <x:c r="W276" s="1" t="str">
        <x:f>IF(B276="","",IF(OR(NOT(ISNUMBER(I276)),I276&lt;0),"Invalid hours",IF(NOT(ISNUMBER(R276)),"Manual hours",IF(ROUND(I276*3600000,0)=R276,"Source hours","Adjusted hours"))))</x:f>
      </x:c>
      <x:c r="X276" s="10" t="str">
        <x:f>IF(B276="","",IF(AND(ISNUMBER(I276),I276&gt;=0,Q276="In period"),I276,""))</x:f>
      </x:c>
    </x:row>
    <x:row r="277" ht="23" customHeight="1">
      <x:c r="A277" s="3"/>
      <x:c r="B277" s="3"/>
      <x:c r="C277" s="3"/>
      <x:c r="D277" s="3"/>
      <x:c r="E277" s="3"/>
      <x:c r="F277" s="3"/>
      <x:c r="G277" s="3"/>
      <x:c r="H277" s="3"/>
      <x:c r="I277" s="9"/>
      <x:c r="J277" s="3"/>
      <x:c r="K277" s="3"/>
      <x:c r="L277" s="3"/>
      <x:c r="M277" s="1" t="str">
        <x:f>IF(B277="","",IF(W277="Invalid hours","Invalid hours",IF(NOT(ISNUMBER(X277)),"Excluded",IF(AND(J277&lt;&gt;"",K277&lt;&gt;"",L277&lt;&gt;"",COUNTIF('SOW caps'!$N$7:$N$36,A277&amp;"|"&amp;K277)=1),"Mapped","Needs allocation"))))</x:f>
      </x:c>
      <x:c r="N277" s="8" t="str">
        <x:f>IF(B277="","",IF(M277="Mapped",_xlfn.XLOOKUP(A277&amp;"|"&amp;K277,'SOW caps'!$N$7:$N$36,'SOW caps'!$E$7:$E$36,""),IF(ISNUMBER('SOW caps'!$B$3),'SOW caps'!$B$3,"")))</x:f>
      </x:c>
      <x:c r="O277" s="8" t="str">
        <x:f>IF(AND(ISNUMBER(X277),ISNUMBER(N277),N277&gt;=0),X277*N277,"")</x:f>
      </x:c>
      <x:c r="P277" s="3"/>
      <x:c r="Q277" s="3"/>
      <x:c r="R277" s="3"/>
      <x:c r="S277" s="3"/>
      <x:c r="T277" s="3"/>
      <x:c r="U277" s="8" t="str">
        <x:f>IF(M277="Mapped",IF(OR(_xlfn.XLOOKUP(A277&amp;"|"&amp;K277,'SOW caps'!$N$7:$N$36,'SOW caps'!$M$7:$M$36,"")="Ready",_xlfn.XLOOKUP(A277&amp;"|"&amp;K277,'SOW caps'!$N$7:$N$36,'SOW caps'!$M$7:$M$36,"")="No hours"),_xlfn.XLOOKUP(A277&amp;"|"&amp;K277,'SOW caps'!$N$7:$N$36,'SOW caps'!$O$7:$O$36,""),""),"")</x:f>
      </x:c>
      <x:c r="V277" s="8" t="str">
        <x:f>IF(AND(ISNUMBER(U277),ISNUMBER(X277)),ROUND(SUMIFS($X$7:X277,$A$7:A277,A277,$K$7:K277,K277,$M$7:M277,"Mapped")*U277,2)-ROUND((SUMIFS($X$7:X277,$A$7:A277,A277,$K$7:K277,K277,$M$7:M277,"Mapped")-X277)*U277,2),"")</x:f>
      </x:c>
      <x:c r="W277" s="1" t="str">
        <x:f>IF(B277="","",IF(OR(NOT(ISNUMBER(I277)),I277&lt;0),"Invalid hours",IF(NOT(ISNUMBER(R277)),"Manual hours",IF(ROUND(I277*3600000,0)=R277,"Source hours","Adjusted hours"))))</x:f>
      </x:c>
      <x:c r="X277" s="10" t="str">
        <x:f>IF(B277="","",IF(AND(ISNUMBER(I277),I277&gt;=0,Q277="In period"),I277,""))</x:f>
      </x:c>
    </x:row>
    <x:row r="278" ht="23" customHeight="1">
      <x:c r="A278" s="3"/>
      <x:c r="B278" s="3"/>
      <x:c r="C278" s="3"/>
      <x:c r="D278" s="3"/>
      <x:c r="E278" s="3"/>
      <x:c r="F278" s="3"/>
      <x:c r="G278" s="3"/>
      <x:c r="H278" s="3"/>
      <x:c r="I278" s="9"/>
      <x:c r="J278" s="3"/>
      <x:c r="K278" s="3"/>
      <x:c r="L278" s="3"/>
      <x:c r="M278" s="1" t="str">
        <x:f>IF(B278="","",IF(W278="Invalid hours","Invalid hours",IF(NOT(ISNUMBER(X278)),"Excluded",IF(AND(J278&lt;&gt;"",K278&lt;&gt;"",L278&lt;&gt;"",COUNTIF('SOW caps'!$N$7:$N$36,A278&amp;"|"&amp;K278)=1),"Mapped","Needs allocation"))))</x:f>
      </x:c>
      <x:c r="N278" s="8" t="str">
        <x:f>IF(B278="","",IF(M278="Mapped",_xlfn.XLOOKUP(A278&amp;"|"&amp;K278,'SOW caps'!$N$7:$N$36,'SOW caps'!$E$7:$E$36,""),IF(ISNUMBER('SOW caps'!$B$3),'SOW caps'!$B$3,"")))</x:f>
      </x:c>
      <x:c r="O278" s="8" t="str">
        <x:f>IF(AND(ISNUMBER(X278),ISNUMBER(N278),N278&gt;=0),X278*N278,"")</x:f>
      </x:c>
      <x:c r="P278" s="3"/>
      <x:c r="Q278" s="3"/>
      <x:c r="R278" s="3"/>
      <x:c r="S278" s="3"/>
      <x:c r="T278" s="3"/>
      <x:c r="U278" s="8" t="str">
        <x:f>IF(M278="Mapped",IF(OR(_xlfn.XLOOKUP(A278&amp;"|"&amp;K278,'SOW caps'!$N$7:$N$36,'SOW caps'!$M$7:$M$36,"")="Ready",_xlfn.XLOOKUP(A278&amp;"|"&amp;K278,'SOW caps'!$N$7:$N$36,'SOW caps'!$M$7:$M$36,"")="No hours"),_xlfn.XLOOKUP(A278&amp;"|"&amp;K278,'SOW caps'!$N$7:$N$36,'SOW caps'!$O$7:$O$36,""),""),"")</x:f>
      </x:c>
      <x:c r="V278" s="8" t="str">
        <x:f>IF(AND(ISNUMBER(U278),ISNUMBER(X278)),ROUND(SUMIFS($X$7:X278,$A$7:A278,A278,$K$7:K278,K278,$M$7:M278,"Mapped")*U278,2)-ROUND((SUMIFS($X$7:X278,$A$7:A278,A278,$K$7:K278,K278,$M$7:M278,"Mapped")-X278)*U278,2),"")</x:f>
      </x:c>
      <x:c r="W278" s="1" t="str">
        <x:f>IF(B278="","",IF(OR(NOT(ISNUMBER(I278)),I278&lt;0),"Invalid hours",IF(NOT(ISNUMBER(R278)),"Manual hours",IF(ROUND(I278*3600000,0)=R278,"Source hours","Adjusted hours"))))</x:f>
      </x:c>
      <x:c r="X278" s="10" t="str">
        <x:f>IF(B278="","",IF(AND(ISNUMBER(I278),I278&gt;=0,Q278="In period"),I278,""))</x:f>
      </x:c>
    </x:row>
    <x:row r="279" ht="23" customHeight="1">
      <x:c r="A279" s="3"/>
      <x:c r="B279" s="3"/>
      <x:c r="C279" s="3"/>
      <x:c r="D279" s="3"/>
      <x:c r="E279" s="3"/>
      <x:c r="F279" s="3"/>
      <x:c r="G279" s="3"/>
      <x:c r="H279" s="3"/>
      <x:c r="I279" s="9"/>
      <x:c r="J279" s="3"/>
      <x:c r="K279" s="3"/>
      <x:c r="L279" s="3"/>
      <x:c r="M279" s="1" t="str">
        <x:f>IF(B279="","",IF(W279="Invalid hours","Invalid hours",IF(NOT(ISNUMBER(X279)),"Excluded",IF(AND(J279&lt;&gt;"",K279&lt;&gt;"",L279&lt;&gt;"",COUNTIF('SOW caps'!$N$7:$N$36,A279&amp;"|"&amp;K279)=1),"Mapped","Needs allocation"))))</x:f>
      </x:c>
      <x:c r="N279" s="8" t="str">
        <x:f>IF(B279="","",IF(M279="Mapped",_xlfn.XLOOKUP(A279&amp;"|"&amp;K279,'SOW caps'!$N$7:$N$36,'SOW caps'!$E$7:$E$36,""),IF(ISNUMBER('SOW caps'!$B$3),'SOW caps'!$B$3,"")))</x:f>
      </x:c>
      <x:c r="O279" s="8" t="str">
        <x:f>IF(AND(ISNUMBER(X279),ISNUMBER(N279),N279&gt;=0),X279*N279,"")</x:f>
      </x:c>
      <x:c r="P279" s="3"/>
      <x:c r="Q279" s="3"/>
      <x:c r="R279" s="3"/>
      <x:c r="S279" s="3"/>
      <x:c r="T279" s="3"/>
      <x:c r="U279" s="8" t="str">
        <x:f>IF(M279="Mapped",IF(OR(_xlfn.XLOOKUP(A279&amp;"|"&amp;K279,'SOW caps'!$N$7:$N$36,'SOW caps'!$M$7:$M$36,"")="Ready",_xlfn.XLOOKUP(A279&amp;"|"&amp;K279,'SOW caps'!$N$7:$N$36,'SOW caps'!$M$7:$M$36,"")="No hours"),_xlfn.XLOOKUP(A279&amp;"|"&amp;K279,'SOW caps'!$N$7:$N$36,'SOW caps'!$O$7:$O$36,""),""),"")</x:f>
      </x:c>
      <x:c r="V279" s="8" t="str">
        <x:f>IF(AND(ISNUMBER(U279),ISNUMBER(X279)),ROUND(SUMIFS($X$7:X279,$A$7:A279,A279,$K$7:K279,K279,$M$7:M279,"Mapped")*U279,2)-ROUND((SUMIFS($X$7:X279,$A$7:A279,A279,$K$7:K279,K279,$M$7:M279,"Mapped")-X279)*U279,2),"")</x:f>
      </x:c>
      <x:c r="W279" s="1" t="str">
        <x:f>IF(B279="","",IF(OR(NOT(ISNUMBER(I279)),I279&lt;0),"Invalid hours",IF(NOT(ISNUMBER(R279)),"Manual hours",IF(ROUND(I279*3600000,0)=R279,"Source hours","Adjusted hours"))))</x:f>
      </x:c>
      <x:c r="X279" s="10" t="str">
        <x:f>IF(B279="","",IF(AND(ISNUMBER(I279),I279&gt;=0,Q279="In period"),I279,""))</x:f>
      </x:c>
    </x:row>
    <x:row r="280" ht="23" customHeight="1">
      <x:c r="A280" s="3"/>
      <x:c r="B280" s="3"/>
      <x:c r="C280" s="3"/>
      <x:c r="D280" s="3"/>
      <x:c r="E280" s="3"/>
      <x:c r="F280" s="3"/>
      <x:c r="G280" s="3"/>
      <x:c r="H280" s="3"/>
      <x:c r="I280" s="9"/>
      <x:c r="J280" s="3"/>
      <x:c r="K280" s="3"/>
      <x:c r="L280" s="3"/>
      <x:c r="M280" s="1" t="str">
        <x:f>IF(B280="","",IF(W280="Invalid hours","Invalid hours",IF(NOT(ISNUMBER(X280)),"Excluded",IF(AND(J280&lt;&gt;"",K280&lt;&gt;"",L280&lt;&gt;"",COUNTIF('SOW caps'!$N$7:$N$36,A280&amp;"|"&amp;K280)=1),"Mapped","Needs allocation"))))</x:f>
      </x:c>
      <x:c r="N280" s="8" t="str">
        <x:f>IF(B280="","",IF(M280="Mapped",_xlfn.XLOOKUP(A280&amp;"|"&amp;K280,'SOW caps'!$N$7:$N$36,'SOW caps'!$E$7:$E$36,""),IF(ISNUMBER('SOW caps'!$B$3),'SOW caps'!$B$3,"")))</x:f>
      </x:c>
      <x:c r="O280" s="8" t="str">
        <x:f>IF(AND(ISNUMBER(X280),ISNUMBER(N280),N280&gt;=0),X280*N280,"")</x:f>
      </x:c>
      <x:c r="P280" s="3"/>
      <x:c r="Q280" s="3"/>
      <x:c r="R280" s="3"/>
      <x:c r="S280" s="3"/>
      <x:c r="T280" s="3"/>
      <x:c r="U280" s="8" t="str">
        <x:f>IF(M280="Mapped",IF(OR(_xlfn.XLOOKUP(A280&amp;"|"&amp;K280,'SOW caps'!$N$7:$N$36,'SOW caps'!$M$7:$M$36,"")="Ready",_xlfn.XLOOKUP(A280&amp;"|"&amp;K280,'SOW caps'!$N$7:$N$36,'SOW caps'!$M$7:$M$36,"")="No hours"),_xlfn.XLOOKUP(A280&amp;"|"&amp;K280,'SOW caps'!$N$7:$N$36,'SOW caps'!$O$7:$O$36,""),""),"")</x:f>
      </x:c>
      <x:c r="V280" s="8" t="str">
        <x:f>IF(AND(ISNUMBER(U280),ISNUMBER(X280)),ROUND(SUMIFS($X$7:X280,$A$7:A280,A280,$K$7:K280,K280,$M$7:M280,"Mapped")*U280,2)-ROUND((SUMIFS($X$7:X280,$A$7:A280,A280,$K$7:K280,K280,$M$7:M280,"Mapped")-X280)*U280,2),"")</x:f>
      </x:c>
      <x:c r="W280" s="1" t="str">
        <x:f>IF(B280="","",IF(OR(NOT(ISNUMBER(I280)),I280&lt;0),"Invalid hours",IF(NOT(ISNUMBER(R280)),"Manual hours",IF(ROUND(I280*3600000,0)=R280,"Source hours","Adjusted hours"))))</x:f>
      </x:c>
      <x:c r="X280" s="10" t="str">
        <x:f>IF(B280="","",IF(AND(ISNUMBER(I280),I280&gt;=0,Q280="In period"),I280,""))</x:f>
      </x:c>
    </x:row>
    <x:row r="281" ht="23" customHeight="1">
      <x:c r="A281" s="3"/>
      <x:c r="B281" s="3"/>
      <x:c r="C281" s="3"/>
      <x:c r="D281" s="3"/>
      <x:c r="E281" s="3"/>
      <x:c r="F281" s="3"/>
      <x:c r="G281" s="3"/>
      <x:c r="H281" s="3"/>
      <x:c r="I281" s="9"/>
      <x:c r="J281" s="3"/>
      <x:c r="K281" s="3"/>
      <x:c r="L281" s="3"/>
      <x:c r="M281" s="1" t="str">
        <x:f>IF(B281="","",IF(W281="Invalid hours","Invalid hours",IF(NOT(ISNUMBER(X281)),"Excluded",IF(AND(J281&lt;&gt;"",K281&lt;&gt;"",L281&lt;&gt;"",COUNTIF('SOW caps'!$N$7:$N$36,A281&amp;"|"&amp;K281)=1),"Mapped","Needs allocation"))))</x:f>
      </x:c>
      <x:c r="N281" s="8" t="str">
        <x:f>IF(B281="","",IF(M281="Mapped",_xlfn.XLOOKUP(A281&amp;"|"&amp;K281,'SOW caps'!$N$7:$N$36,'SOW caps'!$E$7:$E$36,""),IF(ISNUMBER('SOW caps'!$B$3),'SOW caps'!$B$3,"")))</x:f>
      </x:c>
      <x:c r="O281" s="8" t="str">
        <x:f>IF(AND(ISNUMBER(X281),ISNUMBER(N281),N281&gt;=0),X281*N281,"")</x:f>
      </x:c>
      <x:c r="P281" s="3"/>
      <x:c r="Q281" s="3"/>
      <x:c r="R281" s="3"/>
      <x:c r="S281" s="3"/>
      <x:c r="T281" s="3"/>
      <x:c r="U281" s="8" t="str">
        <x:f>IF(M281="Mapped",IF(OR(_xlfn.XLOOKUP(A281&amp;"|"&amp;K281,'SOW caps'!$N$7:$N$36,'SOW caps'!$M$7:$M$36,"")="Ready",_xlfn.XLOOKUP(A281&amp;"|"&amp;K281,'SOW caps'!$N$7:$N$36,'SOW caps'!$M$7:$M$36,"")="No hours"),_xlfn.XLOOKUP(A281&amp;"|"&amp;K281,'SOW caps'!$N$7:$N$36,'SOW caps'!$O$7:$O$36,""),""),"")</x:f>
      </x:c>
      <x:c r="V281" s="8" t="str">
        <x:f>IF(AND(ISNUMBER(U281),ISNUMBER(X281)),ROUND(SUMIFS($X$7:X281,$A$7:A281,A281,$K$7:K281,K281,$M$7:M281,"Mapped")*U281,2)-ROUND((SUMIFS($X$7:X281,$A$7:A281,A281,$K$7:K281,K281,$M$7:M281,"Mapped")-X281)*U281,2),"")</x:f>
      </x:c>
      <x:c r="W281" s="1" t="str">
        <x:f>IF(B281="","",IF(OR(NOT(ISNUMBER(I281)),I281&lt;0),"Invalid hours",IF(NOT(ISNUMBER(R281)),"Manual hours",IF(ROUND(I281*3600000,0)=R281,"Source hours","Adjusted hours"))))</x:f>
      </x:c>
      <x:c r="X281" s="10" t="str">
        <x:f>IF(B281="","",IF(AND(ISNUMBER(I281),I281&gt;=0,Q281="In period"),I281,""))</x:f>
      </x:c>
    </x:row>
    <x:row r="282" ht="23" customHeight="1">
      <x:c r="A282" s="3"/>
      <x:c r="B282" s="3"/>
      <x:c r="C282" s="3"/>
      <x:c r="D282" s="3"/>
      <x:c r="E282" s="3"/>
      <x:c r="F282" s="3"/>
      <x:c r="G282" s="3"/>
      <x:c r="H282" s="3"/>
      <x:c r="I282" s="9"/>
      <x:c r="J282" s="3"/>
      <x:c r="K282" s="3"/>
      <x:c r="L282" s="3"/>
      <x:c r="M282" s="1" t="str">
        <x:f>IF(B282="","",IF(W282="Invalid hours","Invalid hours",IF(NOT(ISNUMBER(X282)),"Excluded",IF(AND(J282&lt;&gt;"",K282&lt;&gt;"",L282&lt;&gt;"",COUNTIF('SOW caps'!$N$7:$N$36,A282&amp;"|"&amp;K282)=1),"Mapped","Needs allocation"))))</x:f>
      </x:c>
      <x:c r="N282" s="8" t="str">
        <x:f>IF(B282="","",IF(M282="Mapped",_xlfn.XLOOKUP(A282&amp;"|"&amp;K282,'SOW caps'!$N$7:$N$36,'SOW caps'!$E$7:$E$36,""),IF(ISNUMBER('SOW caps'!$B$3),'SOW caps'!$B$3,"")))</x:f>
      </x:c>
      <x:c r="O282" s="8" t="str">
        <x:f>IF(AND(ISNUMBER(X282),ISNUMBER(N282),N282&gt;=0),X282*N282,"")</x:f>
      </x:c>
      <x:c r="P282" s="3"/>
      <x:c r="Q282" s="3"/>
      <x:c r="R282" s="3"/>
      <x:c r="S282" s="3"/>
      <x:c r="T282" s="3"/>
      <x:c r="U282" s="8" t="str">
        <x:f>IF(M282="Mapped",IF(OR(_xlfn.XLOOKUP(A282&amp;"|"&amp;K282,'SOW caps'!$N$7:$N$36,'SOW caps'!$M$7:$M$36,"")="Ready",_xlfn.XLOOKUP(A282&amp;"|"&amp;K282,'SOW caps'!$N$7:$N$36,'SOW caps'!$M$7:$M$36,"")="No hours"),_xlfn.XLOOKUP(A282&amp;"|"&amp;K282,'SOW caps'!$N$7:$N$36,'SOW caps'!$O$7:$O$36,""),""),"")</x:f>
      </x:c>
      <x:c r="V282" s="8" t="str">
        <x:f>IF(AND(ISNUMBER(U282),ISNUMBER(X282)),ROUND(SUMIFS($X$7:X282,$A$7:A282,A282,$K$7:K282,K282,$M$7:M282,"Mapped")*U282,2)-ROUND((SUMIFS($X$7:X282,$A$7:A282,A282,$K$7:K282,K282,$M$7:M282,"Mapped")-X282)*U282,2),"")</x:f>
      </x:c>
      <x:c r="W282" s="1" t="str">
        <x:f>IF(B282="","",IF(OR(NOT(ISNUMBER(I282)),I282&lt;0),"Invalid hours",IF(NOT(ISNUMBER(R282)),"Manual hours",IF(ROUND(I282*3600000,0)=R282,"Source hours","Adjusted hours"))))</x:f>
      </x:c>
      <x:c r="X282" s="10" t="str">
        <x:f>IF(B282="","",IF(AND(ISNUMBER(I282),I282&gt;=0,Q282="In period"),I282,""))</x:f>
      </x:c>
    </x:row>
    <x:row r="283" ht="23" customHeight="1">
      <x:c r="A283" s="3"/>
      <x:c r="B283" s="3"/>
      <x:c r="C283" s="3"/>
      <x:c r="D283" s="3"/>
      <x:c r="E283" s="3"/>
      <x:c r="F283" s="3"/>
      <x:c r="G283" s="3"/>
      <x:c r="H283" s="3"/>
      <x:c r="I283" s="9"/>
      <x:c r="J283" s="3"/>
      <x:c r="K283" s="3"/>
      <x:c r="L283" s="3"/>
      <x:c r="M283" s="1" t="str">
        <x:f>IF(B283="","",IF(W283="Invalid hours","Invalid hours",IF(NOT(ISNUMBER(X283)),"Excluded",IF(AND(J283&lt;&gt;"",K283&lt;&gt;"",L283&lt;&gt;"",COUNTIF('SOW caps'!$N$7:$N$36,A283&amp;"|"&amp;K283)=1),"Mapped","Needs allocation"))))</x:f>
      </x:c>
      <x:c r="N283" s="8" t="str">
        <x:f>IF(B283="","",IF(M283="Mapped",_xlfn.XLOOKUP(A283&amp;"|"&amp;K283,'SOW caps'!$N$7:$N$36,'SOW caps'!$E$7:$E$36,""),IF(ISNUMBER('SOW caps'!$B$3),'SOW caps'!$B$3,"")))</x:f>
      </x:c>
      <x:c r="O283" s="8" t="str">
        <x:f>IF(AND(ISNUMBER(X283),ISNUMBER(N283),N283&gt;=0),X283*N283,"")</x:f>
      </x:c>
      <x:c r="P283" s="3"/>
      <x:c r="Q283" s="3"/>
      <x:c r="R283" s="3"/>
      <x:c r="S283" s="3"/>
      <x:c r="T283" s="3"/>
      <x:c r="U283" s="8" t="str">
        <x:f>IF(M283="Mapped",IF(OR(_xlfn.XLOOKUP(A283&amp;"|"&amp;K283,'SOW caps'!$N$7:$N$36,'SOW caps'!$M$7:$M$36,"")="Ready",_xlfn.XLOOKUP(A283&amp;"|"&amp;K283,'SOW caps'!$N$7:$N$36,'SOW caps'!$M$7:$M$36,"")="No hours"),_xlfn.XLOOKUP(A283&amp;"|"&amp;K283,'SOW caps'!$N$7:$N$36,'SOW caps'!$O$7:$O$36,""),""),"")</x:f>
      </x:c>
      <x:c r="V283" s="8" t="str">
        <x:f>IF(AND(ISNUMBER(U283),ISNUMBER(X283)),ROUND(SUMIFS($X$7:X283,$A$7:A283,A283,$K$7:K283,K283,$M$7:M283,"Mapped")*U283,2)-ROUND((SUMIFS($X$7:X283,$A$7:A283,A283,$K$7:K283,K283,$M$7:M283,"Mapped")-X283)*U283,2),"")</x:f>
      </x:c>
      <x:c r="W283" s="1" t="str">
        <x:f>IF(B283="","",IF(OR(NOT(ISNUMBER(I283)),I283&lt;0),"Invalid hours",IF(NOT(ISNUMBER(R283)),"Manual hours",IF(ROUND(I283*3600000,0)=R283,"Source hours","Adjusted hours"))))</x:f>
      </x:c>
      <x:c r="X283" s="10" t="str">
        <x:f>IF(B283="","",IF(AND(ISNUMBER(I283),I283&gt;=0,Q283="In period"),I283,""))</x:f>
      </x:c>
    </x:row>
    <x:row r="284" ht="23" customHeight="1">
      <x:c r="A284" s="3"/>
      <x:c r="B284" s="3"/>
      <x:c r="C284" s="3"/>
      <x:c r="D284" s="3"/>
      <x:c r="E284" s="3"/>
      <x:c r="F284" s="3"/>
      <x:c r="G284" s="3"/>
      <x:c r="H284" s="3"/>
      <x:c r="I284" s="9"/>
      <x:c r="J284" s="3"/>
      <x:c r="K284" s="3"/>
      <x:c r="L284" s="3"/>
      <x:c r="M284" s="1" t="str">
        <x:f>IF(B284="","",IF(W284="Invalid hours","Invalid hours",IF(NOT(ISNUMBER(X284)),"Excluded",IF(AND(J284&lt;&gt;"",K284&lt;&gt;"",L284&lt;&gt;"",COUNTIF('SOW caps'!$N$7:$N$36,A284&amp;"|"&amp;K284)=1),"Mapped","Needs allocation"))))</x:f>
      </x:c>
      <x:c r="N284" s="8" t="str">
        <x:f>IF(B284="","",IF(M284="Mapped",_xlfn.XLOOKUP(A284&amp;"|"&amp;K284,'SOW caps'!$N$7:$N$36,'SOW caps'!$E$7:$E$36,""),IF(ISNUMBER('SOW caps'!$B$3),'SOW caps'!$B$3,"")))</x:f>
      </x:c>
      <x:c r="O284" s="8" t="str">
        <x:f>IF(AND(ISNUMBER(X284),ISNUMBER(N284),N284&gt;=0),X284*N284,"")</x:f>
      </x:c>
      <x:c r="P284" s="3"/>
      <x:c r="Q284" s="3"/>
      <x:c r="R284" s="3"/>
      <x:c r="S284" s="3"/>
      <x:c r="T284" s="3"/>
      <x:c r="U284" s="8" t="str">
        <x:f>IF(M284="Mapped",IF(OR(_xlfn.XLOOKUP(A284&amp;"|"&amp;K284,'SOW caps'!$N$7:$N$36,'SOW caps'!$M$7:$M$36,"")="Ready",_xlfn.XLOOKUP(A284&amp;"|"&amp;K284,'SOW caps'!$N$7:$N$36,'SOW caps'!$M$7:$M$36,"")="No hours"),_xlfn.XLOOKUP(A284&amp;"|"&amp;K284,'SOW caps'!$N$7:$N$36,'SOW caps'!$O$7:$O$36,""),""),"")</x:f>
      </x:c>
      <x:c r="V284" s="8" t="str">
        <x:f>IF(AND(ISNUMBER(U284),ISNUMBER(X284)),ROUND(SUMIFS($X$7:X284,$A$7:A284,A284,$K$7:K284,K284,$M$7:M284,"Mapped")*U284,2)-ROUND((SUMIFS($X$7:X284,$A$7:A284,A284,$K$7:K284,K284,$M$7:M284,"Mapped")-X284)*U284,2),"")</x:f>
      </x:c>
      <x:c r="W284" s="1" t="str">
        <x:f>IF(B284="","",IF(OR(NOT(ISNUMBER(I284)),I284&lt;0),"Invalid hours",IF(NOT(ISNUMBER(R284)),"Manual hours",IF(ROUND(I284*3600000,0)=R284,"Source hours","Adjusted hours"))))</x:f>
      </x:c>
      <x:c r="X284" s="10" t="str">
        <x:f>IF(B284="","",IF(AND(ISNUMBER(I284),I284&gt;=0,Q284="In period"),I284,""))</x:f>
      </x:c>
    </x:row>
    <x:row r="285" ht="23" customHeight="1">
      <x:c r="A285" s="3"/>
      <x:c r="B285" s="3"/>
      <x:c r="C285" s="3"/>
      <x:c r="D285" s="3"/>
      <x:c r="E285" s="3"/>
      <x:c r="F285" s="3"/>
      <x:c r="G285" s="3"/>
      <x:c r="H285" s="3"/>
      <x:c r="I285" s="9"/>
      <x:c r="J285" s="3"/>
      <x:c r="K285" s="3"/>
      <x:c r="L285" s="3"/>
      <x:c r="M285" s="1" t="str">
        <x:f>IF(B285="","",IF(W285="Invalid hours","Invalid hours",IF(NOT(ISNUMBER(X285)),"Excluded",IF(AND(J285&lt;&gt;"",K285&lt;&gt;"",L285&lt;&gt;"",COUNTIF('SOW caps'!$N$7:$N$36,A285&amp;"|"&amp;K285)=1),"Mapped","Needs allocation"))))</x:f>
      </x:c>
      <x:c r="N285" s="8" t="str">
        <x:f>IF(B285="","",IF(M285="Mapped",_xlfn.XLOOKUP(A285&amp;"|"&amp;K285,'SOW caps'!$N$7:$N$36,'SOW caps'!$E$7:$E$36,""),IF(ISNUMBER('SOW caps'!$B$3),'SOW caps'!$B$3,"")))</x:f>
      </x:c>
      <x:c r="O285" s="8" t="str">
        <x:f>IF(AND(ISNUMBER(X285),ISNUMBER(N285),N285&gt;=0),X285*N285,"")</x:f>
      </x:c>
      <x:c r="P285" s="3"/>
      <x:c r="Q285" s="3"/>
      <x:c r="R285" s="3"/>
      <x:c r="S285" s="3"/>
      <x:c r="T285" s="3"/>
      <x:c r="U285" s="8" t="str">
        <x:f>IF(M285="Mapped",IF(OR(_xlfn.XLOOKUP(A285&amp;"|"&amp;K285,'SOW caps'!$N$7:$N$36,'SOW caps'!$M$7:$M$36,"")="Ready",_xlfn.XLOOKUP(A285&amp;"|"&amp;K285,'SOW caps'!$N$7:$N$36,'SOW caps'!$M$7:$M$36,"")="No hours"),_xlfn.XLOOKUP(A285&amp;"|"&amp;K285,'SOW caps'!$N$7:$N$36,'SOW caps'!$O$7:$O$36,""),""),"")</x:f>
      </x:c>
      <x:c r="V285" s="8" t="str">
        <x:f>IF(AND(ISNUMBER(U285),ISNUMBER(X285)),ROUND(SUMIFS($X$7:X285,$A$7:A285,A285,$K$7:K285,K285,$M$7:M285,"Mapped")*U285,2)-ROUND((SUMIFS($X$7:X285,$A$7:A285,A285,$K$7:K285,K285,$M$7:M285,"Mapped")-X285)*U285,2),"")</x:f>
      </x:c>
      <x:c r="W285" s="1" t="str">
        <x:f>IF(B285="","",IF(OR(NOT(ISNUMBER(I285)),I285&lt;0),"Invalid hours",IF(NOT(ISNUMBER(R285)),"Manual hours",IF(ROUND(I285*3600000,0)=R285,"Source hours","Adjusted hours"))))</x:f>
      </x:c>
      <x:c r="X285" s="10" t="str">
        <x:f>IF(B285="","",IF(AND(ISNUMBER(I285),I285&gt;=0,Q285="In period"),I285,""))</x:f>
      </x:c>
    </x:row>
    <x:row r="286" ht="23" customHeight="1">
      <x:c r="A286" s="3"/>
      <x:c r="B286" s="3"/>
      <x:c r="C286" s="3"/>
      <x:c r="D286" s="3"/>
      <x:c r="E286" s="3"/>
      <x:c r="F286" s="3"/>
      <x:c r="G286" s="3"/>
      <x:c r="H286" s="3"/>
      <x:c r="I286" s="9"/>
      <x:c r="J286" s="3"/>
      <x:c r="K286" s="3"/>
      <x:c r="L286" s="3"/>
      <x:c r="M286" s="1" t="str">
        <x:f>IF(B286="","",IF(W286="Invalid hours","Invalid hours",IF(NOT(ISNUMBER(X286)),"Excluded",IF(AND(J286&lt;&gt;"",K286&lt;&gt;"",L286&lt;&gt;"",COUNTIF('SOW caps'!$N$7:$N$36,A286&amp;"|"&amp;K286)=1),"Mapped","Needs allocation"))))</x:f>
      </x:c>
      <x:c r="N286" s="8" t="str">
        <x:f>IF(B286="","",IF(M286="Mapped",_xlfn.XLOOKUP(A286&amp;"|"&amp;K286,'SOW caps'!$N$7:$N$36,'SOW caps'!$E$7:$E$36,""),IF(ISNUMBER('SOW caps'!$B$3),'SOW caps'!$B$3,"")))</x:f>
      </x:c>
      <x:c r="O286" s="8" t="str">
        <x:f>IF(AND(ISNUMBER(X286),ISNUMBER(N286),N286&gt;=0),X286*N286,"")</x:f>
      </x:c>
      <x:c r="P286" s="3"/>
      <x:c r="Q286" s="3"/>
      <x:c r="R286" s="3"/>
      <x:c r="S286" s="3"/>
      <x:c r="T286" s="3"/>
      <x:c r="U286" s="8" t="str">
        <x:f>IF(M286="Mapped",IF(OR(_xlfn.XLOOKUP(A286&amp;"|"&amp;K286,'SOW caps'!$N$7:$N$36,'SOW caps'!$M$7:$M$36,"")="Ready",_xlfn.XLOOKUP(A286&amp;"|"&amp;K286,'SOW caps'!$N$7:$N$36,'SOW caps'!$M$7:$M$36,"")="No hours"),_xlfn.XLOOKUP(A286&amp;"|"&amp;K286,'SOW caps'!$N$7:$N$36,'SOW caps'!$O$7:$O$36,""),""),"")</x:f>
      </x:c>
      <x:c r="V286" s="8" t="str">
        <x:f>IF(AND(ISNUMBER(U286),ISNUMBER(X286)),ROUND(SUMIFS($X$7:X286,$A$7:A286,A286,$K$7:K286,K286,$M$7:M286,"Mapped")*U286,2)-ROUND((SUMIFS($X$7:X286,$A$7:A286,A286,$K$7:K286,K286,$M$7:M286,"Mapped")-X286)*U286,2),"")</x:f>
      </x:c>
      <x:c r="W286" s="1" t="str">
        <x:f>IF(B286="","",IF(OR(NOT(ISNUMBER(I286)),I286&lt;0),"Invalid hours",IF(NOT(ISNUMBER(R286)),"Manual hours",IF(ROUND(I286*3600000,0)=R286,"Source hours","Adjusted hours"))))</x:f>
      </x:c>
      <x:c r="X286" s="10" t="str">
        <x:f>IF(B286="","",IF(AND(ISNUMBER(I286),I286&gt;=0,Q286="In period"),I286,""))</x:f>
      </x:c>
    </x:row>
    <x:row r="287" ht="23" customHeight="1">
      <x:c r="A287" s="3"/>
      <x:c r="B287" s="3"/>
      <x:c r="C287" s="3"/>
      <x:c r="D287" s="3"/>
      <x:c r="E287" s="3"/>
      <x:c r="F287" s="3"/>
      <x:c r="G287" s="3"/>
      <x:c r="H287" s="3"/>
      <x:c r="I287" s="9"/>
      <x:c r="J287" s="3"/>
      <x:c r="K287" s="3"/>
      <x:c r="L287" s="3"/>
      <x:c r="M287" s="1" t="str">
        <x:f>IF(B287="","",IF(W287="Invalid hours","Invalid hours",IF(NOT(ISNUMBER(X287)),"Excluded",IF(AND(J287&lt;&gt;"",K287&lt;&gt;"",L287&lt;&gt;"",COUNTIF('SOW caps'!$N$7:$N$36,A287&amp;"|"&amp;K287)=1),"Mapped","Needs allocation"))))</x:f>
      </x:c>
      <x:c r="N287" s="8" t="str">
        <x:f>IF(B287="","",IF(M287="Mapped",_xlfn.XLOOKUP(A287&amp;"|"&amp;K287,'SOW caps'!$N$7:$N$36,'SOW caps'!$E$7:$E$36,""),IF(ISNUMBER('SOW caps'!$B$3),'SOW caps'!$B$3,"")))</x:f>
      </x:c>
      <x:c r="O287" s="8" t="str">
        <x:f>IF(AND(ISNUMBER(X287),ISNUMBER(N287),N287&gt;=0),X287*N287,"")</x:f>
      </x:c>
      <x:c r="P287" s="3"/>
      <x:c r="Q287" s="3"/>
      <x:c r="R287" s="3"/>
      <x:c r="S287" s="3"/>
      <x:c r="T287" s="3"/>
      <x:c r="U287" s="8" t="str">
        <x:f>IF(M287="Mapped",IF(OR(_xlfn.XLOOKUP(A287&amp;"|"&amp;K287,'SOW caps'!$N$7:$N$36,'SOW caps'!$M$7:$M$36,"")="Ready",_xlfn.XLOOKUP(A287&amp;"|"&amp;K287,'SOW caps'!$N$7:$N$36,'SOW caps'!$M$7:$M$36,"")="No hours"),_xlfn.XLOOKUP(A287&amp;"|"&amp;K287,'SOW caps'!$N$7:$N$36,'SOW caps'!$O$7:$O$36,""),""),"")</x:f>
      </x:c>
      <x:c r="V287" s="8" t="str">
        <x:f>IF(AND(ISNUMBER(U287),ISNUMBER(X287)),ROUND(SUMIFS($X$7:X287,$A$7:A287,A287,$K$7:K287,K287,$M$7:M287,"Mapped")*U287,2)-ROUND((SUMIFS($X$7:X287,$A$7:A287,A287,$K$7:K287,K287,$M$7:M287,"Mapped")-X287)*U287,2),"")</x:f>
      </x:c>
      <x:c r="W287" s="1" t="str">
        <x:f>IF(B287="","",IF(OR(NOT(ISNUMBER(I287)),I287&lt;0),"Invalid hours",IF(NOT(ISNUMBER(R287)),"Manual hours",IF(ROUND(I287*3600000,0)=R287,"Source hours","Adjusted hours"))))</x:f>
      </x:c>
      <x:c r="X287" s="10" t="str">
        <x:f>IF(B287="","",IF(AND(ISNUMBER(I287),I287&gt;=0,Q287="In period"),I287,""))</x:f>
      </x:c>
    </x:row>
    <x:row r="288" ht="23" customHeight="1">
      <x:c r="A288" s="3"/>
      <x:c r="B288" s="3"/>
      <x:c r="C288" s="3"/>
      <x:c r="D288" s="3"/>
      <x:c r="E288" s="3"/>
      <x:c r="F288" s="3"/>
      <x:c r="G288" s="3"/>
      <x:c r="H288" s="3"/>
      <x:c r="I288" s="9"/>
      <x:c r="J288" s="3"/>
      <x:c r="K288" s="3"/>
      <x:c r="L288" s="3"/>
      <x:c r="M288" s="1" t="str">
        <x:f>IF(B288="","",IF(W288="Invalid hours","Invalid hours",IF(NOT(ISNUMBER(X288)),"Excluded",IF(AND(J288&lt;&gt;"",K288&lt;&gt;"",L288&lt;&gt;"",COUNTIF('SOW caps'!$N$7:$N$36,A288&amp;"|"&amp;K288)=1),"Mapped","Needs allocation"))))</x:f>
      </x:c>
      <x:c r="N288" s="8" t="str">
        <x:f>IF(B288="","",IF(M288="Mapped",_xlfn.XLOOKUP(A288&amp;"|"&amp;K288,'SOW caps'!$N$7:$N$36,'SOW caps'!$E$7:$E$36,""),IF(ISNUMBER('SOW caps'!$B$3),'SOW caps'!$B$3,"")))</x:f>
      </x:c>
      <x:c r="O288" s="8" t="str">
        <x:f>IF(AND(ISNUMBER(X288),ISNUMBER(N288),N288&gt;=0),X288*N288,"")</x:f>
      </x:c>
      <x:c r="P288" s="3"/>
      <x:c r="Q288" s="3"/>
      <x:c r="R288" s="3"/>
      <x:c r="S288" s="3"/>
      <x:c r="T288" s="3"/>
      <x:c r="U288" s="8" t="str">
        <x:f>IF(M288="Mapped",IF(OR(_xlfn.XLOOKUP(A288&amp;"|"&amp;K288,'SOW caps'!$N$7:$N$36,'SOW caps'!$M$7:$M$36,"")="Ready",_xlfn.XLOOKUP(A288&amp;"|"&amp;K288,'SOW caps'!$N$7:$N$36,'SOW caps'!$M$7:$M$36,"")="No hours"),_xlfn.XLOOKUP(A288&amp;"|"&amp;K288,'SOW caps'!$N$7:$N$36,'SOW caps'!$O$7:$O$36,""),""),"")</x:f>
      </x:c>
      <x:c r="V288" s="8" t="str">
        <x:f>IF(AND(ISNUMBER(U288),ISNUMBER(X288)),ROUND(SUMIFS($X$7:X288,$A$7:A288,A288,$K$7:K288,K288,$M$7:M288,"Mapped")*U288,2)-ROUND((SUMIFS($X$7:X288,$A$7:A288,A288,$K$7:K288,K288,$M$7:M288,"Mapped")-X288)*U288,2),"")</x:f>
      </x:c>
      <x:c r="W288" s="1" t="str">
        <x:f>IF(B288="","",IF(OR(NOT(ISNUMBER(I288)),I288&lt;0),"Invalid hours",IF(NOT(ISNUMBER(R288)),"Manual hours",IF(ROUND(I288*3600000,0)=R288,"Source hours","Adjusted hours"))))</x:f>
      </x:c>
      <x:c r="X288" s="10" t="str">
        <x:f>IF(B288="","",IF(AND(ISNUMBER(I288),I288&gt;=0,Q288="In period"),I288,""))</x:f>
      </x:c>
    </x:row>
    <x:row r="289" ht="23" customHeight="1">
      <x:c r="A289" s="3"/>
      <x:c r="B289" s="3"/>
      <x:c r="C289" s="3"/>
      <x:c r="D289" s="3"/>
      <x:c r="E289" s="3"/>
      <x:c r="F289" s="3"/>
      <x:c r="G289" s="3"/>
      <x:c r="H289" s="3"/>
      <x:c r="I289" s="9"/>
      <x:c r="J289" s="3"/>
      <x:c r="K289" s="3"/>
      <x:c r="L289" s="3"/>
      <x:c r="M289" s="1" t="str">
        <x:f>IF(B289="","",IF(W289="Invalid hours","Invalid hours",IF(NOT(ISNUMBER(X289)),"Excluded",IF(AND(J289&lt;&gt;"",K289&lt;&gt;"",L289&lt;&gt;"",COUNTIF('SOW caps'!$N$7:$N$36,A289&amp;"|"&amp;K289)=1),"Mapped","Needs allocation"))))</x:f>
      </x:c>
      <x:c r="N289" s="8" t="str">
        <x:f>IF(B289="","",IF(M289="Mapped",_xlfn.XLOOKUP(A289&amp;"|"&amp;K289,'SOW caps'!$N$7:$N$36,'SOW caps'!$E$7:$E$36,""),IF(ISNUMBER('SOW caps'!$B$3),'SOW caps'!$B$3,"")))</x:f>
      </x:c>
      <x:c r="O289" s="8" t="str">
        <x:f>IF(AND(ISNUMBER(X289),ISNUMBER(N289),N289&gt;=0),X289*N289,"")</x:f>
      </x:c>
      <x:c r="P289" s="3"/>
      <x:c r="Q289" s="3"/>
      <x:c r="R289" s="3"/>
      <x:c r="S289" s="3"/>
      <x:c r="T289" s="3"/>
      <x:c r="U289" s="8" t="str">
        <x:f>IF(M289="Mapped",IF(OR(_xlfn.XLOOKUP(A289&amp;"|"&amp;K289,'SOW caps'!$N$7:$N$36,'SOW caps'!$M$7:$M$36,"")="Ready",_xlfn.XLOOKUP(A289&amp;"|"&amp;K289,'SOW caps'!$N$7:$N$36,'SOW caps'!$M$7:$M$36,"")="No hours"),_xlfn.XLOOKUP(A289&amp;"|"&amp;K289,'SOW caps'!$N$7:$N$36,'SOW caps'!$O$7:$O$36,""),""),"")</x:f>
      </x:c>
      <x:c r="V289" s="8" t="str">
        <x:f>IF(AND(ISNUMBER(U289),ISNUMBER(X289)),ROUND(SUMIFS($X$7:X289,$A$7:A289,A289,$K$7:K289,K289,$M$7:M289,"Mapped")*U289,2)-ROUND((SUMIFS($X$7:X289,$A$7:A289,A289,$K$7:K289,K289,$M$7:M289,"Mapped")-X289)*U289,2),"")</x:f>
      </x:c>
      <x:c r="W289" s="1" t="str">
        <x:f>IF(B289="","",IF(OR(NOT(ISNUMBER(I289)),I289&lt;0),"Invalid hours",IF(NOT(ISNUMBER(R289)),"Manual hours",IF(ROUND(I289*3600000,0)=R289,"Source hours","Adjusted hours"))))</x:f>
      </x:c>
      <x:c r="X289" s="10" t="str">
        <x:f>IF(B289="","",IF(AND(ISNUMBER(I289),I289&gt;=0,Q289="In period"),I289,""))</x:f>
      </x:c>
    </x:row>
    <x:row r="290" ht="23" customHeight="1">
      <x:c r="A290" s="3"/>
      <x:c r="B290" s="3"/>
      <x:c r="C290" s="3"/>
      <x:c r="D290" s="3"/>
      <x:c r="E290" s="3"/>
      <x:c r="F290" s="3"/>
      <x:c r="G290" s="3"/>
      <x:c r="H290" s="3"/>
      <x:c r="I290" s="9"/>
      <x:c r="J290" s="3"/>
      <x:c r="K290" s="3"/>
      <x:c r="L290" s="3"/>
      <x:c r="M290" s="1" t="str">
        <x:f>IF(B290="","",IF(W290="Invalid hours","Invalid hours",IF(NOT(ISNUMBER(X290)),"Excluded",IF(AND(J290&lt;&gt;"",K290&lt;&gt;"",L290&lt;&gt;"",COUNTIF('SOW caps'!$N$7:$N$36,A290&amp;"|"&amp;K290)=1),"Mapped","Needs allocation"))))</x:f>
      </x:c>
      <x:c r="N290" s="8" t="str">
        <x:f>IF(B290="","",IF(M290="Mapped",_xlfn.XLOOKUP(A290&amp;"|"&amp;K290,'SOW caps'!$N$7:$N$36,'SOW caps'!$E$7:$E$36,""),IF(ISNUMBER('SOW caps'!$B$3),'SOW caps'!$B$3,"")))</x:f>
      </x:c>
      <x:c r="O290" s="8" t="str">
        <x:f>IF(AND(ISNUMBER(X290),ISNUMBER(N290),N290&gt;=0),X290*N290,"")</x:f>
      </x:c>
      <x:c r="P290" s="3"/>
      <x:c r="Q290" s="3"/>
      <x:c r="R290" s="3"/>
      <x:c r="S290" s="3"/>
      <x:c r="T290" s="3"/>
      <x:c r="U290" s="8" t="str">
        <x:f>IF(M290="Mapped",IF(OR(_xlfn.XLOOKUP(A290&amp;"|"&amp;K290,'SOW caps'!$N$7:$N$36,'SOW caps'!$M$7:$M$36,"")="Ready",_xlfn.XLOOKUP(A290&amp;"|"&amp;K290,'SOW caps'!$N$7:$N$36,'SOW caps'!$M$7:$M$36,"")="No hours"),_xlfn.XLOOKUP(A290&amp;"|"&amp;K290,'SOW caps'!$N$7:$N$36,'SOW caps'!$O$7:$O$36,""),""),"")</x:f>
      </x:c>
      <x:c r="V290" s="8" t="str">
        <x:f>IF(AND(ISNUMBER(U290),ISNUMBER(X290)),ROUND(SUMIFS($X$7:X290,$A$7:A290,A290,$K$7:K290,K290,$M$7:M290,"Mapped")*U290,2)-ROUND((SUMIFS($X$7:X290,$A$7:A290,A290,$K$7:K290,K290,$M$7:M290,"Mapped")-X290)*U290,2),"")</x:f>
      </x:c>
      <x:c r="W290" s="1" t="str">
        <x:f>IF(B290="","",IF(OR(NOT(ISNUMBER(I290)),I290&lt;0),"Invalid hours",IF(NOT(ISNUMBER(R290)),"Manual hours",IF(ROUND(I290*3600000,0)=R290,"Source hours","Adjusted hours"))))</x:f>
      </x:c>
      <x:c r="X290" s="10" t="str">
        <x:f>IF(B290="","",IF(AND(ISNUMBER(I290),I290&gt;=0,Q290="In period"),I290,""))</x:f>
      </x:c>
    </x:row>
    <x:row r="291" ht="23" customHeight="1">
      <x:c r="A291" s="3"/>
      <x:c r="B291" s="3"/>
      <x:c r="C291" s="3"/>
      <x:c r="D291" s="3"/>
      <x:c r="E291" s="3"/>
      <x:c r="F291" s="3"/>
      <x:c r="G291" s="3"/>
      <x:c r="H291" s="3"/>
      <x:c r="I291" s="9"/>
      <x:c r="J291" s="3"/>
      <x:c r="K291" s="3"/>
      <x:c r="L291" s="3"/>
      <x:c r="M291" s="1" t="str">
        <x:f>IF(B291="","",IF(W291="Invalid hours","Invalid hours",IF(NOT(ISNUMBER(X291)),"Excluded",IF(AND(J291&lt;&gt;"",K291&lt;&gt;"",L291&lt;&gt;"",COUNTIF('SOW caps'!$N$7:$N$36,A291&amp;"|"&amp;K291)=1),"Mapped","Needs allocation"))))</x:f>
      </x:c>
      <x:c r="N291" s="8" t="str">
        <x:f>IF(B291="","",IF(M291="Mapped",_xlfn.XLOOKUP(A291&amp;"|"&amp;K291,'SOW caps'!$N$7:$N$36,'SOW caps'!$E$7:$E$36,""),IF(ISNUMBER('SOW caps'!$B$3),'SOW caps'!$B$3,"")))</x:f>
      </x:c>
      <x:c r="O291" s="8" t="str">
        <x:f>IF(AND(ISNUMBER(X291),ISNUMBER(N291),N291&gt;=0),X291*N291,"")</x:f>
      </x:c>
      <x:c r="P291" s="3"/>
      <x:c r="Q291" s="3"/>
      <x:c r="R291" s="3"/>
      <x:c r="S291" s="3"/>
      <x:c r="T291" s="3"/>
      <x:c r="U291" s="8" t="str">
        <x:f>IF(M291="Mapped",IF(OR(_xlfn.XLOOKUP(A291&amp;"|"&amp;K291,'SOW caps'!$N$7:$N$36,'SOW caps'!$M$7:$M$36,"")="Ready",_xlfn.XLOOKUP(A291&amp;"|"&amp;K291,'SOW caps'!$N$7:$N$36,'SOW caps'!$M$7:$M$36,"")="No hours"),_xlfn.XLOOKUP(A291&amp;"|"&amp;K291,'SOW caps'!$N$7:$N$36,'SOW caps'!$O$7:$O$36,""),""),"")</x:f>
      </x:c>
      <x:c r="V291" s="8" t="str">
        <x:f>IF(AND(ISNUMBER(U291),ISNUMBER(X291)),ROUND(SUMIFS($X$7:X291,$A$7:A291,A291,$K$7:K291,K291,$M$7:M291,"Mapped")*U291,2)-ROUND((SUMIFS($X$7:X291,$A$7:A291,A291,$K$7:K291,K291,$M$7:M291,"Mapped")-X291)*U291,2),"")</x:f>
      </x:c>
      <x:c r="W291" s="1" t="str">
        <x:f>IF(B291="","",IF(OR(NOT(ISNUMBER(I291)),I291&lt;0),"Invalid hours",IF(NOT(ISNUMBER(R291)),"Manual hours",IF(ROUND(I291*3600000,0)=R291,"Source hours","Adjusted hours"))))</x:f>
      </x:c>
      <x:c r="X291" s="10" t="str">
        <x:f>IF(B291="","",IF(AND(ISNUMBER(I291),I291&gt;=0,Q291="In period"),I291,""))</x:f>
      </x:c>
    </x:row>
    <x:row r="292" ht="23" customHeight="1">
      <x:c r="A292" s="3"/>
      <x:c r="B292" s="3"/>
      <x:c r="C292" s="3"/>
      <x:c r="D292" s="3"/>
      <x:c r="E292" s="3"/>
      <x:c r="F292" s="3"/>
      <x:c r="G292" s="3"/>
      <x:c r="H292" s="3"/>
      <x:c r="I292" s="9"/>
      <x:c r="J292" s="3"/>
      <x:c r="K292" s="3"/>
      <x:c r="L292" s="3"/>
      <x:c r="M292" s="1" t="str">
        <x:f>IF(B292="","",IF(W292="Invalid hours","Invalid hours",IF(NOT(ISNUMBER(X292)),"Excluded",IF(AND(J292&lt;&gt;"",K292&lt;&gt;"",L292&lt;&gt;"",COUNTIF('SOW caps'!$N$7:$N$36,A292&amp;"|"&amp;K292)=1),"Mapped","Needs allocation"))))</x:f>
      </x:c>
      <x:c r="N292" s="8" t="str">
        <x:f>IF(B292="","",IF(M292="Mapped",_xlfn.XLOOKUP(A292&amp;"|"&amp;K292,'SOW caps'!$N$7:$N$36,'SOW caps'!$E$7:$E$36,""),IF(ISNUMBER('SOW caps'!$B$3),'SOW caps'!$B$3,"")))</x:f>
      </x:c>
      <x:c r="O292" s="8" t="str">
        <x:f>IF(AND(ISNUMBER(X292),ISNUMBER(N292),N292&gt;=0),X292*N292,"")</x:f>
      </x:c>
      <x:c r="P292" s="3"/>
      <x:c r="Q292" s="3"/>
      <x:c r="R292" s="3"/>
      <x:c r="S292" s="3"/>
      <x:c r="T292" s="3"/>
      <x:c r="U292" s="8" t="str">
        <x:f>IF(M292="Mapped",IF(OR(_xlfn.XLOOKUP(A292&amp;"|"&amp;K292,'SOW caps'!$N$7:$N$36,'SOW caps'!$M$7:$M$36,"")="Ready",_xlfn.XLOOKUP(A292&amp;"|"&amp;K292,'SOW caps'!$N$7:$N$36,'SOW caps'!$M$7:$M$36,"")="No hours"),_xlfn.XLOOKUP(A292&amp;"|"&amp;K292,'SOW caps'!$N$7:$N$36,'SOW caps'!$O$7:$O$36,""),""),"")</x:f>
      </x:c>
      <x:c r="V292" s="8" t="str">
        <x:f>IF(AND(ISNUMBER(U292),ISNUMBER(X292)),ROUND(SUMIFS($X$7:X292,$A$7:A292,A292,$K$7:K292,K292,$M$7:M292,"Mapped")*U292,2)-ROUND((SUMIFS($X$7:X292,$A$7:A292,A292,$K$7:K292,K292,$M$7:M292,"Mapped")-X292)*U292,2),"")</x:f>
      </x:c>
      <x:c r="W292" s="1" t="str">
        <x:f>IF(B292="","",IF(OR(NOT(ISNUMBER(I292)),I292&lt;0),"Invalid hours",IF(NOT(ISNUMBER(R292)),"Manual hours",IF(ROUND(I292*3600000,0)=R292,"Source hours","Adjusted hours"))))</x:f>
      </x:c>
      <x:c r="X292" s="10" t="str">
        <x:f>IF(B292="","",IF(AND(ISNUMBER(I292),I292&gt;=0,Q292="In period"),I292,""))</x:f>
      </x:c>
    </x:row>
    <x:row r="293" ht="23" customHeight="1">
      <x:c r="A293" s="3"/>
      <x:c r="B293" s="3"/>
      <x:c r="C293" s="3"/>
      <x:c r="D293" s="3"/>
      <x:c r="E293" s="3"/>
      <x:c r="F293" s="3"/>
      <x:c r="G293" s="3"/>
      <x:c r="H293" s="3"/>
      <x:c r="I293" s="9"/>
      <x:c r="J293" s="3"/>
      <x:c r="K293" s="3"/>
      <x:c r="L293" s="3"/>
      <x:c r="M293" s="1" t="str">
        <x:f>IF(B293="","",IF(W293="Invalid hours","Invalid hours",IF(NOT(ISNUMBER(X293)),"Excluded",IF(AND(J293&lt;&gt;"",K293&lt;&gt;"",L293&lt;&gt;"",COUNTIF('SOW caps'!$N$7:$N$36,A293&amp;"|"&amp;K293)=1),"Mapped","Needs allocation"))))</x:f>
      </x:c>
      <x:c r="N293" s="8" t="str">
        <x:f>IF(B293="","",IF(M293="Mapped",_xlfn.XLOOKUP(A293&amp;"|"&amp;K293,'SOW caps'!$N$7:$N$36,'SOW caps'!$E$7:$E$36,""),IF(ISNUMBER('SOW caps'!$B$3),'SOW caps'!$B$3,"")))</x:f>
      </x:c>
      <x:c r="O293" s="8" t="str">
        <x:f>IF(AND(ISNUMBER(X293),ISNUMBER(N293),N293&gt;=0),X293*N293,"")</x:f>
      </x:c>
      <x:c r="P293" s="3"/>
      <x:c r="Q293" s="3"/>
      <x:c r="R293" s="3"/>
      <x:c r="S293" s="3"/>
      <x:c r="T293" s="3"/>
      <x:c r="U293" s="8" t="str">
        <x:f>IF(M293="Mapped",IF(OR(_xlfn.XLOOKUP(A293&amp;"|"&amp;K293,'SOW caps'!$N$7:$N$36,'SOW caps'!$M$7:$M$36,"")="Ready",_xlfn.XLOOKUP(A293&amp;"|"&amp;K293,'SOW caps'!$N$7:$N$36,'SOW caps'!$M$7:$M$36,"")="No hours"),_xlfn.XLOOKUP(A293&amp;"|"&amp;K293,'SOW caps'!$N$7:$N$36,'SOW caps'!$O$7:$O$36,""),""),"")</x:f>
      </x:c>
      <x:c r="V293" s="8" t="str">
        <x:f>IF(AND(ISNUMBER(U293),ISNUMBER(X293)),ROUND(SUMIFS($X$7:X293,$A$7:A293,A293,$K$7:K293,K293,$M$7:M293,"Mapped")*U293,2)-ROUND((SUMIFS($X$7:X293,$A$7:A293,A293,$K$7:K293,K293,$M$7:M293,"Mapped")-X293)*U293,2),"")</x:f>
      </x:c>
      <x:c r="W293" s="1" t="str">
        <x:f>IF(B293="","",IF(OR(NOT(ISNUMBER(I293)),I293&lt;0),"Invalid hours",IF(NOT(ISNUMBER(R293)),"Manual hours",IF(ROUND(I293*3600000,0)=R293,"Source hours","Adjusted hours"))))</x:f>
      </x:c>
      <x:c r="X293" s="10" t="str">
        <x:f>IF(B293="","",IF(AND(ISNUMBER(I293),I293&gt;=0,Q293="In period"),I293,""))</x:f>
      </x:c>
    </x:row>
    <x:row r="294" ht="23" customHeight="1">
      <x:c r="A294" s="3"/>
      <x:c r="B294" s="3"/>
      <x:c r="C294" s="3"/>
      <x:c r="D294" s="3"/>
      <x:c r="E294" s="3"/>
      <x:c r="F294" s="3"/>
      <x:c r="G294" s="3"/>
      <x:c r="H294" s="3"/>
      <x:c r="I294" s="9"/>
      <x:c r="J294" s="3"/>
      <x:c r="K294" s="3"/>
      <x:c r="L294" s="3"/>
      <x:c r="M294" s="1" t="str">
        <x:f>IF(B294="","",IF(W294="Invalid hours","Invalid hours",IF(NOT(ISNUMBER(X294)),"Excluded",IF(AND(J294&lt;&gt;"",K294&lt;&gt;"",L294&lt;&gt;"",COUNTIF('SOW caps'!$N$7:$N$36,A294&amp;"|"&amp;K294)=1),"Mapped","Needs allocation"))))</x:f>
      </x:c>
      <x:c r="N294" s="8" t="str">
        <x:f>IF(B294="","",IF(M294="Mapped",_xlfn.XLOOKUP(A294&amp;"|"&amp;K294,'SOW caps'!$N$7:$N$36,'SOW caps'!$E$7:$E$36,""),IF(ISNUMBER('SOW caps'!$B$3),'SOW caps'!$B$3,"")))</x:f>
      </x:c>
      <x:c r="O294" s="8" t="str">
        <x:f>IF(AND(ISNUMBER(X294),ISNUMBER(N294),N294&gt;=0),X294*N294,"")</x:f>
      </x:c>
      <x:c r="P294" s="3"/>
      <x:c r="Q294" s="3"/>
      <x:c r="R294" s="3"/>
      <x:c r="S294" s="3"/>
      <x:c r="T294" s="3"/>
      <x:c r="U294" s="8" t="str">
        <x:f>IF(M294="Mapped",IF(OR(_xlfn.XLOOKUP(A294&amp;"|"&amp;K294,'SOW caps'!$N$7:$N$36,'SOW caps'!$M$7:$M$36,"")="Ready",_xlfn.XLOOKUP(A294&amp;"|"&amp;K294,'SOW caps'!$N$7:$N$36,'SOW caps'!$M$7:$M$36,"")="No hours"),_xlfn.XLOOKUP(A294&amp;"|"&amp;K294,'SOW caps'!$N$7:$N$36,'SOW caps'!$O$7:$O$36,""),""),"")</x:f>
      </x:c>
      <x:c r="V294" s="8" t="str">
        <x:f>IF(AND(ISNUMBER(U294),ISNUMBER(X294)),ROUND(SUMIFS($X$7:X294,$A$7:A294,A294,$K$7:K294,K294,$M$7:M294,"Mapped")*U294,2)-ROUND((SUMIFS($X$7:X294,$A$7:A294,A294,$K$7:K294,K294,$M$7:M294,"Mapped")-X294)*U294,2),"")</x:f>
      </x:c>
      <x:c r="W294" s="1" t="str">
        <x:f>IF(B294="","",IF(OR(NOT(ISNUMBER(I294)),I294&lt;0),"Invalid hours",IF(NOT(ISNUMBER(R294)),"Manual hours",IF(ROUND(I294*3600000,0)=R294,"Source hours","Adjusted hours"))))</x:f>
      </x:c>
      <x:c r="X294" s="10" t="str">
        <x:f>IF(B294="","",IF(AND(ISNUMBER(I294),I294&gt;=0,Q294="In period"),I294,""))</x:f>
      </x:c>
    </x:row>
    <x:row r="295" ht="23" customHeight="1">
      <x:c r="A295" s="3"/>
      <x:c r="B295" s="3"/>
      <x:c r="C295" s="3"/>
      <x:c r="D295" s="3"/>
      <x:c r="E295" s="3"/>
      <x:c r="F295" s="3"/>
      <x:c r="G295" s="3"/>
      <x:c r="H295" s="3"/>
      <x:c r="I295" s="9"/>
      <x:c r="J295" s="3"/>
      <x:c r="K295" s="3"/>
      <x:c r="L295" s="3"/>
      <x:c r="M295" s="1" t="str">
        <x:f>IF(B295="","",IF(W295="Invalid hours","Invalid hours",IF(NOT(ISNUMBER(X295)),"Excluded",IF(AND(J295&lt;&gt;"",K295&lt;&gt;"",L295&lt;&gt;"",COUNTIF('SOW caps'!$N$7:$N$36,A295&amp;"|"&amp;K295)=1),"Mapped","Needs allocation"))))</x:f>
      </x:c>
      <x:c r="N295" s="8" t="str">
        <x:f>IF(B295="","",IF(M295="Mapped",_xlfn.XLOOKUP(A295&amp;"|"&amp;K295,'SOW caps'!$N$7:$N$36,'SOW caps'!$E$7:$E$36,""),IF(ISNUMBER('SOW caps'!$B$3),'SOW caps'!$B$3,"")))</x:f>
      </x:c>
      <x:c r="O295" s="8" t="str">
        <x:f>IF(AND(ISNUMBER(X295),ISNUMBER(N295),N295&gt;=0),X295*N295,"")</x:f>
      </x:c>
      <x:c r="P295" s="3"/>
      <x:c r="Q295" s="3"/>
      <x:c r="R295" s="3"/>
      <x:c r="S295" s="3"/>
      <x:c r="T295" s="3"/>
      <x:c r="U295" s="8" t="str">
        <x:f>IF(M295="Mapped",IF(OR(_xlfn.XLOOKUP(A295&amp;"|"&amp;K295,'SOW caps'!$N$7:$N$36,'SOW caps'!$M$7:$M$36,"")="Ready",_xlfn.XLOOKUP(A295&amp;"|"&amp;K295,'SOW caps'!$N$7:$N$36,'SOW caps'!$M$7:$M$36,"")="No hours"),_xlfn.XLOOKUP(A295&amp;"|"&amp;K295,'SOW caps'!$N$7:$N$36,'SOW caps'!$O$7:$O$36,""),""),"")</x:f>
      </x:c>
      <x:c r="V295" s="8" t="str">
        <x:f>IF(AND(ISNUMBER(U295),ISNUMBER(X295)),ROUND(SUMIFS($X$7:X295,$A$7:A295,A295,$K$7:K295,K295,$M$7:M295,"Mapped")*U295,2)-ROUND((SUMIFS($X$7:X295,$A$7:A295,A295,$K$7:K295,K295,$M$7:M295,"Mapped")-X295)*U295,2),"")</x:f>
      </x:c>
      <x:c r="W295" s="1" t="str">
        <x:f>IF(B295="","",IF(OR(NOT(ISNUMBER(I295)),I295&lt;0),"Invalid hours",IF(NOT(ISNUMBER(R295)),"Manual hours",IF(ROUND(I295*3600000,0)=R295,"Source hours","Adjusted hours"))))</x:f>
      </x:c>
      <x:c r="X295" s="10" t="str">
        <x:f>IF(B295="","",IF(AND(ISNUMBER(I295),I295&gt;=0,Q295="In period"),I295,""))</x:f>
      </x:c>
    </x:row>
    <x:row r="296" ht="23" customHeight="1">
      <x:c r="A296" s="3"/>
      <x:c r="B296" s="3"/>
      <x:c r="C296" s="3"/>
      <x:c r="D296" s="3"/>
      <x:c r="E296" s="3"/>
      <x:c r="F296" s="3"/>
      <x:c r="G296" s="3"/>
      <x:c r="H296" s="3"/>
      <x:c r="I296" s="9"/>
      <x:c r="J296" s="3"/>
      <x:c r="K296" s="3"/>
      <x:c r="L296" s="3"/>
      <x:c r="M296" s="1" t="str">
        <x:f>IF(B296="","",IF(W296="Invalid hours","Invalid hours",IF(NOT(ISNUMBER(X296)),"Excluded",IF(AND(J296&lt;&gt;"",K296&lt;&gt;"",L296&lt;&gt;"",COUNTIF('SOW caps'!$N$7:$N$36,A296&amp;"|"&amp;K296)=1),"Mapped","Needs allocation"))))</x:f>
      </x:c>
      <x:c r="N296" s="8" t="str">
        <x:f>IF(B296="","",IF(M296="Mapped",_xlfn.XLOOKUP(A296&amp;"|"&amp;K296,'SOW caps'!$N$7:$N$36,'SOW caps'!$E$7:$E$36,""),IF(ISNUMBER('SOW caps'!$B$3),'SOW caps'!$B$3,"")))</x:f>
      </x:c>
      <x:c r="O296" s="8" t="str">
        <x:f>IF(AND(ISNUMBER(X296),ISNUMBER(N296),N296&gt;=0),X296*N296,"")</x:f>
      </x:c>
      <x:c r="P296" s="3"/>
      <x:c r="Q296" s="3"/>
      <x:c r="R296" s="3"/>
      <x:c r="S296" s="3"/>
      <x:c r="T296" s="3"/>
      <x:c r="U296" s="8" t="str">
        <x:f>IF(M296="Mapped",IF(OR(_xlfn.XLOOKUP(A296&amp;"|"&amp;K296,'SOW caps'!$N$7:$N$36,'SOW caps'!$M$7:$M$36,"")="Ready",_xlfn.XLOOKUP(A296&amp;"|"&amp;K296,'SOW caps'!$N$7:$N$36,'SOW caps'!$M$7:$M$36,"")="No hours"),_xlfn.XLOOKUP(A296&amp;"|"&amp;K296,'SOW caps'!$N$7:$N$36,'SOW caps'!$O$7:$O$36,""),""),"")</x:f>
      </x:c>
      <x:c r="V296" s="8" t="str">
        <x:f>IF(AND(ISNUMBER(U296),ISNUMBER(X296)),ROUND(SUMIFS($X$7:X296,$A$7:A296,A296,$K$7:K296,K296,$M$7:M296,"Mapped")*U296,2)-ROUND((SUMIFS($X$7:X296,$A$7:A296,A296,$K$7:K296,K296,$M$7:M296,"Mapped")-X296)*U296,2),"")</x:f>
      </x:c>
      <x:c r="W296" s="1" t="str">
        <x:f>IF(B296="","",IF(OR(NOT(ISNUMBER(I296)),I296&lt;0),"Invalid hours",IF(NOT(ISNUMBER(R296)),"Manual hours",IF(ROUND(I296*3600000,0)=R296,"Source hours","Adjusted hours"))))</x:f>
      </x:c>
      <x:c r="X296" s="10" t="str">
        <x:f>IF(B296="","",IF(AND(ISNUMBER(I296),I296&gt;=0,Q296="In period"),I296,""))</x:f>
      </x:c>
    </x:row>
    <x:row r="297" ht="23" customHeight="1">
      <x:c r="A297" s="3"/>
      <x:c r="B297" s="3"/>
      <x:c r="C297" s="3"/>
      <x:c r="D297" s="3"/>
      <x:c r="E297" s="3"/>
      <x:c r="F297" s="3"/>
      <x:c r="G297" s="3"/>
      <x:c r="H297" s="3"/>
      <x:c r="I297" s="9"/>
      <x:c r="J297" s="3"/>
      <x:c r="K297" s="3"/>
      <x:c r="L297" s="3"/>
      <x:c r="M297" s="1" t="str">
        <x:f>IF(B297="","",IF(W297="Invalid hours","Invalid hours",IF(NOT(ISNUMBER(X297)),"Excluded",IF(AND(J297&lt;&gt;"",K297&lt;&gt;"",L297&lt;&gt;"",COUNTIF('SOW caps'!$N$7:$N$36,A297&amp;"|"&amp;K297)=1),"Mapped","Needs allocation"))))</x:f>
      </x:c>
      <x:c r="N297" s="8" t="str">
        <x:f>IF(B297="","",IF(M297="Mapped",_xlfn.XLOOKUP(A297&amp;"|"&amp;K297,'SOW caps'!$N$7:$N$36,'SOW caps'!$E$7:$E$36,""),IF(ISNUMBER('SOW caps'!$B$3),'SOW caps'!$B$3,"")))</x:f>
      </x:c>
      <x:c r="O297" s="8" t="str">
        <x:f>IF(AND(ISNUMBER(X297),ISNUMBER(N297),N297&gt;=0),X297*N297,"")</x:f>
      </x:c>
      <x:c r="P297" s="3"/>
      <x:c r="Q297" s="3"/>
      <x:c r="R297" s="3"/>
      <x:c r="S297" s="3"/>
      <x:c r="T297" s="3"/>
      <x:c r="U297" s="8" t="str">
        <x:f>IF(M297="Mapped",IF(OR(_xlfn.XLOOKUP(A297&amp;"|"&amp;K297,'SOW caps'!$N$7:$N$36,'SOW caps'!$M$7:$M$36,"")="Ready",_xlfn.XLOOKUP(A297&amp;"|"&amp;K297,'SOW caps'!$N$7:$N$36,'SOW caps'!$M$7:$M$36,"")="No hours"),_xlfn.XLOOKUP(A297&amp;"|"&amp;K297,'SOW caps'!$N$7:$N$36,'SOW caps'!$O$7:$O$36,""),""),"")</x:f>
      </x:c>
      <x:c r="V297" s="8" t="str">
        <x:f>IF(AND(ISNUMBER(U297),ISNUMBER(X297)),ROUND(SUMIFS($X$7:X297,$A$7:A297,A297,$K$7:K297,K297,$M$7:M297,"Mapped")*U297,2)-ROUND((SUMIFS($X$7:X297,$A$7:A297,A297,$K$7:K297,K297,$M$7:M297,"Mapped")-X297)*U297,2),"")</x:f>
      </x:c>
      <x:c r="W297" s="1" t="str">
        <x:f>IF(B297="","",IF(OR(NOT(ISNUMBER(I297)),I297&lt;0),"Invalid hours",IF(NOT(ISNUMBER(R297)),"Manual hours",IF(ROUND(I297*3600000,0)=R297,"Source hours","Adjusted hours"))))</x:f>
      </x:c>
      <x:c r="X297" s="10" t="str">
        <x:f>IF(B297="","",IF(AND(ISNUMBER(I297),I297&gt;=0,Q297="In period"),I297,""))</x:f>
      </x:c>
    </x:row>
    <x:row r="298" ht="23" customHeight="1">
      <x:c r="A298" s="3"/>
      <x:c r="B298" s="3"/>
      <x:c r="C298" s="3"/>
      <x:c r="D298" s="3"/>
      <x:c r="E298" s="3"/>
      <x:c r="F298" s="3"/>
      <x:c r="G298" s="3"/>
      <x:c r="H298" s="3"/>
      <x:c r="I298" s="9"/>
      <x:c r="J298" s="3"/>
      <x:c r="K298" s="3"/>
      <x:c r="L298" s="3"/>
      <x:c r="M298" s="1" t="str">
        <x:f>IF(B298="","",IF(W298="Invalid hours","Invalid hours",IF(NOT(ISNUMBER(X298)),"Excluded",IF(AND(J298&lt;&gt;"",K298&lt;&gt;"",L298&lt;&gt;"",COUNTIF('SOW caps'!$N$7:$N$36,A298&amp;"|"&amp;K298)=1),"Mapped","Needs allocation"))))</x:f>
      </x:c>
      <x:c r="N298" s="8" t="str">
        <x:f>IF(B298="","",IF(M298="Mapped",_xlfn.XLOOKUP(A298&amp;"|"&amp;K298,'SOW caps'!$N$7:$N$36,'SOW caps'!$E$7:$E$36,""),IF(ISNUMBER('SOW caps'!$B$3),'SOW caps'!$B$3,"")))</x:f>
      </x:c>
      <x:c r="O298" s="8" t="str">
        <x:f>IF(AND(ISNUMBER(X298),ISNUMBER(N298),N298&gt;=0),X298*N298,"")</x:f>
      </x:c>
      <x:c r="P298" s="3"/>
      <x:c r="Q298" s="3"/>
      <x:c r="R298" s="3"/>
      <x:c r="S298" s="3"/>
      <x:c r="T298" s="3"/>
      <x:c r="U298" s="8" t="str">
        <x:f>IF(M298="Mapped",IF(OR(_xlfn.XLOOKUP(A298&amp;"|"&amp;K298,'SOW caps'!$N$7:$N$36,'SOW caps'!$M$7:$M$36,"")="Ready",_xlfn.XLOOKUP(A298&amp;"|"&amp;K298,'SOW caps'!$N$7:$N$36,'SOW caps'!$M$7:$M$36,"")="No hours"),_xlfn.XLOOKUP(A298&amp;"|"&amp;K298,'SOW caps'!$N$7:$N$36,'SOW caps'!$O$7:$O$36,""),""),"")</x:f>
      </x:c>
      <x:c r="V298" s="8" t="str">
        <x:f>IF(AND(ISNUMBER(U298),ISNUMBER(X298)),ROUND(SUMIFS($X$7:X298,$A$7:A298,A298,$K$7:K298,K298,$M$7:M298,"Mapped")*U298,2)-ROUND((SUMIFS($X$7:X298,$A$7:A298,A298,$K$7:K298,K298,$M$7:M298,"Mapped")-X298)*U298,2),"")</x:f>
      </x:c>
      <x:c r="W298" s="1" t="str">
        <x:f>IF(B298="","",IF(OR(NOT(ISNUMBER(I298)),I298&lt;0),"Invalid hours",IF(NOT(ISNUMBER(R298)),"Manual hours",IF(ROUND(I298*3600000,0)=R298,"Source hours","Adjusted hours"))))</x:f>
      </x:c>
      <x:c r="X298" s="10" t="str">
        <x:f>IF(B298="","",IF(AND(ISNUMBER(I298),I298&gt;=0,Q298="In period"),I298,""))</x:f>
      </x:c>
    </x:row>
    <x:row r="299" ht="23" customHeight="1">
      <x:c r="A299" s="3"/>
      <x:c r="B299" s="3"/>
      <x:c r="C299" s="3"/>
      <x:c r="D299" s="3"/>
      <x:c r="E299" s="3"/>
      <x:c r="F299" s="3"/>
      <x:c r="G299" s="3"/>
      <x:c r="H299" s="3"/>
      <x:c r="I299" s="9"/>
      <x:c r="J299" s="3"/>
      <x:c r="K299" s="3"/>
      <x:c r="L299" s="3"/>
      <x:c r="M299" s="1" t="str">
        <x:f>IF(B299="","",IF(W299="Invalid hours","Invalid hours",IF(NOT(ISNUMBER(X299)),"Excluded",IF(AND(J299&lt;&gt;"",K299&lt;&gt;"",L299&lt;&gt;"",COUNTIF('SOW caps'!$N$7:$N$36,A299&amp;"|"&amp;K299)=1),"Mapped","Needs allocation"))))</x:f>
      </x:c>
      <x:c r="N299" s="8" t="str">
        <x:f>IF(B299="","",IF(M299="Mapped",_xlfn.XLOOKUP(A299&amp;"|"&amp;K299,'SOW caps'!$N$7:$N$36,'SOW caps'!$E$7:$E$36,""),IF(ISNUMBER('SOW caps'!$B$3),'SOW caps'!$B$3,"")))</x:f>
      </x:c>
      <x:c r="O299" s="8" t="str">
        <x:f>IF(AND(ISNUMBER(X299),ISNUMBER(N299),N299&gt;=0),X299*N299,"")</x:f>
      </x:c>
      <x:c r="P299" s="3"/>
      <x:c r="Q299" s="3"/>
      <x:c r="R299" s="3"/>
      <x:c r="S299" s="3"/>
      <x:c r="T299" s="3"/>
      <x:c r="U299" s="8" t="str">
        <x:f>IF(M299="Mapped",IF(OR(_xlfn.XLOOKUP(A299&amp;"|"&amp;K299,'SOW caps'!$N$7:$N$36,'SOW caps'!$M$7:$M$36,"")="Ready",_xlfn.XLOOKUP(A299&amp;"|"&amp;K299,'SOW caps'!$N$7:$N$36,'SOW caps'!$M$7:$M$36,"")="No hours"),_xlfn.XLOOKUP(A299&amp;"|"&amp;K299,'SOW caps'!$N$7:$N$36,'SOW caps'!$O$7:$O$36,""),""),"")</x:f>
      </x:c>
      <x:c r="V299" s="8" t="str">
        <x:f>IF(AND(ISNUMBER(U299),ISNUMBER(X299)),ROUND(SUMIFS($X$7:X299,$A$7:A299,A299,$K$7:K299,K299,$M$7:M299,"Mapped")*U299,2)-ROUND((SUMIFS($X$7:X299,$A$7:A299,A299,$K$7:K299,K299,$M$7:M299,"Mapped")-X299)*U299,2),"")</x:f>
      </x:c>
      <x:c r="W299" s="1" t="str">
        <x:f>IF(B299="","",IF(OR(NOT(ISNUMBER(I299)),I299&lt;0),"Invalid hours",IF(NOT(ISNUMBER(R299)),"Manual hours",IF(ROUND(I299*3600000,0)=R299,"Source hours","Adjusted hours"))))</x:f>
      </x:c>
      <x:c r="X299" s="10" t="str">
        <x:f>IF(B299="","",IF(AND(ISNUMBER(I299),I299&gt;=0,Q299="In period"),I299,""))</x:f>
      </x:c>
    </x:row>
    <x:row r="300" ht="23" customHeight="1">
      <x:c r="A300" s="3"/>
      <x:c r="B300" s="3"/>
      <x:c r="C300" s="3"/>
      <x:c r="D300" s="3"/>
      <x:c r="E300" s="3"/>
      <x:c r="F300" s="3"/>
      <x:c r="G300" s="3"/>
      <x:c r="H300" s="3"/>
      <x:c r="I300" s="9"/>
      <x:c r="J300" s="3"/>
      <x:c r="K300" s="3"/>
      <x:c r="L300" s="3"/>
      <x:c r="M300" s="1" t="str">
        <x:f>IF(B300="","",IF(W300="Invalid hours","Invalid hours",IF(NOT(ISNUMBER(X300)),"Excluded",IF(AND(J300&lt;&gt;"",K300&lt;&gt;"",L300&lt;&gt;"",COUNTIF('SOW caps'!$N$7:$N$36,A300&amp;"|"&amp;K300)=1),"Mapped","Needs allocation"))))</x:f>
      </x:c>
      <x:c r="N300" s="8" t="str">
        <x:f>IF(B300="","",IF(M300="Mapped",_xlfn.XLOOKUP(A300&amp;"|"&amp;K300,'SOW caps'!$N$7:$N$36,'SOW caps'!$E$7:$E$36,""),IF(ISNUMBER('SOW caps'!$B$3),'SOW caps'!$B$3,"")))</x:f>
      </x:c>
      <x:c r="O300" s="8" t="str">
        <x:f>IF(AND(ISNUMBER(X300),ISNUMBER(N300),N300&gt;=0),X300*N300,"")</x:f>
      </x:c>
      <x:c r="P300" s="3"/>
      <x:c r="Q300" s="3"/>
      <x:c r="R300" s="3"/>
      <x:c r="S300" s="3"/>
      <x:c r="T300" s="3"/>
      <x:c r="U300" s="8" t="str">
        <x:f>IF(M300="Mapped",IF(OR(_xlfn.XLOOKUP(A300&amp;"|"&amp;K300,'SOW caps'!$N$7:$N$36,'SOW caps'!$M$7:$M$36,"")="Ready",_xlfn.XLOOKUP(A300&amp;"|"&amp;K300,'SOW caps'!$N$7:$N$36,'SOW caps'!$M$7:$M$36,"")="No hours"),_xlfn.XLOOKUP(A300&amp;"|"&amp;K300,'SOW caps'!$N$7:$N$36,'SOW caps'!$O$7:$O$36,""),""),"")</x:f>
      </x:c>
      <x:c r="V300" s="8" t="str">
        <x:f>IF(AND(ISNUMBER(U300),ISNUMBER(X300)),ROUND(SUMIFS($X$7:X300,$A$7:A300,A300,$K$7:K300,K300,$M$7:M300,"Mapped")*U300,2)-ROUND((SUMIFS($X$7:X300,$A$7:A300,A300,$K$7:K300,K300,$M$7:M300,"Mapped")-X300)*U300,2),"")</x:f>
      </x:c>
      <x:c r="W300" s="1" t="str">
        <x:f>IF(B300="","",IF(OR(NOT(ISNUMBER(I300)),I300&lt;0),"Invalid hours",IF(NOT(ISNUMBER(R300)),"Manual hours",IF(ROUND(I300*3600000,0)=R300,"Source hours","Adjusted hours"))))</x:f>
      </x:c>
      <x:c r="X300" s="10" t="str">
        <x:f>IF(B300="","",IF(AND(ISNUMBER(I300),I300&gt;=0,Q300="In period"),I300,""))</x:f>
      </x:c>
    </x:row>
    <x:row r="301" ht="23" customHeight="1">
      <x:c r="A301" s="3"/>
      <x:c r="B301" s="3"/>
      <x:c r="C301" s="3"/>
      <x:c r="D301" s="3"/>
      <x:c r="E301" s="3"/>
      <x:c r="F301" s="3"/>
      <x:c r="G301" s="3"/>
      <x:c r="H301" s="3"/>
      <x:c r="I301" s="9"/>
      <x:c r="J301" s="3"/>
      <x:c r="K301" s="3"/>
      <x:c r="L301" s="3"/>
      <x:c r="M301" s="1" t="str">
        <x:f>IF(B301="","",IF(W301="Invalid hours","Invalid hours",IF(NOT(ISNUMBER(X301)),"Excluded",IF(AND(J301&lt;&gt;"",K301&lt;&gt;"",L301&lt;&gt;"",COUNTIF('SOW caps'!$N$7:$N$36,A301&amp;"|"&amp;K301)=1),"Mapped","Needs allocation"))))</x:f>
      </x:c>
      <x:c r="N301" s="8" t="str">
        <x:f>IF(B301="","",IF(M301="Mapped",_xlfn.XLOOKUP(A301&amp;"|"&amp;K301,'SOW caps'!$N$7:$N$36,'SOW caps'!$E$7:$E$36,""),IF(ISNUMBER('SOW caps'!$B$3),'SOW caps'!$B$3,"")))</x:f>
      </x:c>
      <x:c r="O301" s="8" t="str">
        <x:f>IF(AND(ISNUMBER(X301),ISNUMBER(N301),N301&gt;=0),X301*N301,"")</x:f>
      </x:c>
      <x:c r="P301" s="3"/>
      <x:c r="Q301" s="3"/>
      <x:c r="R301" s="3"/>
      <x:c r="S301" s="3"/>
      <x:c r="T301" s="3"/>
      <x:c r="U301" s="8" t="str">
        <x:f>IF(M301="Mapped",IF(OR(_xlfn.XLOOKUP(A301&amp;"|"&amp;K301,'SOW caps'!$N$7:$N$36,'SOW caps'!$M$7:$M$36,"")="Ready",_xlfn.XLOOKUP(A301&amp;"|"&amp;K301,'SOW caps'!$N$7:$N$36,'SOW caps'!$M$7:$M$36,"")="No hours"),_xlfn.XLOOKUP(A301&amp;"|"&amp;K301,'SOW caps'!$N$7:$N$36,'SOW caps'!$O$7:$O$36,""),""),"")</x:f>
      </x:c>
      <x:c r="V301" s="8" t="str">
        <x:f>IF(AND(ISNUMBER(U301),ISNUMBER(X301)),ROUND(SUMIFS($X$7:X301,$A$7:A301,A301,$K$7:K301,K301,$M$7:M301,"Mapped")*U301,2)-ROUND((SUMIFS($X$7:X301,$A$7:A301,A301,$K$7:K301,K301,$M$7:M301,"Mapped")-X301)*U301,2),"")</x:f>
      </x:c>
      <x:c r="W301" s="1" t="str">
        <x:f>IF(B301="","",IF(OR(NOT(ISNUMBER(I301)),I301&lt;0),"Invalid hours",IF(NOT(ISNUMBER(R301)),"Manual hours",IF(ROUND(I301*3600000,0)=R301,"Source hours","Adjusted hours"))))</x:f>
      </x:c>
      <x:c r="X301" s="10" t="str">
        <x:f>IF(B301="","",IF(AND(ISNUMBER(I301),I301&gt;=0,Q301="In period"),I301,""))</x:f>
      </x:c>
    </x:row>
    <x:row r="302" ht="23" customHeight="1">
      <x:c r="A302" s="3"/>
      <x:c r="B302" s="3"/>
      <x:c r="C302" s="3"/>
      <x:c r="D302" s="3"/>
      <x:c r="E302" s="3"/>
      <x:c r="F302" s="3"/>
      <x:c r="G302" s="3"/>
      <x:c r="H302" s="3"/>
      <x:c r="I302" s="9"/>
      <x:c r="J302" s="3"/>
      <x:c r="K302" s="3"/>
      <x:c r="L302" s="3"/>
      <x:c r="M302" s="1" t="str">
        <x:f>IF(B302="","",IF(W302="Invalid hours","Invalid hours",IF(NOT(ISNUMBER(X302)),"Excluded",IF(AND(J302&lt;&gt;"",K302&lt;&gt;"",L302&lt;&gt;"",COUNTIF('SOW caps'!$N$7:$N$36,A302&amp;"|"&amp;K302)=1),"Mapped","Needs allocation"))))</x:f>
      </x:c>
      <x:c r="N302" s="8" t="str">
        <x:f>IF(B302="","",IF(M302="Mapped",_xlfn.XLOOKUP(A302&amp;"|"&amp;K302,'SOW caps'!$N$7:$N$36,'SOW caps'!$E$7:$E$36,""),IF(ISNUMBER('SOW caps'!$B$3),'SOW caps'!$B$3,"")))</x:f>
      </x:c>
      <x:c r="O302" s="8" t="str">
        <x:f>IF(AND(ISNUMBER(X302),ISNUMBER(N302),N302&gt;=0),X302*N302,"")</x:f>
      </x:c>
      <x:c r="P302" s="3"/>
      <x:c r="Q302" s="3"/>
      <x:c r="R302" s="3"/>
      <x:c r="S302" s="3"/>
      <x:c r="T302" s="3"/>
      <x:c r="U302" s="8" t="str">
        <x:f>IF(M302="Mapped",IF(OR(_xlfn.XLOOKUP(A302&amp;"|"&amp;K302,'SOW caps'!$N$7:$N$36,'SOW caps'!$M$7:$M$36,"")="Ready",_xlfn.XLOOKUP(A302&amp;"|"&amp;K302,'SOW caps'!$N$7:$N$36,'SOW caps'!$M$7:$M$36,"")="No hours"),_xlfn.XLOOKUP(A302&amp;"|"&amp;K302,'SOW caps'!$N$7:$N$36,'SOW caps'!$O$7:$O$36,""),""),"")</x:f>
      </x:c>
      <x:c r="V302" s="8" t="str">
        <x:f>IF(AND(ISNUMBER(U302),ISNUMBER(X302)),ROUND(SUMIFS($X$7:X302,$A$7:A302,A302,$K$7:K302,K302,$M$7:M302,"Mapped")*U302,2)-ROUND((SUMIFS($X$7:X302,$A$7:A302,A302,$K$7:K302,K302,$M$7:M302,"Mapped")-X302)*U302,2),"")</x:f>
      </x:c>
      <x:c r="W302" s="1" t="str">
        <x:f>IF(B302="","",IF(OR(NOT(ISNUMBER(I302)),I302&lt;0),"Invalid hours",IF(NOT(ISNUMBER(R302)),"Manual hours",IF(ROUND(I302*3600000,0)=R302,"Source hours","Adjusted hours"))))</x:f>
      </x:c>
      <x:c r="X302" s="10" t="str">
        <x:f>IF(B302="","",IF(AND(ISNUMBER(I302),I302&gt;=0,Q302="In period"),I302,""))</x:f>
      </x:c>
    </x:row>
    <x:row r="303" ht="23" customHeight="1">
      <x:c r="A303" s="3"/>
      <x:c r="B303" s="3"/>
      <x:c r="C303" s="3"/>
      <x:c r="D303" s="3"/>
      <x:c r="E303" s="3"/>
      <x:c r="F303" s="3"/>
      <x:c r="G303" s="3"/>
      <x:c r="H303" s="3"/>
      <x:c r="I303" s="9"/>
      <x:c r="J303" s="3"/>
      <x:c r="K303" s="3"/>
      <x:c r="L303" s="3"/>
      <x:c r="M303" s="1" t="str">
        <x:f>IF(B303="","",IF(W303="Invalid hours","Invalid hours",IF(NOT(ISNUMBER(X303)),"Excluded",IF(AND(J303&lt;&gt;"",K303&lt;&gt;"",L303&lt;&gt;"",COUNTIF('SOW caps'!$N$7:$N$36,A303&amp;"|"&amp;K303)=1),"Mapped","Needs allocation"))))</x:f>
      </x:c>
      <x:c r="N303" s="8" t="str">
        <x:f>IF(B303="","",IF(M303="Mapped",_xlfn.XLOOKUP(A303&amp;"|"&amp;K303,'SOW caps'!$N$7:$N$36,'SOW caps'!$E$7:$E$36,""),IF(ISNUMBER('SOW caps'!$B$3),'SOW caps'!$B$3,"")))</x:f>
      </x:c>
      <x:c r="O303" s="8" t="str">
        <x:f>IF(AND(ISNUMBER(X303),ISNUMBER(N303),N303&gt;=0),X303*N303,"")</x:f>
      </x:c>
      <x:c r="P303" s="3"/>
      <x:c r="Q303" s="3"/>
      <x:c r="R303" s="3"/>
      <x:c r="S303" s="3"/>
      <x:c r="T303" s="3"/>
      <x:c r="U303" s="8" t="str">
        <x:f>IF(M303="Mapped",IF(OR(_xlfn.XLOOKUP(A303&amp;"|"&amp;K303,'SOW caps'!$N$7:$N$36,'SOW caps'!$M$7:$M$36,"")="Ready",_xlfn.XLOOKUP(A303&amp;"|"&amp;K303,'SOW caps'!$N$7:$N$36,'SOW caps'!$M$7:$M$36,"")="No hours"),_xlfn.XLOOKUP(A303&amp;"|"&amp;K303,'SOW caps'!$N$7:$N$36,'SOW caps'!$O$7:$O$36,""),""),"")</x:f>
      </x:c>
      <x:c r="V303" s="8" t="str">
        <x:f>IF(AND(ISNUMBER(U303),ISNUMBER(X303)),ROUND(SUMIFS($X$7:X303,$A$7:A303,A303,$K$7:K303,K303,$M$7:M303,"Mapped")*U303,2)-ROUND((SUMIFS($X$7:X303,$A$7:A303,A303,$K$7:K303,K303,$M$7:M303,"Mapped")-X303)*U303,2),"")</x:f>
      </x:c>
      <x:c r="W303" s="1" t="str">
        <x:f>IF(B303="","",IF(OR(NOT(ISNUMBER(I303)),I303&lt;0),"Invalid hours",IF(NOT(ISNUMBER(R303)),"Manual hours",IF(ROUND(I303*3600000,0)=R303,"Source hours","Adjusted hours"))))</x:f>
      </x:c>
      <x:c r="X303" s="10" t="str">
        <x:f>IF(B303="","",IF(AND(ISNUMBER(I303),I303&gt;=0,Q303="In period"),I303,""))</x:f>
      </x:c>
    </x:row>
    <x:row r="304" ht="23" customHeight="1">
      <x:c r="A304" s="3"/>
      <x:c r="B304" s="3"/>
      <x:c r="C304" s="3"/>
      <x:c r="D304" s="3"/>
      <x:c r="E304" s="3"/>
      <x:c r="F304" s="3"/>
      <x:c r="G304" s="3"/>
      <x:c r="H304" s="3"/>
      <x:c r="I304" s="9"/>
      <x:c r="J304" s="3"/>
      <x:c r="K304" s="3"/>
      <x:c r="L304" s="3"/>
      <x:c r="M304" s="1" t="str">
        <x:f>IF(B304="","",IF(W304="Invalid hours","Invalid hours",IF(NOT(ISNUMBER(X304)),"Excluded",IF(AND(J304&lt;&gt;"",K304&lt;&gt;"",L304&lt;&gt;"",COUNTIF('SOW caps'!$N$7:$N$36,A304&amp;"|"&amp;K304)=1),"Mapped","Needs allocation"))))</x:f>
      </x:c>
      <x:c r="N304" s="8" t="str">
        <x:f>IF(B304="","",IF(M304="Mapped",_xlfn.XLOOKUP(A304&amp;"|"&amp;K304,'SOW caps'!$N$7:$N$36,'SOW caps'!$E$7:$E$36,""),IF(ISNUMBER('SOW caps'!$B$3),'SOW caps'!$B$3,"")))</x:f>
      </x:c>
      <x:c r="O304" s="8" t="str">
        <x:f>IF(AND(ISNUMBER(X304),ISNUMBER(N304),N304&gt;=0),X304*N304,"")</x:f>
      </x:c>
      <x:c r="P304" s="3"/>
      <x:c r="Q304" s="3"/>
      <x:c r="R304" s="3"/>
      <x:c r="S304" s="3"/>
      <x:c r="T304" s="3"/>
      <x:c r="U304" s="8" t="str">
        <x:f>IF(M304="Mapped",IF(OR(_xlfn.XLOOKUP(A304&amp;"|"&amp;K304,'SOW caps'!$N$7:$N$36,'SOW caps'!$M$7:$M$36,"")="Ready",_xlfn.XLOOKUP(A304&amp;"|"&amp;K304,'SOW caps'!$N$7:$N$36,'SOW caps'!$M$7:$M$36,"")="No hours"),_xlfn.XLOOKUP(A304&amp;"|"&amp;K304,'SOW caps'!$N$7:$N$36,'SOW caps'!$O$7:$O$36,""),""),"")</x:f>
      </x:c>
      <x:c r="V304" s="8" t="str">
        <x:f>IF(AND(ISNUMBER(U304),ISNUMBER(X304)),ROUND(SUMIFS($X$7:X304,$A$7:A304,A304,$K$7:K304,K304,$M$7:M304,"Mapped")*U304,2)-ROUND((SUMIFS($X$7:X304,$A$7:A304,A304,$K$7:K304,K304,$M$7:M304,"Mapped")-X304)*U304,2),"")</x:f>
      </x:c>
      <x:c r="W304" s="1" t="str">
        <x:f>IF(B304="","",IF(OR(NOT(ISNUMBER(I304)),I304&lt;0),"Invalid hours",IF(NOT(ISNUMBER(R304)),"Manual hours",IF(ROUND(I304*3600000,0)=R304,"Source hours","Adjusted hours"))))</x:f>
      </x:c>
      <x:c r="X304" s="10" t="str">
        <x:f>IF(B304="","",IF(AND(ISNUMBER(I304),I304&gt;=0,Q304="In period"),I304,""))</x:f>
      </x:c>
    </x:row>
    <x:row r="305" ht="23" customHeight="1">
      <x:c r="A305" s="3"/>
      <x:c r="B305" s="3"/>
      <x:c r="C305" s="3"/>
      <x:c r="D305" s="3"/>
      <x:c r="E305" s="3"/>
      <x:c r="F305" s="3"/>
      <x:c r="G305" s="3"/>
      <x:c r="H305" s="3"/>
      <x:c r="I305" s="9"/>
      <x:c r="J305" s="3"/>
      <x:c r="K305" s="3"/>
      <x:c r="L305" s="3"/>
      <x:c r="M305" s="1" t="str">
        <x:f>IF(B305="","",IF(W305="Invalid hours","Invalid hours",IF(NOT(ISNUMBER(X305)),"Excluded",IF(AND(J305&lt;&gt;"",K305&lt;&gt;"",L305&lt;&gt;"",COUNTIF('SOW caps'!$N$7:$N$36,A305&amp;"|"&amp;K305)=1),"Mapped","Needs allocation"))))</x:f>
      </x:c>
      <x:c r="N305" s="8" t="str">
        <x:f>IF(B305="","",IF(M305="Mapped",_xlfn.XLOOKUP(A305&amp;"|"&amp;K305,'SOW caps'!$N$7:$N$36,'SOW caps'!$E$7:$E$36,""),IF(ISNUMBER('SOW caps'!$B$3),'SOW caps'!$B$3,"")))</x:f>
      </x:c>
      <x:c r="O305" s="8" t="str">
        <x:f>IF(AND(ISNUMBER(X305),ISNUMBER(N305),N305&gt;=0),X305*N305,"")</x:f>
      </x:c>
      <x:c r="P305" s="3"/>
      <x:c r="Q305" s="3"/>
      <x:c r="R305" s="3"/>
      <x:c r="S305" s="3"/>
      <x:c r="T305" s="3"/>
      <x:c r="U305" s="8" t="str">
        <x:f>IF(M305="Mapped",IF(OR(_xlfn.XLOOKUP(A305&amp;"|"&amp;K305,'SOW caps'!$N$7:$N$36,'SOW caps'!$M$7:$M$36,"")="Ready",_xlfn.XLOOKUP(A305&amp;"|"&amp;K305,'SOW caps'!$N$7:$N$36,'SOW caps'!$M$7:$M$36,"")="No hours"),_xlfn.XLOOKUP(A305&amp;"|"&amp;K305,'SOW caps'!$N$7:$N$36,'SOW caps'!$O$7:$O$36,""),""),"")</x:f>
      </x:c>
      <x:c r="V305" s="8" t="str">
        <x:f>IF(AND(ISNUMBER(U305),ISNUMBER(X305)),ROUND(SUMIFS($X$7:X305,$A$7:A305,A305,$K$7:K305,K305,$M$7:M305,"Mapped")*U305,2)-ROUND((SUMIFS($X$7:X305,$A$7:A305,A305,$K$7:K305,K305,$M$7:M305,"Mapped")-X305)*U305,2),"")</x:f>
      </x:c>
      <x:c r="W305" s="1" t="str">
        <x:f>IF(B305="","",IF(OR(NOT(ISNUMBER(I305)),I305&lt;0),"Invalid hours",IF(NOT(ISNUMBER(R305)),"Manual hours",IF(ROUND(I305*3600000,0)=R305,"Source hours","Adjusted hours"))))</x:f>
      </x:c>
      <x:c r="X305" s="10" t="str">
        <x:f>IF(B305="","",IF(AND(ISNUMBER(I305),I305&gt;=0,Q305="In period"),I305,""))</x:f>
      </x:c>
    </x:row>
    <x:row r="306" ht="23" customHeight="1">
      <x:c r="A306" s="3"/>
      <x:c r="B306" s="3"/>
      <x:c r="C306" s="3"/>
      <x:c r="D306" s="3"/>
      <x:c r="E306" s="3"/>
      <x:c r="F306" s="3"/>
      <x:c r="G306" s="3"/>
      <x:c r="H306" s="3"/>
      <x:c r="I306" s="9"/>
      <x:c r="J306" s="3"/>
      <x:c r="K306" s="3"/>
      <x:c r="L306" s="3"/>
      <x:c r="M306" s="1" t="str">
        <x:f>IF(B306="","",IF(W306="Invalid hours","Invalid hours",IF(NOT(ISNUMBER(X306)),"Excluded",IF(AND(J306&lt;&gt;"",K306&lt;&gt;"",L306&lt;&gt;"",COUNTIF('SOW caps'!$N$7:$N$36,A306&amp;"|"&amp;K306)=1),"Mapped","Needs allocation"))))</x:f>
      </x:c>
      <x:c r="N306" s="8" t="str">
        <x:f>IF(B306="","",IF(M306="Mapped",_xlfn.XLOOKUP(A306&amp;"|"&amp;K306,'SOW caps'!$N$7:$N$36,'SOW caps'!$E$7:$E$36,""),IF(ISNUMBER('SOW caps'!$B$3),'SOW caps'!$B$3,"")))</x:f>
      </x:c>
      <x:c r="O306" s="8" t="str">
        <x:f>IF(AND(ISNUMBER(X306),ISNUMBER(N306),N306&gt;=0),X306*N306,"")</x:f>
      </x:c>
      <x:c r="P306" s="3"/>
      <x:c r="Q306" s="3"/>
      <x:c r="R306" s="3"/>
      <x:c r="S306" s="3"/>
      <x:c r="T306" s="3"/>
      <x:c r="U306" s="8" t="str">
        <x:f>IF(M306="Mapped",IF(OR(_xlfn.XLOOKUP(A306&amp;"|"&amp;K306,'SOW caps'!$N$7:$N$36,'SOW caps'!$M$7:$M$36,"")="Ready",_xlfn.XLOOKUP(A306&amp;"|"&amp;K306,'SOW caps'!$N$7:$N$36,'SOW caps'!$M$7:$M$36,"")="No hours"),_xlfn.XLOOKUP(A306&amp;"|"&amp;K306,'SOW caps'!$N$7:$N$36,'SOW caps'!$O$7:$O$36,""),""),"")</x:f>
      </x:c>
      <x:c r="V306" s="8" t="str">
        <x:f>IF(AND(ISNUMBER(U306),ISNUMBER(X306)),ROUND(SUMIFS($X$7:X306,$A$7:A306,A306,$K$7:K306,K306,$M$7:M306,"Mapped")*U306,2)-ROUND((SUMIFS($X$7:X306,$A$7:A306,A306,$K$7:K306,K306,$M$7:M306,"Mapped")-X306)*U306,2),"")</x:f>
      </x:c>
      <x:c r="W306" s="1" t="str">
        <x:f>IF(B306="","",IF(OR(NOT(ISNUMBER(I306)),I306&lt;0),"Invalid hours",IF(NOT(ISNUMBER(R306)),"Manual hours",IF(ROUND(I306*3600000,0)=R306,"Source hours","Adjusted hours"))))</x:f>
      </x:c>
      <x:c r="X306" s="10" t="str">
        <x:f>IF(B306="","",IF(AND(ISNUMBER(I306),I306&gt;=0,Q306="In period"),I306,""))</x:f>
      </x:c>
    </x:row>
    <x:row r="307" ht="23" customHeight="1">
      <x:c r="A307" s="3"/>
      <x:c r="B307" s="3"/>
      <x:c r="C307" s="3"/>
      <x:c r="D307" s="3"/>
      <x:c r="E307" s="3"/>
      <x:c r="F307" s="3"/>
      <x:c r="G307" s="3"/>
      <x:c r="H307" s="3"/>
      <x:c r="I307" s="9"/>
      <x:c r="J307" s="3"/>
      <x:c r="K307" s="3"/>
      <x:c r="L307" s="3"/>
      <x:c r="M307" s="1" t="str">
        <x:f>IF(B307="","",IF(W307="Invalid hours","Invalid hours",IF(NOT(ISNUMBER(X307)),"Excluded",IF(AND(J307&lt;&gt;"",K307&lt;&gt;"",L307&lt;&gt;"",COUNTIF('SOW caps'!$N$7:$N$36,A307&amp;"|"&amp;K307)=1),"Mapped","Needs allocation"))))</x:f>
      </x:c>
      <x:c r="N307" s="8" t="str">
        <x:f>IF(B307="","",IF(M307="Mapped",_xlfn.XLOOKUP(A307&amp;"|"&amp;K307,'SOW caps'!$N$7:$N$36,'SOW caps'!$E$7:$E$36,""),IF(ISNUMBER('SOW caps'!$B$3),'SOW caps'!$B$3,"")))</x:f>
      </x:c>
      <x:c r="O307" s="8" t="str">
        <x:f>IF(AND(ISNUMBER(X307),ISNUMBER(N307),N307&gt;=0),X307*N307,"")</x:f>
      </x:c>
      <x:c r="P307" s="3"/>
      <x:c r="Q307" s="3"/>
      <x:c r="R307" s="3"/>
      <x:c r="S307" s="3"/>
      <x:c r="T307" s="3"/>
      <x:c r="U307" s="8" t="str">
        <x:f>IF(M307="Mapped",IF(OR(_xlfn.XLOOKUP(A307&amp;"|"&amp;K307,'SOW caps'!$N$7:$N$36,'SOW caps'!$M$7:$M$36,"")="Ready",_xlfn.XLOOKUP(A307&amp;"|"&amp;K307,'SOW caps'!$N$7:$N$36,'SOW caps'!$M$7:$M$36,"")="No hours"),_xlfn.XLOOKUP(A307&amp;"|"&amp;K307,'SOW caps'!$N$7:$N$36,'SOW caps'!$O$7:$O$36,""),""),"")</x:f>
      </x:c>
      <x:c r="V307" s="8" t="str">
        <x:f>IF(AND(ISNUMBER(U307),ISNUMBER(X307)),ROUND(SUMIFS($X$7:X307,$A$7:A307,A307,$K$7:K307,K307,$M$7:M307,"Mapped")*U307,2)-ROUND((SUMIFS($X$7:X307,$A$7:A307,A307,$K$7:K307,K307,$M$7:M307,"Mapped")-X307)*U307,2),"")</x:f>
      </x:c>
      <x:c r="W307" s="1" t="str">
        <x:f>IF(B307="","",IF(OR(NOT(ISNUMBER(I307)),I307&lt;0),"Invalid hours",IF(NOT(ISNUMBER(R307)),"Manual hours",IF(ROUND(I307*3600000,0)=R307,"Source hours","Adjusted hours"))))</x:f>
      </x:c>
      <x:c r="X307" s="10" t="str">
        <x:f>IF(B307="","",IF(AND(ISNUMBER(I307),I307&gt;=0,Q307="In period"),I307,""))</x:f>
      </x:c>
    </x:row>
    <x:row r="308" ht="23" customHeight="1">
      <x:c r="A308" s="3"/>
      <x:c r="B308" s="3"/>
      <x:c r="C308" s="3"/>
      <x:c r="D308" s="3"/>
      <x:c r="E308" s="3"/>
      <x:c r="F308" s="3"/>
      <x:c r="G308" s="3"/>
      <x:c r="H308" s="3"/>
      <x:c r="I308" s="9"/>
      <x:c r="J308" s="3"/>
      <x:c r="K308" s="3"/>
      <x:c r="L308" s="3"/>
      <x:c r="M308" s="1" t="str">
        <x:f>IF(B308="","",IF(W308="Invalid hours","Invalid hours",IF(NOT(ISNUMBER(X308)),"Excluded",IF(AND(J308&lt;&gt;"",K308&lt;&gt;"",L308&lt;&gt;"",COUNTIF('SOW caps'!$N$7:$N$36,A308&amp;"|"&amp;K308)=1),"Mapped","Needs allocation"))))</x:f>
      </x:c>
      <x:c r="N308" s="8" t="str">
        <x:f>IF(B308="","",IF(M308="Mapped",_xlfn.XLOOKUP(A308&amp;"|"&amp;K308,'SOW caps'!$N$7:$N$36,'SOW caps'!$E$7:$E$36,""),IF(ISNUMBER('SOW caps'!$B$3),'SOW caps'!$B$3,"")))</x:f>
      </x:c>
      <x:c r="O308" s="8" t="str">
        <x:f>IF(AND(ISNUMBER(X308),ISNUMBER(N308),N308&gt;=0),X308*N308,"")</x:f>
      </x:c>
      <x:c r="P308" s="3"/>
      <x:c r="Q308" s="3"/>
      <x:c r="R308" s="3"/>
      <x:c r="S308" s="3"/>
      <x:c r="T308" s="3"/>
      <x:c r="U308" s="8" t="str">
        <x:f>IF(M308="Mapped",IF(OR(_xlfn.XLOOKUP(A308&amp;"|"&amp;K308,'SOW caps'!$N$7:$N$36,'SOW caps'!$M$7:$M$36,"")="Ready",_xlfn.XLOOKUP(A308&amp;"|"&amp;K308,'SOW caps'!$N$7:$N$36,'SOW caps'!$M$7:$M$36,"")="No hours"),_xlfn.XLOOKUP(A308&amp;"|"&amp;K308,'SOW caps'!$N$7:$N$36,'SOW caps'!$O$7:$O$36,""),""),"")</x:f>
      </x:c>
      <x:c r="V308" s="8" t="str">
        <x:f>IF(AND(ISNUMBER(U308),ISNUMBER(X308)),ROUND(SUMIFS($X$7:X308,$A$7:A308,A308,$K$7:K308,K308,$M$7:M308,"Mapped")*U308,2)-ROUND((SUMIFS($X$7:X308,$A$7:A308,A308,$K$7:K308,K308,$M$7:M308,"Mapped")-X308)*U308,2),"")</x:f>
      </x:c>
      <x:c r="W308" s="1" t="str">
        <x:f>IF(B308="","",IF(OR(NOT(ISNUMBER(I308)),I308&lt;0),"Invalid hours",IF(NOT(ISNUMBER(R308)),"Manual hours",IF(ROUND(I308*3600000,0)=R308,"Source hours","Adjusted hours"))))</x:f>
      </x:c>
      <x:c r="X308" s="10" t="str">
        <x:f>IF(B308="","",IF(AND(ISNUMBER(I308),I308&gt;=0,Q308="In period"),I308,""))</x:f>
      </x:c>
    </x:row>
    <x:row r="309" ht="23" customHeight="1">
      <x:c r="A309" s="3"/>
      <x:c r="B309" s="3"/>
      <x:c r="C309" s="3"/>
      <x:c r="D309" s="3"/>
      <x:c r="E309" s="3"/>
      <x:c r="F309" s="3"/>
      <x:c r="G309" s="3"/>
      <x:c r="H309" s="3"/>
      <x:c r="I309" s="9"/>
      <x:c r="J309" s="3"/>
      <x:c r="K309" s="3"/>
      <x:c r="L309" s="3"/>
      <x:c r="M309" s="1" t="str">
        <x:f>IF(B309="","",IF(W309="Invalid hours","Invalid hours",IF(NOT(ISNUMBER(X309)),"Excluded",IF(AND(J309&lt;&gt;"",K309&lt;&gt;"",L309&lt;&gt;"",COUNTIF('SOW caps'!$N$7:$N$36,A309&amp;"|"&amp;K309)=1),"Mapped","Needs allocation"))))</x:f>
      </x:c>
      <x:c r="N309" s="8" t="str">
        <x:f>IF(B309="","",IF(M309="Mapped",_xlfn.XLOOKUP(A309&amp;"|"&amp;K309,'SOW caps'!$N$7:$N$36,'SOW caps'!$E$7:$E$36,""),IF(ISNUMBER('SOW caps'!$B$3),'SOW caps'!$B$3,"")))</x:f>
      </x:c>
      <x:c r="O309" s="8" t="str">
        <x:f>IF(AND(ISNUMBER(X309),ISNUMBER(N309),N309&gt;=0),X309*N309,"")</x:f>
      </x:c>
      <x:c r="P309" s="3"/>
      <x:c r="Q309" s="3"/>
      <x:c r="R309" s="3"/>
      <x:c r="S309" s="3"/>
      <x:c r="T309" s="3"/>
      <x:c r="U309" s="8" t="str">
        <x:f>IF(M309="Mapped",IF(OR(_xlfn.XLOOKUP(A309&amp;"|"&amp;K309,'SOW caps'!$N$7:$N$36,'SOW caps'!$M$7:$M$36,"")="Ready",_xlfn.XLOOKUP(A309&amp;"|"&amp;K309,'SOW caps'!$N$7:$N$36,'SOW caps'!$M$7:$M$36,"")="No hours"),_xlfn.XLOOKUP(A309&amp;"|"&amp;K309,'SOW caps'!$N$7:$N$36,'SOW caps'!$O$7:$O$36,""),""),"")</x:f>
      </x:c>
      <x:c r="V309" s="8" t="str">
        <x:f>IF(AND(ISNUMBER(U309),ISNUMBER(X309)),ROUND(SUMIFS($X$7:X309,$A$7:A309,A309,$K$7:K309,K309,$M$7:M309,"Mapped")*U309,2)-ROUND((SUMIFS($X$7:X309,$A$7:A309,A309,$K$7:K309,K309,$M$7:M309,"Mapped")-X309)*U309,2),"")</x:f>
      </x:c>
      <x:c r="W309" s="1" t="str">
        <x:f>IF(B309="","",IF(OR(NOT(ISNUMBER(I309)),I309&lt;0),"Invalid hours",IF(NOT(ISNUMBER(R309)),"Manual hours",IF(ROUND(I309*3600000,0)=R309,"Source hours","Adjusted hours"))))</x:f>
      </x:c>
      <x:c r="X309" s="10" t="str">
        <x:f>IF(B309="","",IF(AND(ISNUMBER(I309),I309&gt;=0,Q309="In period"),I309,""))</x:f>
      </x:c>
    </x:row>
    <x:row r="310" ht="23" customHeight="1">
      <x:c r="A310" s="3"/>
      <x:c r="B310" s="3"/>
      <x:c r="C310" s="3"/>
      <x:c r="D310" s="3"/>
      <x:c r="E310" s="3"/>
      <x:c r="F310" s="3"/>
      <x:c r="G310" s="3"/>
      <x:c r="H310" s="3"/>
      <x:c r="I310" s="9"/>
      <x:c r="J310" s="3"/>
      <x:c r="K310" s="3"/>
      <x:c r="L310" s="3"/>
      <x:c r="M310" s="1" t="str">
        <x:f>IF(B310="","",IF(W310="Invalid hours","Invalid hours",IF(NOT(ISNUMBER(X310)),"Excluded",IF(AND(J310&lt;&gt;"",K310&lt;&gt;"",L310&lt;&gt;"",COUNTIF('SOW caps'!$N$7:$N$36,A310&amp;"|"&amp;K310)=1),"Mapped","Needs allocation"))))</x:f>
      </x:c>
      <x:c r="N310" s="8" t="str">
        <x:f>IF(B310="","",IF(M310="Mapped",_xlfn.XLOOKUP(A310&amp;"|"&amp;K310,'SOW caps'!$N$7:$N$36,'SOW caps'!$E$7:$E$36,""),IF(ISNUMBER('SOW caps'!$B$3),'SOW caps'!$B$3,"")))</x:f>
      </x:c>
      <x:c r="O310" s="8" t="str">
        <x:f>IF(AND(ISNUMBER(X310),ISNUMBER(N310),N310&gt;=0),X310*N310,"")</x:f>
      </x:c>
      <x:c r="P310" s="3"/>
      <x:c r="Q310" s="3"/>
      <x:c r="R310" s="3"/>
      <x:c r="S310" s="3"/>
      <x:c r="T310" s="3"/>
      <x:c r="U310" s="8" t="str">
        <x:f>IF(M310="Mapped",IF(OR(_xlfn.XLOOKUP(A310&amp;"|"&amp;K310,'SOW caps'!$N$7:$N$36,'SOW caps'!$M$7:$M$36,"")="Ready",_xlfn.XLOOKUP(A310&amp;"|"&amp;K310,'SOW caps'!$N$7:$N$36,'SOW caps'!$M$7:$M$36,"")="No hours"),_xlfn.XLOOKUP(A310&amp;"|"&amp;K310,'SOW caps'!$N$7:$N$36,'SOW caps'!$O$7:$O$36,""),""),"")</x:f>
      </x:c>
      <x:c r="V310" s="8" t="str">
        <x:f>IF(AND(ISNUMBER(U310),ISNUMBER(X310)),ROUND(SUMIFS($X$7:X310,$A$7:A310,A310,$K$7:K310,K310,$M$7:M310,"Mapped")*U310,2)-ROUND((SUMIFS($X$7:X310,$A$7:A310,A310,$K$7:K310,K310,$M$7:M310,"Mapped")-X310)*U310,2),"")</x:f>
      </x:c>
      <x:c r="W310" s="1" t="str">
        <x:f>IF(B310="","",IF(OR(NOT(ISNUMBER(I310)),I310&lt;0),"Invalid hours",IF(NOT(ISNUMBER(R310)),"Manual hours",IF(ROUND(I310*3600000,0)=R310,"Source hours","Adjusted hours"))))</x:f>
      </x:c>
      <x:c r="X310" s="10" t="str">
        <x:f>IF(B310="","",IF(AND(ISNUMBER(I310),I310&gt;=0,Q310="In period"),I310,""))</x:f>
      </x:c>
    </x:row>
    <x:row r="311" ht="23" customHeight="1">
      <x:c r="A311" s="3"/>
      <x:c r="B311" s="3"/>
      <x:c r="C311" s="3"/>
      <x:c r="D311" s="3"/>
      <x:c r="E311" s="3"/>
      <x:c r="F311" s="3"/>
      <x:c r="G311" s="3"/>
      <x:c r="H311" s="3"/>
      <x:c r="I311" s="9"/>
      <x:c r="J311" s="3"/>
      <x:c r="K311" s="3"/>
      <x:c r="L311" s="3"/>
      <x:c r="M311" s="1" t="str">
        <x:f>IF(B311="","",IF(W311="Invalid hours","Invalid hours",IF(NOT(ISNUMBER(X311)),"Excluded",IF(AND(J311&lt;&gt;"",K311&lt;&gt;"",L311&lt;&gt;"",COUNTIF('SOW caps'!$N$7:$N$36,A311&amp;"|"&amp;K311)=1),"Mapped","Needs allocation"))))</x:f>
      </x:c>
      <x:c r="N311" s="8" t="str">
        <x:f>IF(B311="","",IF(M311="Mapped",_xlfn.XLOOKUP(A311&amp;"|"&amp;K311,'SOW caps'!$N$7:$N$36,'SOW caps'!$E$7:$E$36,""),IF(ISNUMBER('SOW caps'!$B$3),'SOW caps'!$B$3,"")))</x:f>
      </x:c>
      <x:c r="O311" s="8" t="str">
        <x:f>IF(AND(ISNUMBER(X311),ISNUMBER(N311),N311&gt;=0),X311*N311,"")</x:f>
      </x:c>
      <x:c r="P311" s="3"/>
      <x:c r="Q311" s="3"/>
      <x:c r="R311" s="3"/>
      <x:c r="S311" s="3"/>
      <x:c r="T311" s="3"/>
      <x:c r="U311" s="8" t="str">
        <x:f>IF(M311="Mapped",IF(OR(_xlfn.XLOOKUP(A311&amp;"|"&amp;K311,'SOW caps'!$N$7:$N$36,'SOW caps'!$M$7:$M$36,"")="Ready",_xlfn.XLOOKUP(A311&amp;"|"&amp;K311,'SOW caps'!$N$7:$N$36,'SOW caps'!$M$7:$M$36,"")="No hours"),_xlfn.XLOOKUP(A311&amp;"|"&amp;K311,'SOW caps'!$N$7:$N$36,'SOW caps'!$O$7:$O$36,""),""),"")</x:f>
      </x:c>
      <x:c r="V311" s="8" t="str">
        <x:f>IF(AND(ISNUMBER(U311),ISNUMBER(X311)),ROUND(SUMIFS($X$7:X311,$A$7:A311,A311,$K$7:K311,K311,$M$7:M311,"Mapped")*U311,2)-ROUND((SUMIFS($X$7:X311,$A$7:A311,A311,$K$7:K311,K311,$M$7:M311,"Mapped")-X311)*U311,2),"")</x:f>
      </x:c>
      <x:c r="W311" s="1" t="str">
        <x:f>IF(B311="","",IF(OR(NOT(ISNUMBER(I311)),I311&lt;0),"Invalid hours",IF(NOT(ISNUMBER(R311)),"Manual hours",IF(ROUND(I311*3600000,0)=R311,"Source hours","Adjusted hours"))))</x:f>
      </x:c>
      <x:c r="X311" s="10" t="str">
        <x:f>IF(B311="","",IF(AND(ISNUMBER(I311),I311&gt;=0,Q311="In period"),I311,""))</x:f>
      </x:c>
    </x:row>
    <x:row r="312" ht="23" customHeight="1">
      <x:c r="A312" s="3"/>
      <x:c r="B312" s="3"/>
      <x:c r="C312" s="3"/>
      <x:c r="D312" s="3"/>
      <x:c r="E312" s="3"/>
      <x:c r="F312" s="3"/>
      <x:c r="G312" s="3"/>
      <x:c r="H312" s="3"/>
      <x:c r="I312" s="9"/>
      <x:c r="J312" s="3"/>
      <x:c r="K312" s="3"/>
      <x:c r="L312" s="3"/>
      <x:c r="M312" s="1" t="str">
        <x:f>IF(B312="","",IF(W312="Invalid hours","Invalid hours",IF(NOT(ISNUMBER(X312)),"Excluded",IF(AND(J312&lt;&gt;"",K312&lt;&gt;"",L312&lt;&gt;"",COUNTIF('SOW caps'!$N$7:$N$36,A312&amp;"|"&amp;K312)=1),"Mapped","Needs allocation"))))</x:f>
      </x:c>
      <x:c r="N312" s="8" t="str">
        <x:f>IF(B312="","",IF(M312="Mapped",_xlfn.XLOOKUP(A312&amp;"|"&amp;K312,'SOW caps'!$N$7:$N$36,'SOW caps'!$E$7:$E$36,""),IF(ISNUMBER('SOW caps'!$B$3),'SOW caps'!$B$3,"")))</x:f>
      </x:c>
      <x:c r="O312" s="8" t="str">
        <x:f>IF(AND(ISNUMBER(X312),ISNUMBER(N312),N312&gt;=0),X312*N312,"")</x:f>
      </x:c>
      <x:c r="P312" s="3"/>
      <x:c r="Q312" s="3"/>
      <x:c r="R312" s="3"/>
      <x:c r="S312" s="3"/>
      <x:c r="T312" s="3"/>
      <x:c r="U312" s="8" t="str">
        <x:f>IF(M312="Mapped",IF(OR(_xlfn.XLOOKUP(A312&amp;"|"&amp;K312,'SOW caps'!$N$7:$N$36,'SOW caps'!$M$7:$M$36,"")="Ready",_xlfn.XLOOKUP(A312&amp;"|"&amp;K312,'SOW caps'!$N$7:$N$36,'SOW caps'!$M$7:$M$36,"")="No hours"),_xlfn.XLOOKUP(A312&amp;"|"&amp;K312,'SOW caps'!$N$7:$N$36,'SOW caps'!$O$7:$O$36,""),""),"")</x:f>
      </x:c>
      <x:c r="V312" s="8" t="str">
        <x:f>IF(AND(ISNUMBER(U312),ISNUMBER(X312)),ROUND(SUMIFS($X$7:X312,$A$7:A312,A312,$K$7:K312,K312,$M$7:M312,"Mapped")*U312,2)-ROUND((SUMIFS($X$7:X312,$A$7:A312,A312,$K$7:K312,K312,$M$7:M312,"Mapped")-X312)*U312,2),"")</x:f>
      </x:c>
      <x:c r="W312" s="1" t="str">
        <x:f>IF(B312="","",IF(OR(NOT(ISNUMBER(I312)),I312&lt;0),"Invalid hours",IF(NOT(ISNUMBER(R312)),"Manual hours",IF(ROUND(I312*3600000,0)=R312,"Source hours","Adjusted hours"))))</x:f>
      </x:c>
      <x:c r="X312" s="10" t="str">
        <x:f>IF(B312="","",IF(AND(ISNUMBER(I312),I312&gt;=0,Q312="In period"),I312,""))</x:f>
      </x:c>
    </x:row>
    <x:row r="313" ht="23" customHeight="1">
      <x:c r="A313" s="3"/>
      <x:c r="B313" s="3"/>
      <x:c r="C313" s="3"/>
      <x:c r="D313" s="3"/>
      <x:c r="E313" s="3"/>
      <x:c r="F313" s="3"/>
      <x:c r="G313" s="3"/>
      <x:c r="H313" s="3"/>
      <x:c r="I313" s="9"/>
      <x:c r="J313" s="3"/>
      <x:c r="K313" s="3"/>
      <x:c r="L313" s="3"/>
      <x:c r="M313" s="1" t="str">
        <x:f>IF(B313="","",IF(W313="Invalid hours","Invalid hours",IF(NOT(ISNUMBER(X313)),"Excluded",IF(AND(J313&lt;&gt;"",K313&lt;&gt;"",L313&lt;&gt;"",COUNTIF('SOW caps'!$N$7:$N$36,A313&amp;"|"&amp;K313)=1),"Mapped","Needs allocation"))))</x:f>
      </x:c>
      <x:c r="N313" s="8" t="str">
        <x:f>IF(B313="","",IF(M313="Mapped",_xlfn.XLOOKUP(A313&amp;"|"&amp;K313,'SOW caps'!$N$7:$N$36,'SOW caps'!$E$7:$E$36,""),IF(ISNUMBER('SOW caps'!$B$3),'SOW caps'!$B$3,"")))</x:f>
      </x:c>
      <x:c r="O313" s="8" t="str">
        <x:f>IF(AND(ISNUMBER(X313),ISNUMBER(N313),N313&gt;=0),X313*N313,"")</x:f>
      </x:c>
      <x:c r="P313" s="3"/>
      <x:c r="Q313" s="3"/>
      <x:c r="R313" s="3"/>
      <x:c r="S313" s="3"/>
      <x:c r="T313" s="3"/>
      <x:c r="U313" s="8" t="str">
        <x:f>IF(M313="Mapped",IF(OR(_xlfn.XLOOKUP(A313&amp;"|"&amp;K313,'SOW caps'!$N$7:$N$36,'SOW caps'!$M$7:$M$36,"")="Ready",_xlfn.XLOOKUP(A313&amp;"|"&amp;K313,'SOW caps'!$N$7:$N$36,'SOW caps'!$M$7:$M$36,"")="No hours"),_xlfn.XLOOKUP(A313&amp;"|"&amp;K313,'SOW caps'!$N$7:$N$36,'SOW caps'!$O$7:$O$36,""),""),"")</x:f>
      </x:c>
      <x:c r="V313" s="8" t="str">
        <x:f>IF(AND(ISNUMBER(U313),ISNUMBER(X313)),ROUND(SUMIFS($X$7:X313,$A$7:A313,A313,$K$7:K313,K313,$M$7:M313,"Mapped")*U313,2)-ROUND((SUMIFS($X$7:X313,$A$7:A313,A313,$K$7:K313,K313,$M$7:M313,"Mapped")-X313)*U313,2),"")</x:f>
      </x:c>
      <x:c r="W313" s="1" t="str">
        <x:f>IF(B313="","",IF(OR(NOT(ISNUMBER(I313)),I313&lt;0),"Invalid hours",IF(NOT(ISNUMBER(R313)),"Manual hours",IF(ROUND(I313*3600000,0)=R313,"Source hours","Adjusted hours"))))</x:f>
      </x:c>
      <x:c r="X313" s="10" t="str">
        <x:f>IF(B313="","",IF(AND(ISNUMBER(I313),I313&gt;=0,Q313="In period"),I313,""))</x:f>
      </x:c>
    </x:row>
    <x:row r="314" ht="23" customHeight="1">
      <x:c r="A314" s="3"/>
      <x:c r="B314" s="3"/>
      <x:c r="C314" s="3"/>
      <x:c r="D314" s="3"/>
      <x:c r="E314" s="3"/>
      <x:c r="F314" s="3"/>
      <x:c r="G314" s="3"/>
      <x:c r="H314" s="3"/>
      <x:c r="I314" s="9"/>
      <x:c r="J314" s="3"/>
      <x:c r="K314" s="3"/>
      <x:c r="L314" s="3"/>
      <x:c r="M314" s="1" t="str">
        <x:f>IF(B314="","",IF(W314="Invalid hours","Invalid hours",IF(NOT(ISNUMBER(X314)),"Excluded",IF(AND(J314&lt;&gt;"",K314&lt;&gt;"",L314&lt;&gt;"",COUNTIF('SOW caps'!$N$7:$N$36,A314&amp;"|"&amp;K314)=1),"Mapped","Needs allocation"))))</x:f>
      </x:c>
      <x:c r="N314" s="8" t="str">
        <x:f>IF(B314="","",IF(M314="Mapped",_xlfn.XLOOKUP(A314&amp;"|"&amp;K314,'SOW caps'!$N$7:$N$36,'SOW caps'!$E$7:$E$36,""),IF(ISNUMBER('SOW caps'!$B$3),'SOW caps'!$B$3,"")))</x:f>
      </x:c>
      <x:c r="O314" s="8" t="str">
        <x:f>IF(AND(ISNUMBER(X314),ISNUMBER(N314),N314&gt;=0),X314*N314,"")</x:f>
      </x:c>
      <x:c r="P314" s="3"/>
      <x:c r="Q314" s="3"/>
      <x:c r="R314" s="3"/>
      <x:c r="S314" s="3"/>
      <x:c r="T314" s="3"/>
      <x:c r="U314" s="8" t="str">
        <x:f>IF(M314="Mapped",IF(OR(_xlfn.XLOOKUP(A314&amp;"|"&amp;K314,'SOW caps'!$N$7:$N$36,'SOW caps'!$M$7:$M$36,"")="Ready",_xlfn.XLOOKUP(A314&amp;"|"&amp;K314,'SOW caps'!$N$7:$N$36,'SOW caps'!$M$7:$M$36,"")="No hours"),_xlfn.XLOOKUP(A314&amp;"|"&amp;K314,'SOW caps'!$N$7:$N$36,'SOW caps'!$O$7:$O$36,""),""),"")</x:f>
      </x:c>
      <x:c r="V314" s="8" t="str">
        <x:f>IF(AND(ISNUMBER(U314),ISNUMBER(X314)),ROUND(SUMIFS($X$7:X314,$A$7:A314,A314,$K$7:K314,K314,$M$7:M314,"Mapped")*U314,2)-ROUND((SUMIFS($X$7:X314,$A$7:A314,A314,$K$7:K314,K314,$M$7:M314,"Mapped")-X314)*U314,2),"")</x:f>
      </x:c>
      <x:c r="W314" s="1" t="str">
        <x:f>IF(B314="","",IF(OR(NOT(ISNUMBER(I314)),I314&lt;0),"Invalid hours",IF(NOT(ISNUMBER(R314)),"Manual hours",IF(ROUND(I314*3600000,0)=R314,"Source hours","Adjusted hours"))))</x:f>
      </x:c>
      <x:c r="X314" s="10" t="str">
        <x:f>IF(B314="","",IF(AND(ISNUMBER(I314),I314&gt;=0,Q314="In period"),I314,""))</x:f>
      </x:c>
    </x:row>
    <x:row r="315" ht="23" customHeight="1">
      <x:c r="A315" s="3"/>
      <x:c r="B315" s="3"/>
      <x:c r="C315" s="3"/>
      <x:c r="D315" s="3"/>
      <x:c r="E315" s="3"/>
      <x:c r="F315" s="3"/>
      <x:c r="G315" s="3"/>
      <x:c r="H315" s="3"/>
      <x:c r="I315" s="9"/>
      <x:c r="J315" s="3"/>
      <x:c r="K315" s="3"/>
      <x:c r="L315" s="3"/>
      <x:c r="M315" s="1" t="str">
        <x:f>IF(B315="","",IF(W315="Invalid hours","Invalid hours",IF(NOT(ISNUMBER(X315)),"Excluded",IF(AND(J315&lt;&gt;"",K315&lt;&gt;"",L315&lt;&gt;"",COUNTIF('SOW caps'!$N$7:$N$36,A315&amp;"|"&amp;K315)=1),"Mapped","Needs allocation"))))</x:f>
      </x:c>
      <x:c r="N315" s="8" t="str">
        <x:f>IF(B315="","",IF(M315="Mapped",_xlfn.XLOOKUP(A315&amp;"|"&amp;K315,'SOW caps'!$N$7:$N$36,'SOW caps'!$E$7:$E$36,""),IF(ISNUMBER('SOW caps'!$B$3),'SOW caps'!$B$3,"")))</x:f>
      </x:c>
      <x:c r="O315" s="8" t="str">
        <x:f>IF(AND(ISNUMBER(X315),ISNUMBER(N315),N315&gt;=0),X315*N315,"")</x:f>
      </x:c>
      <x:c r="P315" s="3"/>
      <x:c r="Q315" s="3"/>
      <x:c r="R315" s="3"/>
      <x:c r="S315" s="3"/>
      <x:c r="T315" s="3"/>
      <x:c r="U315" s="8" t="str">
        <x:f>IF(M315="Mapped",IF(OR(_xlfn.XLOOKUP(A315&amp;"|"&amp;K315,'SOW caps'!$N$7:$N$36,'SOW caps'!$M$7:$M$36,"")="Ready",_xlfn.XLOOKUP(A315&amp;"|"&amp;K315,'SOW caps'!$N$7:$N$36,'SOW caps'!$M$7:$M$36,"")="No hours"),_xlfn.XLOOKUP(A315&amp;"|"&amp;K315,'SOW caps'!$N$7:$N$36,'SOW caps'!$O$7:$O$36,""),""),"")</x:f>
      </x:c>
      <x:c r="V315" s="8" t="str">
        <x:f>IF(AND(ISNUMBER(U315),ISNUMBER(X315)),ROUND(SUMIFS($X$7:X315,$A$7:A315,A315,$K$7:K315,K315,$M$7:M315,"Mapped")*U315,2)-ROUND((SUMIFS($X$7:X315,$A$7:A315,A315,$K$7:K315,K315,$M$7:M315,"Mapped")-X315)*U315,2),"")</x:f>
      </x:c>
      <x:c r="W315" s="1" t="str">
        <x:f>IF(B315="","",IF(OR(NOT(ISNUMBER(I315)),I315&lt;0),"Invalid hours",IF(NOT(ISNUMBER(R315)),"Manual hours",IF(ROUND(I315*3600000,0)=R315,"Source hours","Adjusted hours"))))</x:f>
      </x:c>
      <x:c r="X315" s="10" t="str">
        <x:f>IF(B315="","",IF(AND(ISNUMBER(I315),I315&gt;=0,Q315="In period"),I315,""))</x:f>
      </x:c>
    </x:row>
    <x:row r="316" ht="23" customHeight="1">
      <x:c r="A316" s="3"/>
      <x:c r="B316" s="3"/>
      <x:c r="C316" s="3"/>
      <x:c r="D316" s="3"/>
      <x:c r="E316" s="3"/>
      <x:c r="F316" s="3"/>
      <x:c r="G316" s="3"/>
      <x:c r="H316" s="3"/>
      <x:c r="I316" s="9"/>
      <x:c r="J316" s="3"/>
      <x:c r="K316" s="3"/>
      <x:c r="L316" s="3"/>
      <x:c r="M316" s="1" t="str">
        <x:f>IF(B316="","",IF(W316="Invalid hours","Invalid hours",IF(NOT(ISNUMBER(X316)),"Excluded",IF(AND(J316&lt;&gt;"",K316&lt;&gt;"",L316&lt;&gt;"",COUNTIF('SOW caps'!$N$7:$N$36,A316&amp;"|"&amp;K316)=1),"Mapped","Needs allocation"))))</x:f>
      </x:c>
      <x:c r="N316" s="8" t="str">
        <x:f>IF(B316="","",IF(M316="Mapped",_xlfn.XLOOKUP(A316&amp;"|"&amp;K316,'SOW caps'!$N$7:$N$36,'SOW caps'!$E$7:$E$36,""),IF(ISNUMBER('SOW caps'!$B$3),'SOW caps'!$B$3,"")))</x:f>
      </x:c>
      <x:c r="O316" s="8" t="str">
        <x:f>IF(AND(ISNUMBER(X316),ISNUMBER(N316),N316&gt;=0),X316*N316,"")</x:f>
      </x:c>
      <x:c r="P316" s="3"/>
      <x:c r="Q316" s="3"/>
      <x:c r="R316" s="3"/>
      <x:c r="S316" s="3"/>
      <x:c r="T316" s="3"/>
      <x:c r="U316" s="8" t="str">
        <x:f>IF(M316="Mapped",IF(OR(_xlfn.XLOOKUP(A316&amp;"|"&amp;K316,'SOW caps'!$N$7:$N$36,'SOW caps'!$M$7:$M$36,"")="Ready",_xlfn.XLOOKUP(A316&amp;"|"&amp;K316,'SOW caps'!$N$7:$N$36,'SOW caps'!$M$7:$M$36,"")="No hours"),_xlfn.XLOOKUP(A316&amp;"|"&amp;K316,'SOW caps'!$N$7:$N$36,'SOW caps'!$O$7:$O$36,""),""),"")</x:f>
      </x:c>
      <x:c r="V316" s="8" t="str">
        <x:f>IF(AND(ISNUMBER(U316),ISNUMBER(X316)),ROUND(SUMIFS($X$7:X316,$A$7:A316,A316,$K$7:K316,K316,$M$7:M316,"Mapped")*U316,2)-ROUND((SUMIFS($X$7:X316,$A$7:A316,A316,$K$7:K316,K316,$M$7:M316,"Mapped")-X316)*U316,2),"")</x:f>
      </x:c>
      <x:c r="W316" s="1" t="str">
        <x:f>IF(B316="","",IF(OR(NOT(ISNUMBER(I316)),I316&lt;0),"Invalid hours",IF(NOT(ISNUMBER(R316)),"Manual hours",IF(ROUND(I316*3600000,0)=R316,"Source hours","Adjusted hours"))))</x:f>
      </x:c>
      <x:c r="X316" s="10" t="str">
        <x:f>IF(B316="","",IF(AND(ISNUMBER(I316),I316&gt;=0,Q316="In period"),I316,""))</x:f>
      </x:c>
    </x:row>
    <x:row r="317" ht="23" customHeight="1">
      <x:c r="A317" s="3"/>
      <x:c r="B317" s="3"/>
      <x:c r="C317" s="3"/>
      <x:c r="D317" s="3"/>
      <x:c r="E317" s="3"/>
      <x:c r="F317" s="3"/>
      <x:c r="G317" s="3"/>
      <x:c r="H317" s="3"/>
      <x:c r="I317" s="9"/>
      <x:c r="J317" s="3"/>
      <x:c r="K317" s="3"/>
      <x:c r="L317" s="3"/>
      <x:c r="M317" s="1" t="str">
        <x:f>IF(B317="","",IF(W317="Invalid hours","Invalid hours",IF(NOT(ISNUMBER(X317)),"Excluded",IF(AND(J317&lt;&gt;"",K317&lt;&gt;"",L317&lt;&gt;"",COUNTIF('SOW caps'!$N$7:$N$36,A317&amp;"|"&amp;K317)=1),"Mapped","Needs allocation"))))</x:f>
      </x:c>
      <x:c r="N317" s="8" t="str">
        <x:f>IF(B317="","",IF(M317="Mapped",_xlfn.XLOOKUP(A317&amp;"|"&amp;K317,'SOW caps'!$N$7:$N$36,'SOW caps'!$E$7:$E$36,""),IF(ISNUMBER('SOW caps'!$B$3),'SOW caps'!$B$3,"")))</x:f>
      </x:c>
      <x:c r="O317" s="8" t="str">
        <x:f>IF(AND(ISNUMBER(X317),ISNUMBER(N317),N317&gt;=0),X317*N317,"")</x:f>
      </x:c>
      <x:c r="P317" s="3"/>
      <x:c r="Q317" s="3"/>
      <x:c r="R317" s="3"/>
      <x:c r="S317" s="3"/>
      <x:c r="T317" s="3"/>
      <x:c r="U317" s="8" t="str">
        <x:f>IF(M317="Mapped",IF(OR(_xlfn.XLOOKUP(A317&amp;"|"&amp;K317,'SOW caps'!$N$7:$N$36,'SOW caps'!$M$7:$M$36,"")="Ready",_xlfn.XLOOKUP(A317&amp;"|"&amp;K317,'SOW caps'!$N$7:$N$36,'SOW caps'!$M$7:$M$36,"")="No hours"),_xlfn.XLOOKUP(A317&amp;"|"&amp;K317,'SOW caps'!$N$7:$N$36,'SOW caps'!$O$7:$O$36,""),""),"")</x:f>
      </x:c>
      <x:c r="V317" s="8" t="str">
        <x:f>IF(AND(ISNUMBER(U317),ISNUMBER(X317)),ROUND(SUMIFS($X$7:X317,$A$7:A317,A317,$K$7:K317,K317,$M$7:M317,"Mapped")*U317,2)-ROUND((SUMIFS($X$7:X317,$A$7:A317,A317,$K$7:K317,K317,$M$7:M317,"Mapped")-X317)*U317,2),"")</x:f>
      </x:c>
      <x:c r="W317" s="1" t="str">
        <x:f>IF(B317="","",IF(OR(NOT(ISNUMBER(I317)),I317&lt;0),"Invalid hours",IF(NOT(ISNUMBER(R317)),"Manual hours",IF(ROUND(I317*3600000,0)=R317,"Source hours","Adjusted hours"))))</x:f>
      </x:c>
      <x:c r="X317" s="10" t="str">
        <x:f>IF(B317="","",IF(AND(ISNUMBER(I317),I317&gt;=0,Q317="In period"),I317,""))</x:f>
      </x:c>
    </x:row>
    <x:row r="318" ht="23" customHeight="1">
      <x:c r="A318" s="3"/>
      <x:c r="B318" s="3"/>
      <x:c r="C318" s="3"/>
      <x:c r="D318" s="3"/>
      <x:c r="E318" s="3"/>
      <x:c r="F318" s="3"/>
      <x:c r="G318" s="3"/>
      <x:c r="H318" s="3"/>
      <x:c r="I318" s="9"/>
      <x:c r="J318" s="3"/>
      <x:c r="K318" s="3"/>
      <x:c r="L318" s="3"/>
      <x:c r="M318" s="1" t="str">
        <x:f>IF(B318="","",IF(W318="Invalid hours","Invalid hours",IF(NOT(ISNUMBER(X318)),"Excluded",IF(AND(J318&lt;&gt;"",K318&lt;&gt;"",L318&lt;&gt;"",COUNTIF('SOW caps'!$N$7:$N$36,A318&amp;"|"&amp;K318)=1),"Mapped","Needs allocation"))))</x:f>
      </x:c>
      <x:c r="N318" s="8" t="str">
        <x:f>IF(B318="","",IF(M318="Mapped",_xlfn.XLOOKUP(A318&amp;"|"&amp;K318,'SOW caps'!$N$7:$N$36,'SOW caps'!$E$7:$E$36,""),IF(ISNUMBER('SOW caps'!$B$3),'SOW caps'!$B$3,"")))</x:f>
      </x:c>
      <x:c r="O318" s="8" t="str">
        <x:f>IF(AND(ISNUMBER(X318),ISNUMBER(N318),N318&gt;=0),X318*N318,"")</x:f>
      </x:c>
      <x:c r="P318" s="3"/>
      <x:c r="Q318" s="3"/>
      <x:c r="R318" s="3"/>
      <x:c r="S318" s="3"/>
      <x:c r="T318" s="3"/>
      <x:c r="U318" s="8" t="str">
        <x:f>IF(M318="Mapped",IF(OR(_xlfn.XLOOKUP(A318&amp;"|"&amp;K318,'SOW caps'!$N$7:$N$36,'SOW caps'!$M$7:$M$36,"")="Ready",_xlfn.XLOOKUP(A318&amp;"|"&amp;K318,'SOW caps'!$N$7:$N$36,'SOW caps'!$M$7:$M$36,"")="No hours"),_xlfn.XLOOKUP(A318&amp;"|"&amp;K318,'SOW caps'!$N$7:$N$36,'SOW caps'!$O$7:$O$36,""),""),"")</x:f>
      </x:c>
      <x:c r="V318" s="8" t="str">
        <x:f>IF(AND(ISNUMBER(U318),ISNUMBER(X318)),ROUND(SUMIFS($X$7:X318,$A$7:A318,A318,$K$7:K318,K318,$M$7:M318,"Mapped")*U318,2)-ROUND((SUMIFS($X$7:X318,$A$7:A318,A318,$K$7:K318,K318,$M$7:M318,"Mapped")-X318)*U318,2),"")</x:f>
      </x:c>
      <x:c r="W318" s="1" t="str">
        <x:f>IF(B318="","",IF(OR(NOT(ISNUMBER(I318)),I318&lt;0),"Invalid hours",IF(NOT(ISNUMBER(R318)),"Manual hours",IF(ROUND(I318*3600000,0)=R318,"Source hours","Adjusted hours"))))</x:f>
      </x:c>
      <x:c r="X318" s="10" t="str">
        <x:f>IF(B318="","",IF(AND(ISNUMBER(I318),I318&gt;=0,Q318="In period"),I318,""))</x:f>
      </x:c>
    </x:row>
    <x:row r="319" ht="23" customHeight="1">
      <x:c r="A319" s="3"/>
      <x:c r="B319" s="3"/>
      <x:c r="C319" s="3"/>
      <x:c r="D319" s="3"/>
      <x:c r="E319" s="3"/>
      <x:c r="F319" s="3"/>
      <x:c r="G319" s="3"/>
      <x:c r="H319" s="3"/>
      <x:c r="I319" s="9"/>
      <x:c r="J319" s="3"/>
      <x:c r="K319" s="3"/>
      <x:c r="L319" s="3"/>
      <x:c r="M319" s="1" t="str">
        <x:f>IF(B319="","",IF(W319="Invalid hours","Invalid hours",IF(NOT(ISNUMBER(X319)),"Excluded",IF(AND(J319&lt;&gt;"",K319&lt;&gt;"",L319&lt;&gt;"",COUNTIF('SOW caps'!$N$7:$N$36,A319&amp;"|"&amp;K319)=1),"Mapped","Needs allocation"))))</x:f>
      </x:c>
      <x:c r="N319" s="8" t="str">
        <x:f>IF(B319="","",IF(M319="Mapped",_xlfn.XLOOKUP(A319&amp;"|"&amp;K319,'SOW caps'!$N$7:$N$36,'SOW caps'!$E$7:$E$36,""),IF(ISNUMBER('SOW caps'!$B$3),'SOW caps'!$B$3,"")))</x:f>
      </x:c>
      <x:c r="O319" s="8" t="str">
        <x:f>IF(AND(ISNUMBER(X319),ISNUMBER(N319),N319&gt;=0),X319*N319,"")</x:f>
      </x:c>
      <x:c r="P319" s="3"/>
      <x:c r="Q319" s="3"/>
      <x:c r="R319" s="3"/>
      <x:c r="S319" s="3"/>
      <x:c r="T319" s="3"/>
      <x:c r="U319" s="8" t="str">
        <x:f>IF(M319="Mapped",IF(OR(_xlfn.XLOOKUP(A319&amp;"|"&amp;K319,'SOW caps'!$N$7:$N$36,'SOW caps'!$M$7:$M$36,"")="Ready",_xlfn.XLOOKUP(A319&amp;"|"&amp;K319,'SOW caps'!$N$7:$N$36,'SOW caps'!$M$7:$M$36,"")="No hours"),_xlfn.XLOOKUP(A319&amp;"|"&amp;K319,'SOW caps'!$N$7:$N$36,'SOW caps'!$O$7:$O$36,""),""),"")</x:f>
      </x:c>
      <x:c r="V319" s="8" t="str">
        <x:f>IF(AND(ISNUMBER(U319),ISNUMBER(X319)),ROUND(SUMIFS($X$7:X319,$A$7:A319,A319,$K$7:K319,K319,$M$7:M319,"Mapped")*U319,2)-ROUND((SUMIFS($X$7:X319,$A$7:A319,A319,$K$7:K319,K319,$M$7:M319,"Mapped")-X319)*U319,2),"")</x:f>
      </x:c>
      <x:c r="W319" s="1" t="str">
        <x:f>IF(B319="","",IF(OR(NOT(ISNUMBER(I319)),I319&lt;0),"Invalid hours",IF(NOT(ISNUMBER(R319)),"Manual hours",IF(ROUND(I319*3600000,0)=R319,"Source hours","Adjusted hours"))))</x:f>
      </x:c>
      <x:c r="X319" s="10" t="str">
        <x:f>IF(B319="","",IF(AND(ISNUMBER(I319),I319&gt;=0,Q319="In period"),I319,""))</x:f>
      </x:c>
    </x:row>
    <x:row r="320" ht="23" customHeight="1">
      <x:c r="A320" s="3"/>
      <x:c r="B320" s="3"/>
      <x:c r="C320" s="3"/>
      <x:c r="D320" s="3"/>
      <x:c r="E320" s="3"/>
      <x:c r="F320" s="3"/>
      <x:c r="G320" s="3"/>
      <x:c r="H320" s="3"/>
      <x:c r="I320" s="9"/>
      <x:c r="J320" s="3"/>
      <x:c r="K320" s="3"/>
      <x:c r="L320" s="3"/>
      <x:c r="M320" s="1" t="str">
        <x:f>IF(B320="","",IF(W320="Invalid hours","Invalid hours",IF(NOT(ISNUMBER(X320)),"Excluded",IF(AND(J320&lt;&gt;"",K320&lt;&gt;"",L320&lt;&gt;"",COUNTIF('SOW caps'!$N$7:$N$36,A320&amp;"|"&amp;K320)=1),"Mapped","Needs allocation"))))</x:f>
      </x:c>
      <x:c r="N320" s="8" t="str">
        <x:f>IF(B320="","",IF(M320="Mapped",_xlfn.XLOOKUP(A320&amp;"|"&amp;K320,'SOW caps'!$N$7:$N$36,'SOW caps'!$E$7:$E$36,""),IF(ISNUMBER('SOW caps'!$B$3),'SOW caps'!$B$3,"")))</x:f>
      </x:c>
      <x:c r="O320" s="8" t="str">
        <x:f>IF(AND(ISNUMBER(X320),ISNUMBER(N320),N320&gt;=0),X320*N320,"")</x:f>
      </x:c>
      <x:c r="P320" s="3"/>
      <x:c r="Q320" s="3"/>
      <x:c r="R320" s="3"/>
      <x:c r="S320" s="3"/>
      <x:c r="T320" s="3"/>
      <x:c r="U320" s="8" t="str">
        <x:f>IF(M320="Mapped",IF(OR(_xlfn.XLOOKUP(A320&amp;"|"&amp;K320,'SOW caps'!$N$7:$N$36,'SOW caps'!$M$7:$M$36,"")="Ready",_xlfn.XLOOKUP(A320&amp;"|"&amp;K320,'SOW caps'!$N$7:$N$36,'SOW caps'!$M$7:$M$36,"")="No hours"),_xlfn.XLOOKUP(A320&amp;"|"&amp;K320,'SOW caps'!$N$7:$N$36,'SOW caps'!$O$7:$O$36,""),""),"")</x:f>
      </x:c>
      <x:c r="V320" s="8" t="str">
        <x:f>IF(AND(ISNUMBER(U320),ISNUMBER(X320)),ROUND(SUMIFS($X$7:X320,$A$7:A320,A320,$K$7:K320,K320,$M$7:M320,"Mapped")*U320,2)-ROUND((SUMIFS($X$7:X320,$A$7:A320,A320,$K$7:K320,K320,$M$7:M320,"Mapped")-X320)*U320,2),"")</x:f>
      </x:c>
      <x:c r="W320" s="1" t="str">
        <x:f>IF(B320="","",IF(OR(NOT(ISNUMBER(I320)),I320&lt;0),"Invalid hours",IF(NOT(ISNUMBER(R320)),"Manual hours",IF(ROUND(I320*3600000,0)=R320,"Source hours","Adjusted hours"))))</x:f>
      </x:c>
      <x:c r="X320" s="10" t="str">
        <x:f>IF(B320="","",IF(AND(ISNUMBER(I320),I320&gt;=0,Q320="In period"),I320,""))</x:f>
      </x:c>
    </x:row>
    <x:row r="321" ht="23" customHeight="1">
      <x:c r="A321" s="3"/>
      <x:c r="B321" s="3"/>
      <x:c r="C321" s="3"/>
      <x:c r="D321" s="3"/>
      <x:c r="E321" s="3"/>
      <x:c r="F321" s="3"/>
      <x:c r="G321" s="3"/>
      <x:c r="H321" s="3"/>
      <x:c r="I321" s="9"/>
      <x:c r="J321" s="3"/>
      <x:c r="K321" s="3"/>
      <x:c r="L321" s="3"/>
      <x:c r="M321" s="1" t="str">
        <x:f>IF(B321="","",IF(W321="Invalid hours","Invalid hours",IF(NOT(ISNUMBER(X321)),"Excluded",IF(AND(J321&lt;&gt;"",K321&lt;&gt;"",L321&lt;&gt;"",COUNTIF('SOW caps'!$N$7:$N$36,A321&amp;"|"&amp;K321)=1),"Mapped","Needs allocation"))))</x:f>
      </x:c>
      <x:c r="N321" s="8" t="str">
        <x:f>IF(B321="","",IF(M321="Mapped",_xlfn.XLOOKUP(A321&amp;"|"&amp;K321,'SOW caps'!$N$7:$N$36,'SOW caps'!$E$7:$E$36,""),IF(ISNUMBER('SOW caps'!$B$3),'SOW caps'!$B$3,"")))</x:f>
      </x:c>
      <x:c r="O321" s="8" t="str">
        <x:f>IF(AND(ISNUMBER(X321),ISNUMBER(N321),N321&gt;=0),X321*N321,"")</x:f>
      </x:c>
      <x:c r="P321" s="3"/>
      <x:c r="Q321" s="3"/>
      <x:c r="R321" s="3"/>
      <x:c r="S321" s="3"/>
      <x:c r="T321" s="3"/>
      <x:c r="U321" s="8" t="str">
        <x:f>IF(M321="Mapped",IF(OR(_xlfn.XLOOKUP(A321&amp;"|"&amp;K321,'SOW caps'!$N$7:$N$36,'SOW caps'!$M$7:$M$36,"")="Ready",_xlfn.XLOOKUP(A321&amp;"|"&amp;K321,'SOW caps'!$N$7:$N$36,'SOW caps'!$M$7:$M$36,"")="No hours"),_xlfn.XLOOKUP(A321&amp;"|"&amp;K321,'SOW caps'!$N$7:$N$36,'SOW caps'!$O$7:$O$36,""),""),"")</x:f>
      </x:c>
      <x:c r="V321" s="8" t="str">
        <x:f>IF(AND(ISNUMBER(U321),ISNUMBER(X321)),ROUND(SUMIFS($X$7:X321,$A$7:A321,A321,$K$7:K321,K321,$M$7:M321,"Mapped")*U321,2)-ROUND((SUMIFS($X$7:X321,$A$7:A321,A321,$K$7:K321,K321,$M$7:M321,"Mapped")-X321)*U321,2),"")</x:f>
      </x:c>
      <x:c r="W321" s="1" t="str">
        <x:f>IF(B321="","",IF(OR(NOT(ISNUMBER(I321)),I321&lt;0),"Invalid hours",IF(NOT(ISNUMBER(R321)),"Manual hours",IF(ROUND(I321*3600000,0)=R321,"Source hours","Adjusted hours"))))</x:f>
      </x:c>
      <x:c r="X321" s="10" t="str">
        <x:f>IF(B321="","",IF(AND(ISNUMBER(I321),I321&gt;=0,Q321="In period"),I321,""))</x:f>
      </x:c>
    </x:row>
    <x:row r="322" ht="23" customHeight="1">
      <x:c r="A322" s="3"/>
      <x:c r="B322" s="3"/>
      <x:c r="C322" s="3"/>
      <x:c r="D322" s="3"/>
      <x:c r="E322" s="3"/>
      <x:c r="F322" s="3"/>
      <x:c r="G322" s="3"/>
      <x:c r="H322" s="3"/>
      <x:c r="I322" s="9"/>
      <x:c r="J322" s="3"/>
      <x:c r="K322" s="3"/>
      <x:c r="L322" s="3"/>
      <x:c r="M322" s="1" t="str">
        <x:f>IF(B322="","",IF(W322="Invalid hours","Invalid hours",IF(NOT(ISNUMBER(X322)),"Excluded",IF(AND(J322&lt;&gt;"",K322&lt;&gt;"",L322&lt;&gt;"",COUNTIF('SOW caps'!$N$7:$N$36,A322&amp;"|"&amp;K322)=1),"Mapped","Needs allocation"))))</x:f>
      </x:c>
      <x:c r="N322" s="8" t="str">
        <x:f>IF(B322="","",IF(M322="Mapped",_xlfn.XLOOKUP(A322&amp;"|"&amp;K322,'SOW caps'!$N$7:$N$36,'SOW caps'!$E$7:$E$36,""),IF(ISNUMBER('SOW caps'!$B$3),'SOW caps'!$B$3,"")))</x:f>
      </x:c>
      <x:c r="O322" s="8" t="str">
        <x:f>IF(AND(ISNUMBER(X322),ISNUMBER(N322),N322&gt;=0),X322*N322,"")</x:f>
      </x:c>
      <x:c r="P322" s="3"/>
      <x:c r="Q322" s="3"/>
      <x:c r="R322" s="3"/>
      <x:c r="S322" s="3"/>
      <x:c r="T322" s="3"/>
      <x:c r="U322" s="8" t="str">
        <x:f>IF(M322="Mapped",IF(OR(_xlfn.XLOOKUP(A322&amp;"|"&amp;K322,'SOW caps'!$N$7:$N$36,'SOW caps'!$M$7:$M$36,"")="Ready",_xlfn.XLOOKUP(A322&amp;"|"&amp;K322,'SOW caps'!$N$7:$N$36,'SOW caps'!$M$7:$M$36,"")="No hours"),_xlfn.XLOOKUP(A322&amp;"|"&amp;K322,'SOW caps'!$N$7:$N$36,'SOW caps'!$O$7:$O$36,""),""),"")</x:f>
      </x:c>
      <x:c r="V322" s="8" t="str">
        <x:f>IF(AND(ISNUMBER(U322),ISNUMBER(X322)),ROUND(SUMIFS($X$7:X322,$A$7:A322,A322,$K$7:K322,K322,$M$7:M322,"Mapped")*U322,2)-ROUND((SUMIFS($X$7:X322,$A$7:A322,A322,$K$7:K322,K322,$M$7:M322,"Mapped")-X322)*U322,2),"")</x:f>
      </x:c>
      <x:c r="W322" s="1" t="str">
        <x:f>IF(B322="","",IF(OR(NOT(ISNUMBER(I322)),I322&lt;0),"Invalid hours",IF(NOT(ISNUMBER(R322)),"Manual hours",IF(ROUND(I322*3600000,0)=R322,"Source hours","Adjusted hours"))))</x:f>
      </x:c>
      <x:c r="X322" s="10" t="str">
        <x:f>IF(B322="","",IF(AND(ISNUMBER(I322),I322&gt;=0,Q322="In period"),I322,""))</x:f>
      </x:c>
    </x:row>
    <x:row r="323" ht="23" customHeight="1">
      <x:c r="A323" s="3"/>
      <x:c r="B323" s="3"/>
      <x:c r="C323" s="3"/>
      <x:c r="D323" s="3"/>
      <x:c r="E323" s="3"/>
      <x:c r="F323" s="3"/>
      <x:c r="G323" s="3"/>
      <x:c r="H323" s="3"/>
      <x:c r="I323" s="9"/>
      <x:c r="J323" s="3"/>
      <x:c r="K323" s="3"/>
      <x:c r="L323" s="3"/>
      <x:c r="M323" s="1" t="str">
        <x:f>IF(B323="","",IF(W323="Invalid hours","Invalid hours",IF(NOT(ISNUMBER(X323)),"Excluded",IF(AND(J323&lt;&gt;"",K323&lt;&gt;"",L323&lt;&gt;"",COUNTIF('SOW caps'!$N$7:$N$36,A323&amp;"|"&amp;K323)=1),"Mapped","Needs allocation"))))</x:f>
      </x:c>
      <x:c r="N323" s="8" t="str">
        <x:f>IF(B323="","",IF(M323="Mapped",_xlfn.XLOOKUP(A323&amp;"|"&amp;K323,'SOW caps'!$N$7:$N$36,'SOW caps'!$E$7:$E$36,""),IF(ISNUMBER('SOW caps'!$B$3),'SOW caps'!$B$3,"")))</x:f>
      </x:c>
      <x:c r="O323" s="8" t="str">
        <x:f>IF(AND(ISNUMBER(X323),ISNUMBER(N323),N323&gt;=0),X323*N323,"")</x:f>
      </x:c>
      <x:c r="P323" s="3"/>
      <x:c r="Q323" s="3"/>
      <x:c r="R323" s="3"/>
      <x:c r="S323" s="3"/>
      <x:c r="T323" s="3"/>
      <x:c r="U323" s="8" t="str">
        <x:f>IF(M323="Mapped",IF(OR(_xlfn.XLOOKUP(A323&amp;"|"&amp;K323,'SOW caps'!$N$7:$N$36,'SOW caps'!$M$7:$M$36,"")="Ready",_xlfn.XLOOKUP(A323&amp;"|"&amp;K323,'SOW caps'!$N$7:$N$36,'SOW caps'!$M$7:$M$36,"")="No hours"),_xlfn.XLOOKUP(A323&amp;"|"&amp;K323,'SOW caps'!$N$7:$N$36,'SOW caps'!$O$7:$O$36,""),""),"")</x:f>
      </x:c>
      <x:c r="V323" s="8" t="str">
        <x:f>IF(AND(ISNUMBER(U323),ISNUMBER(X323)),ROUND(SUMIFS($X$7:X323,$A$7:A323,A323,$K$7:K323,K323,$M$7:M323,"Mapped")*U323,2)-ROUND((SUMIFS($X$7:X323,$A$7:A323,A323,$K$7:K323,K323,$M$7:M323,"Mapped")-X323)*U323,2),"")</x:f>
      </x:c>
      <x:c r="W323" s="1" t="str">
        <x:f>IF(B323="","",IF(OR(NOT(ISNUMBER(I323)),I323&lt;0),"Invalid hours",IF(NOT(ISNUMBER(R323)),"Manual hours",IF(ROUND(I323*3600000,0)=R323,"Source hours","Adjusted hours"))))</x:f>
      </x:c>
      <x:c r="X323" s="10" t="str">
        <x:f>IF(B323="","",IF(AND(ISNUMBER(I323),I323&gt;=0,Q323="In period"),I323,""))</x:f>
      </x:c>
    </x:row>
    <x:row r="324" ht="23" customHeight="1">
      <x:c r="A324" s="3"/>
      <x:c r="B324" s="3"/>
      <x:c r="C324" s="3"/>
      <x:c r="D324" s="3"/>
      <x:c r="E324" s="3"/>
      <x:c r="F324" s="3"/>
      <x:c r="G324" s="3"/>
      <x:c r="H324" s="3"/>
      <x:c r="I324" s="9"/>
      <x:c r="J324" s="3"/>
      <x:c r="K324" s="3"/>
      <x:c r="L324" s="3"/>
      <x:c r="M324" s="1" t="str">
        <x:f>IF(B324="","",IF(W324="Invalid hours","Invalid hours",IF(NOT(ISNUMBER(X324)),"Excluded",IF(AND(J324&lt;&gt;"",K324&lt;&gt;"",L324&lt;&gt;"",COUNTIF('SOW caps'!$N$7:$N$36,A324&amp;"|"&amp;K324)=1),"Mapped","Needs allocation"))))</x:f>
      </x:c>
      <x:c r="N324" s="8" t="str">
        <x:f>IF(B324="","",IF(M324="Mapped",_xlfn.XLOOKUP(A324&amp;"|"&amp;K324,'SOW caps'!$N$7:$N$36,'SOW caps'!$E$7:$E$36,""),IF(ISNUMBER('SOW caps'!$B$3),'SOW caps'!$B$3,"")))</x:f>
      </x:c>
      <x:c r="O324" s="8" t="str">
        <x:f>IF(AND(ISNUMBER(X324),ISNUMBER(N324),N324&gt;=0),X324*N324,"")</x:f>
      </x:c>
      <x:c r="P324" s="3"/>
      <x:c r="Q324" s="3"/>
      <x:c r="R324" s="3"/>
      <x:c r="S324" s="3"/>
      <x:c r="T324" s="3"/>
      <x:c r="U324" s="8" t="str">
        <x:f>IF(M324="Mapped",IF(OR(_xlfn.XLOOKUP(A324&amp;"|"&amp;K324,'SOW caps'!$N$7:$N$36,'SOW caps'!$M$7:$M$36,"")="Ready",_xlfn.XLOOKUP(A324&amp;"|"&amp;K324,'SOW caps'!$N$7:$N$36,'SOW caps'!$M$7:$M$36,"")="No hours"),_xlfn.XLOOKUP(A324&amp;"|"&amp;K324,'SOW caps'!$N$7:$N$36,'SOW caps'!$O$7:$O$36,""),""),"")</x:f>
      </x:c>
      <x:c r="V324" s="8" t="str">
        <x:f>IF(AND(ISNUMBER(U324),ISNUMBER(X324)),ROUND(SUMIFS($X$7:X324,$A$7:A324,A324,$K$7:K324,K324,$M$7:M324,"Mapped")*U324,2)-ROUND((SUMIFS($X$7:X324,$A$7:A324,A324,$K$7:K324,K324,$M$7:M324,"Mapped")-X324)*U324,2),"")</x:f>
      </x:c>
      <x:c r="W324" s="1" t="str">
        <x:f>IF(B324="","",IF(OR(NOT(ISNUMBER(I324)),I324&lt;0),"Invalid hours",IF(NOT(ISNUMBER(R324)),"Manual hours",IF(ROUND(I324*3600000,0)=R324,"Source hours","Adjusted hours"))))</x:f>
      </x:c>
      <x:c r="X324" s="10" t="str">
        <x:f>IF(B324="","",IF(AND(ISNUMBER(I324),I324&gt;=0,Q324="In period"),I324,""))</x:f>
      </x:c>
    </x:row>
    <x:row r="325" ht="23" customHeight="1">
      <x:c r="A325" s="3"/>
      <x:c r="B325" s="3"/>
      <x:c r="C325" s="3"/>
      <x:c r="D325" s="3"/>
      <x:c r="E325" s="3"/>
      <x:c r="F325" s="3"/>
      <x:c r="G325" s="3"/>
      <x:c r="H325" s="3"/>
      <x:c r="I325" s="9"/>
      <x:c r="J325" s="3"/>
      <x:c r="K325" s="3"/>
      <x:c r="L325" s="3"/>
      <x:c r="M325" s="1" t="str">
        <x:f>IF(B325="","",IF(W325="Invalid hours","Invalid hours",IF(NOT(ISNUMBER(X325)),"Excluded",IF(AND(J325&lt;&gt;"",K325&lt;&gt;"",L325&lt;&gt;"",COUNTIF('SOW caps'!$N$7:$N$36,A325&amp;"|"&amp;K325)=1),"Mapped","Needs allocation"))))</x:f>
      </x:c>
      <x:c r="N325" s="8" t="str">
        <x:f>IF(B325="","",IF(M325="Mapped",_xlfn.XLOOKUP(A325&amp;"|"&amp;K325,'SOW caps'!$N$7:$N$36,'SOW caps'!$E$7:$E$36,""),IF(ISNUMBER('SOW caps'!$B$3),'SOW caps'!$B$3,"")))</x:f>
      </x:c>
      <x:c r="O325" s="8" t="str">
        <x:f>IF(AND(ISNUMBER(X325),ISNUMBER(N325),N325&gt;=0),X325*N325,"")</x:f>
      </x:c>
      <x:c r="P325" s="3"/>
      <x:c r="Q325" s="3"/>
      <x:c r="R325" s="3"/>
      <x:c r="S325" s="3"/>
      <x:c r="T325" s="3"/>
      <x:c r="U325" s="8" t="str">
        <x:f>IF(M325="Mapped",IF(OR(_xlfn.XLOOKUP(A325&amp;"|"&amp;K325,'SOW caps'!$N$7:$N$36,'SOW caps'!$M$7:$M$36,"")="Ready",_xlfn.XLOOKUP(A325&amp;"|"&amp;K325,'SOW caps'!$N$7:$N$36,'SOW caps'!$M$7:$M$36,"")="No hours"),_xlfn.XLOOKUP(A325&amp;"|"&amp;K325,'SOW caps'!$N$7:$N$36,'SOW caps'!$O$7:$O$36,""),""),"")</x:f>
      </x:c>
      <x:c r="V325" s="8" t="str">
        <x:f>IF(AND(ISNUMBER(U325),ISNUMBER(X325)),ROUND(SUMIFS($X$7:X325,$A$7:A325,A325,$K$7:K325,K325,$M$7:M325,"Mapped")*U325,2)-ROUND((SUMIFS($X$7:X325,$A$7:A325,A325,$K$7:K325,K325,$M$7:M325,"Mapped")-X325)*U325,2),"")</x:f>
      </x:c>
      <x:c r="W325" s="1" t="str">
        <x:f>IF(B325="","",IF(OR(NOT(ISNUMBER(I325)),I325&lt;0),"Invalid hours",IF(NOT(ISNUMBER(R325)),"Manual hours",IF(ROUND(I325*3600000,0)=R325,"Source hours","Adjusted hours"))))</x:f>
      </x:c>
      <x:c r="X325" s="10" t="str">
        <x:f>IF(B325="","",IF(AND(ISNUMBER(I325),I325&gt;=0,Q325="In period"),I325,""))</x:f>
      </x:c>
    </x:row>
    <x:row r="326" ht="23" customHeight="1">
      <x:c r="A326" s="3"/>
      <x:c r="B326" s="3"/>
      <x:c r="C326" s="3"/>
      <x:c r="D326" s="3"/>
      <x:c r="E326" s="3"/>
      <x:c r="F326" s="3"/>
      <x:c r="G326" s="3"/>
      <x:c r="H326" s="3"/>
      <x:c r="I326" s="9"/>
      <x:c r="J326" s="3"/>
      <x:c r="K326" s="3"/>
      <x:c r="L326" s="3"/>
      <x:c r="M326" s="1" t="str">
        <x:f>IF(B326="","",IF(W326="Invalid hours","Invalid hours",IF(NOT(ISNUMBER(X326)),"Excluded",IF(AND(J326&lt;&gt;"",K326&lt;&gt;"",L326&lt;&gt;"",COUNTIF('SOW caps'!$N$7:$N$36,A326&amp;"|"&amp;K326)=1),"Mapped","Needs allocation"))))</x:f>
      </x:c>
      <x:c r="N326" s="8" t="str">
        <x:f>IF(B326="","",IF(M326="Mapped",_xlfn.XLOOKUP(A326&amp;"|"&amp;K326,'SOW caps'!$N$7:$N$36,'SOW caps'!$E$7:$E$36,""),IF(ISNUMBER('SOW caps'!$B$3),'SOW caps'!$B$3,"")))</x:f>
      </x:c>
      <x:c r="O326" s="8" t="str">
        <x:f>IF(AND(ISNUMBER(X326),ISNUMBER(N326),N326&gt;=0),X326*N326,"")</x:f>
      </x:c>
      <x:c r="P326" s="3"/>
      <x:c r="Q326" s="3"/>
      <x:c r="R326" s="3"/>
      <x:c r="S326" s="3"/>
      <x:c r="T326" s="3"/>
      <x:c r="U326" s="8" t="str">
        <x:f>IF(M326="Mapped",IF(OR(_xlfn.XLOOKUP(A326&amp;"|"&amp;K326,'SOW caps'!$N$7:$N$36,'SOW caps'!$M$7:$M$36,"")="Ready",_xlfn.XLOOKUP(A326&amp;"|"&amp;K326,'SOW caps'!$N$7:$N$36,'SOW caps'!$M$7:$M$36,"")="No hours"),_xlfn.XLOOKUP(A326&amp;"|"&amp;K326,'SOW caps'!$N$7:$N$36,'SOW caps'!$O$7:$O$36,""),""),"")</x:f>
      </x:c>
      <x:c r="V326" s="8" t="str">
        <x:f>IF(AND(ISNUMBER(U326),ISNUMBER(X326)),ROUND(SUMIFS($X$7:X326,$A$7:A326,A326,$K$7:K326,K326,$M$7:M326,"Mapped")*U326,2)-ROUND((SUMIFS($X$7:X326,$A$7:A326,A326,$K$7:K326,K326,$M$7:M326,"Mapped")-X326)*U326,2),"")</x:f>
      </x:c>
      <x:c r="W326" s="1" t="str">
        <x:f>IF(B326="","",IF(OR(NOT(ISNUMBER(I326)),I326&lt;0),"Invalid hours",IF(NOT(ISNUMBER(R326)),"Manual hours",IF(ROUND(I326*3600000,0)=R326,"Source hours","Adjusted hours"))))</x:f>
      </x:c>
      <x:c r="X326" s="10" t="str">
        <x:f>IF(B326="","",IF(AND(ISNUMBER(I326),I326&gt;=0,Q326="In period"),I326,""))</x:f>
      </x:c>
    </x:row>
    <x:row r="327" ht="23" customHeight="1">
      <x:c r="A327" s="3"/>
      <x:c r="B327" s="3"/>
      <x:c r="C327" s="3"/>
      <x:c r="D327" s="3"/>
      <x:c r="E327" s="3"/>
      <x:c r="F327" s="3"/>
      <x:c r="G327" s="3"/>
      <x:c r="H327" s="3"/>
      <x:c r="I327" s="9"/>
      <x:c r="J327" s="3"/>
      <x:c r="K327" s="3"/>
      <x:c r="L327" s="3"/>
      <x:c r="M327" s="1" t="str">
        <x:f>IF(B327="","",IF(W327="Invalid hours","Invalid hours",IF(NOT(ISNUMBER(X327)),"Excluded",IF(AND(J327&lt;&gt;"",K327&lt;&gt;"",L327&lt;&gt;"",COUNTIF('SOW caps'!$N$7:$N$36,A327&amp;"|"&amp;K327)=1),"Mapped","Needs allocation"))))</x:f>
      </x:c>
      <x:c r="N327" s="8" t="str">
        <x:f>IF(B327="","",IF(M327="Mapped",_xlfn.XLOOKUP(A327&amp;"|"&amp;K327,'SOW caps'!$N$7:$N$36,'SOW caps'!$E$7:$E$36,""),IF(ISNUMBER('SOW caps'!$B$3),'SOW caps'!$B$3,"")))</x:f>
      </x:c>
      <x:c r="O327" s="8" t="str">
        <x:f>IF(AND(ISNUMBER(X327),ISNUMBER(N327),N327&gt;=0),X327*N327,"")</x:f>
      </x:c>
      <x:c r="P327" s="3"/>
      <x:c r="Q327" s="3"/>
      <x:c r="R327" s="3"/>
      <x:c r="S327" s="3"/>
      <x:c r="T327" s="3"/>
      <x:c r="U327" s="8" t="str">
        <x:f>IF(M327="Mapped",IF(OR(_xlfn.XLOOKUP(A327&amp;"|"&amp;K327,'SOW caps'!$N$7:$N$36,'SOW caps'!$M$7:$M$36,"")="Ready",_xlfn.XLOOKUP(A327&amp;"|"&amp;K327,'SOW caps'!$N$7:$N$36,'SOW caps'!$M$7:$M$36,"")="No hours"),_xlfn.XLOOKUP(A327&amp;"|"&amp;K327,'SOW caps'!$N$7:$N$36,'SOW caps'!$O$7:$O$36,""),""),"")</x:f>
      </x:c>
      <x:c r="V327" s="8" t="str">
        <x:f>IF(AND(ISNUMBER(U327),ISNUMBER(X327)),ROUND(SUMIFS($X$7:X327,$A$7:A327,A327,$K$7:K327,K327,$M$7:M327,"Mapped")*U327,2)-ROUND((SUMIFS($X$7:X327,$A$7:A327,A327,$K$7:K327,K327,$M$7:M327,"Mapped")-X327)*U327,2),"")</x:f>
      </x:c>
      <x:c r="W327" s="1" t="str">
        <x:f>IF(B327="","",IF(OR(NOT(ISNUMBER(I327)),I327&lt;0),"Invalid hours",IF(NOT(ISNUMBER(R327)),"Manual hours",IF(ROUND(I327*3600000,0)=R327,"Source hours","Adjusted hours"))))</x:f>
      </x:c>
      <x:c r="X327" s="10" t="str">
        <x:f>IF(B327="","",IF(AND(ISNUMBER(I327),I327&gt;=0,Q327="In period"),I327,""))</x:f>
      </x:c>
    </x:row>
    <x:row r="328" ht="23" customHeight="1">
      <x:c r="A328" s="3"/>
      <x:c r="B328" s="3"/>
      <x:c r="C328" s="3"/>
      <x:c r="D328" s="3"/>
      <x:c r="E328" s="3"/>
      <x:c r="F328" s="3"/>
      <x:c r="G328" s="3"/>
      <x:c r="H328" s="3"/>
      <x:c r="I328" s="9"/>
      <x:c r="J328" s="3"/>
      <x:c r="K328" s="3"/>
      <x:c r="L328" s="3"/>
      <x:c r="M328" s="1" t="str">
        <x:f>IF(B328="","",IF(W328="Invalid hours","Invalid hours",IF(NOT(ISNUMBER(X328)),"Excluded",IF(AND(J328&lt;&gt;"",K328&lt;&gt;"",L328&lt;&gt;"",COUNTIF('SOW caps'!$N$7:$N$36,A328&amp;"|"&amp;K328)=1),"Mapped","Needs allocation"))))</x:f>
      </x:c>
      <x:c r="N328" s="8" t="str">
        <x:f>IF(B328="","",IF(M328="Mapped",_xlfn.XLOOKUP(A328&amp;"|"&amp;K328,'SOW caps'!$N$7:$N$36,'SOW caps'!$E$7:$E$36,""),IF(ISNUMBER('SOW caps'!$B$3),'SOW caps'!$B$3,"")))</x:f>
      </x:c>
      <x:c r="O328" s="8" t="str">
        <x:f>IF(AND(ISNUMBER(X328),ISNUMBER(N328),N328&gt;=0),X328*N328,"")</x:f>
      </x:c>
      <x:c r="P328" s="3"/>
      <x:c r="Q328" s="3"/>
      <x:c r="R328" s="3"/>
      <x:c r="S328" s="3"/>
      <x:c r="T328" s="3"/>
      <x:c r="U328" s="8" t="str">
        <x:f>IF(M328="Mapped",IF(OR(_xlfn.XLOOKUP(A328&amp;"|"&amp;K328,'SOW caps'!$N$7:$N$36,'SOW caps'!$M$7:$M$36,"")="Ready",_xlfn.XLOOKUP(A328&amp;"|"&amp;K328,'SOW caps'!$N$7:$N$36,'SOW caps'!$M$7:$M$36,"")="No hours"),_xlfn.XLOOKUP(A328&amp;"|"&amp;K328,'SOW caps'!$N$7:$N$36,'SOW caps'!$O$7:$O$36,""),""),"")</x:f>
      </x:c>
      <x:c r="V328" s="8" t="str">
        <x:f>IF(AND(ISNUMBER(U328),ISNUMBER(X328)),ROUND(SUMIFS($X$7:X328,$A$7:A328,A328,$K$7:K328,K328,$M$7:M328,"Mapped")*U328,2)-ROUND((SUMIFS($X$7:X328,$A$7:A328,A328,$K$7:K328,K328,$M$7:M328,"Mapped")-X328)*U328,2),"")</x:f>
      </x:c>
      <x:c r="W328" s="1" t="str">
        <x:f>IF(B328="","",IF(OR(NOT(ISNUMBER(I328)),I328&lt;0),"Invalid hours",IF(NOT(ISNUMBER(R328)),"Manual hours",IF(ROUND(I328*3600000,0)=R328,"Source hours","Adjusted hours"))))</x:f>
      </x:c>
      <x:c r="X328" s="10" t="str">
        <x:f>IF(B328="","",IF(AND(ISNUMBER(I328),I328&gt;=0,Q328="In period"),I328,""))</x:f>
      </x:c>
    </x:row>
    <x:row r="329" ht="23" customHeight="1">
      <x:c r="A329" s="3"/>
      <x:c r="B329" s="3"/>
      <x:c r="C329" s="3"/>
      <x:c r="D329" s="3"/>
      <x:c r="E329" s="3"/>
      <x:c r="F329" s="3"/>
      <x:c r="G329" s="3"/>
      <x:c r="H329" s="3"/>
      <x:c r="I329" s="9"/>
      <x:c r="J329" s="3"/>
      <x:c r="K329" s="3"/>
      <x:c r="L329" s="3"/>
      <x:c r="M329" s="1" t="str">
        <x:f>IF(B329="","",IF(W329="Invalid hours","Invalid hours",IF(NOT(ISNUMBER(X329)),"Excluded",IF(AND(J329&lt;&gt;"",K329&lt;&gt;"",L329&lt;&gt;"",COUNTIF('SOW caps'!$N$7:$N$36,A329&amp;"|"&amp;K329)=1),"Mapped","Needs allocation"))))</x:f>
      </x:c>
      <x:c r="N329" s="8" t="str">
        <x:f>IF(B329="","",IF(M329="Mapped",_xlfn.XLOOKUP(A329&amp;"|"&amp;K329,'SOW caps'!$N$7:$N$36,'SOW caps'!$E$7:$E$36,""),IF(ISNUMBER('SOW caps'!$B$3),'SOW caps'!$B$3,"")))</x:f>
      </x:c>
      <x:c r="O329" s="8" t="str">
        <x:f>IF(AND(ISNUMBER(X329),ISNUMBER(N329),N329&gt;=0),X329*N329,"")</x:f>
      </x:c>
      <x:c r="P329" s="3"/>
      <x:c r="Q329" s="3"/>
      <x:c r="R329" s="3"/>
      <x:c r="S329" s="3"/>
      <x:c r="T329" s="3"/>
      <x:c r="U329" s="8" t="str">
        <x:f>IF(M329="Mapped",IF(OR(_xlfn.XLOOKUP(A329&amp;"|"&amp;K329,'SOW caps'!$N$7:$N$36,'SOW caps'!$M$7:$M$36,"")="Ready",_xlfn.XLOOKUP(A329&amp;"|"&amp;K329,'SOW caps'!$N$7:$N$36,'SOW caps'!$M$7:$M$36,"")="No hours"),_xlfn.XLOOKUP(A329&amp;"|"&amp;K329,'SOW caps'!$N$7:$N$36,'SOW caps'!$O$7:$O$36,""),""),"")</x:f>
      </x:c>
      <x:c r="V329" s="8" t="str">
        <x:f>IF(AND(ISNUMBER(U329),ISNUMBER(X329)),ROUND(SUMIFS($X$7:X329,$A$7:A329,A329,$K$7:K329,K329,$M$7:M329,"Mapped")*U329,2)-ROUND((SUMIFS($X$7:X329,$A$7:A329,A329,$K$7:K329,K329,$M$7:M329,"Mapped")-X329)*U329,2),"")</x:f>
      </x:c>
      <x:c r="W329" s="1" t="str">
        <x:f>IF(B329="","",IF(OR(NOT(ISNUMBER(I329)),I329&lt;0),"Invalid hours",IF(NOT(ISNUMBER(R329)),"Manual hours",IF(ROUND(I329*3600000,0)=R329,"Source hours","Adjusted hours"))))</x:f>
      </x:c>
      <x:c r="X329" s="10" t="str">
        <x:f>IF(B329="","",IF(AND(ISNUMBER(I329),I329&gt;=0,Q329="In period"),I329,""))</x:f>
      </x:c>
    </x:row>
    <x:row r="330" ht="23" customHeight="1">
      <x:c r="A330" s="3"/>
      <x:c r="B330" s="3"/>
      <x:c r="C330" s="3"/>
      <x:c r="D330" s="3"/>
      <x:c r="E330" s="3"/>
      <x:c r="F330" s="3"/>
      <x:c r="G330" s="3"/>
      <x:c r="H330" s="3"/>
      <x:c r="I330" s="9"/>
      <x:c r="J330" s="3"/>
      <x:c r="K330" s="3"/>
      <x:c r="L330" s="3"/>
      <x:c r="M330" s="1" t="str">
        <x:f>IF(B330="","",IF(W330="Invalid hours","Invalid hours",IF(NOT(ISNUMBER(X330)),"Excluded",IF(AND(J330&lt;&gt;"",K330&lt;&gt;"",L330&lt;&gt;"",COUNTIF('SOW caps'!$N$7:$N$36,A330&amp;"|"&amp;K330)=1),"Mapped","Needs allocation"))))</x:f>
      </x:c>
      <x:c r="N330" s="8" t="str">
        <x:f>IF(B330="","",IF(M330="Mapped",_xlfn.XLOOKUP(A330&amp;"|"&amp;K330,'SOW caps'!$N$7:$N$36,'SOW caps'!$E$7:$E$36,""),IF(ISNUMBER('SOW caps'!$B$3),'SOW caps'!$B$3,"")))</x:f>
      </x:c>
      <x:c r="O330" s="8" t="str">
        <x:f>IF(AND(ISNUMBER(X330),ISNUMBER(N330),N330&gt;=0),X330*N330,"")</x:f>
      </x:c>
      <x:c r="P330" s="3"/>
      <x:c r="Q330" s="3"/>
      <x:c r="R330" s="3"/>
      <x:c r="S330" s="3"/>
      <x:c r="T330" s="3"/>
      <x:c r="U330" s="8" t="str">
        <x:f>IF(M330="Mapped",IF(OR(_xlfn.XLOOKUP(A330&amp;"|"&amp;K330,'SOW caps'!$N$7:$N$36,'SOW caps'!$M$7:$M$36,"")="Ready",_xlfn.XLOOKUP(A330&amp;"|"&amp;K330,'SOW caps'!$N$7:$N$36,'SOW caps'!$M$7:$M$36,"")="No hours"),_xlfn.XLOOKUP(A330&amp;"|"&amp;K330,'SOW caps'!$N$7:$N$36,'SOW caps'!$O$7:$O$36,""),""),"")</x:f>
      </x:c>
      <x:c r="V330" s="8" t="str">
        <x:f>IF(AND(ISNUMBER(U330),ISNUMBER(X330)),ROUND(SUMIFS($X$7:X330,$A$7:A330,A330,$K$7:K330,K330,$M$7:M330,"Mapped")*U330,2)-ROUND((SUMIFS($X$7:X330,$A$7:A330,A330,$K$7:K330,K330,$M$7:M330,"Mapped")-X330)*U330,2),"")</x:f>
      </x:c>
      <x:c r="W330" s="1" t="str">
        <x:f>IF(B330="","",IF(OR(NOT(ISNUMBER(I330)),I330&lt;0),"Invalid hours",IF(NOT(ISNUMBER(R330)),"Manual hours",IF(ROUND(I330*3600000,0)=R330,"Source hours","Adjusted hours"))))</x:f>
      </x:c>
      <x:c r="X330" s="10" t="str">
        <x:f>IF(B330="","",IF(AND(ISNUMBER(I330),I330&gt;=0,Q330="In period"),I330,""))</x:f>
      </x:c>
    </x:row>
    <x:row r="331" ht="23" customHeight="1">
      <x:c r="A331" s="3"/>
      <x:c r="B331" s="3"/>
      <x:c r="C331" s="3"/>
      <x:c r="D331" s="3"/>
      <x:c r="E331" s="3"/>
      <x:c r="F331" s="3"/>
      <x:c r="G331" s="3"/>
      <x:c r="H331" s="3"/>
      <x:c r="I331" s="9"/>
      <x:c r="J331" s="3"/>
      <x:c r="K331" s="3"/>
      <x:c r="L331" s="3"/>
      <x:c r="M331" s="1" t="str">
        <x:f>IF(B331="","",IF(W331="Invalid hours","Invalid hours",IF(NOT(ISNUMBER(X331)),"Excluded",IF(AND(J331&lt;&gt;"",K331&lt;&gt;"",L331&lt;&gt;"",COUNTIF('SOW caps'!$N$7:$N$36,A331&amp;"|"&amp;K331)=1),"Mapped","Needs allocation"))))</x:f>
      </x:c>
      <x:c r="N331" s="8" t="str">
        <x:f>IF(B331="","",IF(M331="Mapped",_xlfn.XLOOKUP(A331&amp;"|"&amp;K331,'SOW caps'!$N$7:$N$36,'SOW caps'!$E$7:$E$36,""),IF(ISNUMBER('SOW caps'!$B$3),'SOW caps'!$B$3,"")))</x:f>
      </x:c>
      <x:c r="O331" s="8" t="str">
        <x:f>IF(AND(ISNUMBER(X331),ISNUMBER(N331),N331&gt;=0),X331*N331,"")</x:f>
      </x:c>
      <x:c r="P331" s="3"/>
      <x:c r="Q331" s="3"/>
      <x:c r="R331" s="3"/>
      <x:c r="S331" s="3"/>
      <x:c r="T331" s="3"/>
      <x:c r="U331" s="8" t="str">
        <x:f>IF(M331="Mapped",IF(OR(_xlfn.XLOOKUP(A331&amp;"|"&amp;K331,'SOW caps'!$N$7:$N$36,'SOW caps'!$M$7:$M$36,"")="Ready",_xlfn.XLOOKUP(A331&amp;"|"&amp;K331,'SOW caps'!$N$7:$N$36,'SOW caps'!$M$7:$M$36,"")="No hours"),_xlfn.XLOOKUP(A331&amp;"|"&amp;K331,'SOW caps'!$N$7:$N$36,'SOW caps'!$O$7:$O$36,""),""),"")</x:f>
      </x:c>
      <x:c r="V331" s="8" t="str">
        <x:f>IF(AND(ISNUMBER(U331),ISNUMBER(X331)),ROUND(SUMIFS($X$7:X331,$A$7:A331,A331,$K$7:K331,K331,$M$7:M331,"Mapped")*U331,2)-ROUND((SUMIFS($X$7:X331,$A$7:A331,A331,$K$7:K331,K331,$M$7:M331,"Mapped")-X331)*U331,2),"")</x:f>
      </x:c>
      <x:c r="W331" s="1" t="str">
        <x:f>IF(B331="","",IF(OR(NOT(ISNUMBER(I331)),I331&lt;0),"Invalid hours",IF(NOT(ISNUMBER(R331)),"Manual hours",IF(ROUND(I331*3600000,0)=R331,"Source hours","Adjusted hours"))))</x:f>
      </x:c>
      <x:c r="X331" s="10" t="str">
        <x:f>IF(B331="","",IF(AND(ISNUMBER(I331),I331&gt;=0,Q331="In period"),I331,""))</x:f>
      </x:c>
    </x:row>
    <x:row r="332" ht="23" customHeight="1">
      <x:c r="A332" s="3"/>
      <x:c r="B332" s="3"/>
      <x:c r="C332" s="3"/>
      <x:c r="D332" s="3"/>
      <x:c r="E332" s="3"/>
      <x:c r="F332" s="3"/>
      <x:c r="G332" s="3"/>
      <x:c r="H332" s="3"/>
      <x:c r="I332" s="9"/>
      <x:c r="J332" s="3"/>
      <x:c r="K332" s="3"/>
      <x:c r="L332" s="3"/>
      <x:c r="M332" s="1" t="str">
        <x:f>IF(B332="","",IF(W332="Invalid hours","Invalid hours",IF(NOT(ISNUMBER(X332)),"Excluded",IF(AND(J332&lt;&gt;"",K332&lt;&gt;"",L332&lt;&gt;"",COUNTIF('SOW caps'!$N$7:$N$36,A332&amp;"|"&amp;K332)=1),"Mapped","Needs allocation"))))</x:f>
      </x:c>
      <x:c r="N332" s="8" t="str">
        <x:f>IF(B332="","",IF(M332="Mapped",_xlfn.XLOOKUP(A332&amp;"|"&amp;K332,'SOW caps'!$N$7:$N$36,'SOW caps'!$E$7:$E$36,""),IF(ISNUMBER('SOW caps'!$B$3),'SOW caps'!$B$3,"")))</x:f>
      </x:c>
      <x:c r="O332" s="8" t="str">
        <x:f>IF(AND(ISNUMBER(X332),ISNUMBER(N332),N332&gt;=0),X332*N332,"")</x:f>
      </x:c>
      <x:c r="P332" s="3"/>
      <x:c r="Q332" s="3"/>
      <x:c r="R332" s="3"/>
      <x:c r="S332" s="3"/>
      <x:c r="T332" s="3"/>
      <x:c r="U332" s="8" t="str">
        <x:f>IF(M332="Mapped",IF(OR(_xlfn.XLOOKUP(A332&amp;"|"&amp;K332,'SOW caps'!$N$7:$N$36,'SOW caps'!$M$7:$M$36,"")="Ready",_xlfn.XLOOKUP(A332&amp;"|"&amp;K332,'SOW caps'!$N$7:$N$36,'SOW caps'!$M$7:$M$36,"")="No hours"),_xlfn.XLOOKUP(A332&amp;"|"&amp;K332,'SOW caps'!$N$7:$N$36,'SOW caps'!$O$7:$O$36,""),""),"")</x:f>
      </x:c>
      <x:c r="V332" s="8" t="str">
        <x:f>IF(AND(ISNUMBER(U332),ISNUMBER(X332)),ROUND(SUMIFS($X$7:X332,$A$7:A332,A332,$K$7:K332,K332,$M$7:M332,"Mapped")*U332,2)-ROUND((SUMIFS($X$7:X332,$A$7:A332,A332,$K$7:K332,K332,$M$7:M332,"Mapped")-X332)*U332,2),"")</x:f>
      </x:c>
      <x:c r="W332" s="1" t="str">
        <x:f>IF(B332="","",IF(OR(NOT(ISNUMBER(I332)),I332&lt;0),"Invalid hours",IF(NOT(ISNUMBER(R332)),"Manual hours",IF(ROUND(I332*3600000,0)=R332,"Source hours","Adjusted hours"))))</x:f>
      </x:c>
      <x:c r="X332" s="10" t="str">
        <x:f>IF(B332="","",IF(AND(ISNUMBER(I332),I332&gt;=0,Q332="In period"),I332,""))</x:f>
      </x:c>
    </x:row>
    <x:row r="333" ht="23" customHeight="1">
      <x:c r="A333" s="3"/>
      <x:c r="B333" s="3"/>
      <x:c r="C333" s="3"/>
      <x:c r="D333" s="3"/>
      <x:c r="E333" s="3"/>
      <x:c r="F333" s="3"/>
      <x:c r="G333" s="3"/>
      <x:c r="H333" s="3"/>
      <x:c r="I333" s="9"/>
      <x:c r="J333" s="3"/>
      <x:c r="K333" s="3"/>
      <x:c r="L333" s="3"/>
      <x:c r="M333" s="1" t="str">
        <x:f>IF(B333="","",IF(W333="Invalid hours","Invalid hours",IF(NOT(ISNUMBER(X333)),"Excluded",IF(AND(J333&lt;&gt;"",K333&lt;&gt;"",L333&lt;&gt;"",COUNTIF('SOW caps'!$N$7:$N$36,A333&amp;"|"&amp;K333)=1),"Mapped","Needs allocation"))))</x:f>
      </x:c>
      <x:c r="N333" s="8" t="str">
        <x:f>IF(B333="","",IF(M333="Mapped",_xlfn.XLOOKUP(A333&amp;"|"&amp;K333,'SOW caps'!$N$7:$N$36,'SOW caps'!$E$7:$E$36,""),IF(ISNUMBER('SOW caps'!$B$3),'SOW caps'!$B$3,"")))</x:f>
      </x:c>
      <x:c r="O333" s="8" t="str">
        <x:f>IF(AND(ISNUMBER(X333),ISNUMBER(N333),N333&gt;=0),X333*N333,"")</x:f>
      </x:c>
      <x:c r="P333" s="3"/>
      <x:c r="Q333" s="3"/>
      <x:c r="R333" s="3"/>
      <x:c r="S333" s="3"/>
      <x:c r="T333" s="3"/>
      <x:c r="U333" s="8" t="str">
        <x:f>IF(M333="Mapped",IF(OR(_xlfn.XLOOKUP(A333&amp;"|"&amp;K333,'SOW caps'!$N$7:$N$36,'SOW caps'!$M$7:$M$36,"")="Ready",_xlfn.XLOOKUP(A333&amp;"|"&amp;K333,'SOW caps'!$N$7:$N$36,'SOW caps'!$M$7:$M$36,"")="No hours"),_xlfn.XLOOKUP(A333&amp;"|"&amp;K333,'SOW caps'!$N$7:$N$36,'SOW caps'!$O$7:$O$36,""),""),"")</x:f>
      </x:c>
      <x:c r="V333" s="8" t="str">
        <x:f>IF(AND(ISNUMBER(U333),ISNUMBER(X333)),ROUND(SUMIFS($X$7:X333,$A$7:A333,A333,$K$7:K333,K333,$M$7:M333,"Mapped")*U333,2)-ROUND((SUMIFS($X$7:X333,$A$7:A333,A333,$K$7:K333,K333,$M$7:M333,"Mapped")-X333)*U333,2),"")</x:f>
      </x:c>
      <x:c r="W333" s="1" t="str">
        <x:f>IF(B333="","",IF(OR(NOT(ISNUMBER(I333)),I333&lt;0),"Invalid hours",IF(NOT(ISNUMBER(R333)),"Manual hours",IF(ROUND(I333*3600000,0)=R333,"Source hours","Adjusted hours"))))</x:f>
      </x:c>
      <x:c r="X333" s="10" t="str">
        <x:f>IF(B333="","",IF(AND(ISNUMBER(I333),I333&gt;=0,Q333="In period"),I333,""))</x:f>
      </x:c>
    </x:row>
    <x:row r="334" ht="23" customHeight="1">
      <x:c r="A334" s="3"/>
      <x:c r="B334" s="3"/>
      <x:c r="C334" s="3"/>
      <x:c r="D334" s="3"/>
      <x:c r="E334" s="3"/>
      <x:c r="F334" s="3"/>
      <x:c r="G334" s="3"/>
      <x:c r="H334" s="3"/>
      <x:c r="I334" s="9"/>
      <x:c r="J334" s="3"/>
      <x:c r="K334" s="3"/>
      <x:c r="L334" s="3"/>
      <x:c r="M334" s="1" t="str">
        <x:f>IF(B334="","",IF(W334="Invalid hours","Invalid hours",IF(NOT(ISNUMBER(X334)),"Excluded",IF(AND(J334&lt;&gt;"",K334&lt;&gt;"",L334&lt;&gt;"",COUNTIF('SOW caps'!$N$7:$N$36,A334&amp;"|"&amp;K334)=1),"Mapped","Needs allocation"))))</x:f>
      </x:c>
      <x:c r="N334" s="8" t="str">
        <x:f>IF(B334="","",IF(M334="Mapped",_xlfn.XLOOKUP(A334&amp;"|"&amp;K334,'SOW caps'!$N$7:$N$36,'SOW caps'!$E$7:$E$36,""),IF(ISNUMBER('SOW caps'!$B$3),'SOW caps'!$B$3,"")))</x:f>
      </x:c>
      <x:c r="O334" s="8" t="str">
        <x:f>IF(AND(ISNUMBER(X334),ISNUMBER(N334),N334&gt;=0),X334*N334,"")</x:f>
      </x:c>
      <x:c r="P334" s="3"/>
      <x:c r="Q334" s="3"/>
      <x:c r="R334" s="3"/>
      <x:c r="S334" s="3"/>
      <x:c r="T334" s="3"/>
      <x:c r="U334" s="8" t="str">
        <x:f>IF(M334="Mapped",IF(OR(_xlfn.XLOOKUP(A334&amp;"|"&amp;K334,'SOW caps'!$N$7:$N$36,'SOW caps'!$M$7:$M$36,"")="Ready",_xlfn.XLOOKUP(A334&amp;"|"&amp;K334,'SOW caps'!$N$7:$N$36,'SOW caps'!$M$7:$M$36,"")="No hours"),_xlfn.XLOOKUP(A334&amp;"|"&amp;K334,'SOW caps'!$N$7:$N$36,'SOW caps'!$O$7:$O$36,""),""),"")</x:f>
      </x:c>
      <x:c r="V334" s="8" t="str">
        <x:f>IF(AND(ISNUMBER(U334),ISNUMBER(X334)),ROUND(SUMIFS($X$7:X334,$A$7:A334,A334,$K$7:K334,K334,$M$7:M334,"Mapped")*U334,2)-ROUND((SUMIFS($X$7:X334,$A$7:A334,A334,$K$7:K334,K334,$M$7:M334,"Mapped")-X334)*U334,2),"")</x:f>
      </x:c>
      <x:c r="W334" s="1" t="str">
        <x:f>IF(B334="","",IF(OR(NOT(ISNUMBER(I334)),I334&lt;0),"Invalid hours",IF(NOT(ISNUMBER(R334)),"Manual hours",IF(ROUND(I334*3600000,0)=R334,"Source hours","Adjusted hours"))))</x:f>
      </x:c>
      <x:c r="X334" s="10" t="str">
        <x:f>IF(B334="","",IF(AND(ISNUMBER(I334),I334&gt;=0,Q334="In period"),I334,""))</x:f>
      </x:c>
    </x:row>
    <x:row r="335" ht="23" customHeight="1">
      <x:c r="A335" s="3"/>
      <x:c r="B335" s="3"/>
      <x:c r="C335" s="3"/>
      <x:c r="D335" s="3"/>
      <x:c r="E335" s="3"/>
      <x:c r="F335" s="3"/>
      <x:c r="G335" s="3"/>
      <x:c r="H335" s="3"/>
      <x:c r="I335" s="9"/>
      <x:c r="J335" s="3"/>
      <x:c r="K335" s="3"/>
      <x:c r="L335" s="3"/>
      <x:c r="M335" s="1" t="str">
        <x:f>IF(B335="","",IF(W335="Invalid hours","Invalid hours",IF(NOT(ISNUMBER(X335)),"Excluded",IF(AND(J335&lt;&gt;"",K335&lt;&gt;"",L335&lt;&gt;"",COUNTIF('SOW caps'!$N$7:$N$36,A335&amp;"|"&amp;K335)=1),"Mapped","Needs allocation"))))</x:f>
      </x:c>
      <x:c r="N335" s="8" t="str">
        <x:f>IF(B335="","",IF(M335="Mapped",_xlfn.XLOOKUP(A335&amp;"|"&amp;K335,'SOW caps'!$N$7:$N$36,'SOW caps'!$E$7:$E$36,""),IF(ISNUMBER('SOW caps'!$B$3),'SOW caps'!$B$3,"")))</x:f>
      </x:c>
      <x:c r="O335" s="8" t="str">
        <x:f>IF(AND(ISNUMBER(X335),ISNUMBER(N335),N335&gt;=0),X335*N335,"")</x:f>
      </x:c>
      <x:c r="P335" s="3"/>
      <x:c r="Q335" s="3"/>
      <x:c r="R335" s="3"/>
      <x:c r="S335" s="3"/>
      <x:c r="T335" s="3"/>
      <x:c r="U335" s="8" t="str">
        <x:f>IF(M335="Mapped",IF(OR(_xlfn.XLOOKUP(A335&amp;"|"&amp;K335,'SOW caps'!$N$7:$N$36,'SOW caps'!$M$7:$M$36,"")="Ready",_xlfn.XLOOKUP(A335&amp;"|"&amp;K335,'SOW caps'!$N$7:$N$36,'SOW caps'!$M$7:$M$36,"")="No hours"),_xlfn.XLOOKUP(A335&amp;"|"&amp;K335,'SOW caps'!$N$7:$N$36,'SOW caps'!$O$7:$O$36,""),""),"")</x:f>
      </x:c>
      <x:c r="V335" s="8" t="str">
        <x:f>IF(AND(ISNUMBER(U335),ISNUMBER(X335)),ROUND(SUMIFS($X$7:X335,$A$7:A335,A335,$K$7:K335,K335,$M$7:M335,"Mapped")*U335,2)-ROUND((SUMIFS($X$7:X335,$A$7:A335,A335,$K$7:K335,K335,$M$7:M335,"Mapped")-X335)*U335,2),"")</x:f>
      </x:c>
      <x:c r="W335" s="1" t="str">
        <x:f>IF(B335="","",IF(OR(NOT(ISNUMBER(I335)),I335&lt;0),"Invalid hours",IF(NOT(ISNUMBER(R335)),"Manual hours",IF(ROUND(I335*3600000,0)=R335,"Source hours","Adjusted hours"))))</x:f>
      </x:c>
      <x:c r="X335" s="10" t="str">
        <x:f>IF(B335="","",IF(AND(ISNUMBER(I335),I335&gt;=0,Q335="In period"),I335,""))</x:f>
      </x:c>
    </x:row>
    <x:row r="336" ht="23" customHeight="1">
      <x:c r="A336" s="3"/>
      <x:c r="B336" s="3"/>
      <x:c r="C336" s="3"/>
      <x:c r="D336" s="3"/>
      <x:c r="E336" s="3"/>
      <x:c r="F336" s="3"/>
      <x:c r="G336" s="3"/>
      <x:c r="H336" s="3"/>
      <x:c r="I336" s="9"/>
      <x:c r="J336" s="3"/>
      <x:c r="K336" s="3"/>
      <x:c r="L336" s="3"/>
      <x:c r="M336" s="1" t="str">
        <x:f>IF(B336="","",IF(W336="Invalid hours","Invalid hours",IF(NOT(ISNUMBER(X336)),"Excluded",IF(AND(J336&lt;&gt;"",K336&lt;&gt;"",L336&lt;&gt;"",COUNTIF('SOW caps'!$N$7:$N$36,A336&amp;"|"&amp;K336)=1),"Mapped","Needs allocation"))))</x:f>
      </x:c>
      <x:c r="N336" s="8" t="str">
        <x:f>IF(B336="","",IF(M336="Mapped",_xlfn.XLOOKUP(A336&amp;"|"&amp;K336,'SOW caps'!$N$7:$N$36,'SOW caps'!$E$7:$E$36,""),IF(ISNUMBER('SOW caps'!$B$3),'SOW caps'!$B$3,"")))</x:f>
      </x:c>
      <x:c r="O336" s="8" t="str">
        <x:f>IF(AND(ISNUMBER(X336),ISNUMBER(N336),N336&gt;=0),X336*N336,"")</x:f>
      </x:c>
      <x:c r="P336" s="3"/>
      <x:c r="Q336" s="3"/>
      <x:c r="R336" s="3"/>
      <x:c r="S336" s="3"/>
      <x:c r="T336" s="3"/>
      <x:c r="U336" s="8" t="str">
        <x:f>IF(M336="Mapped",IF(OR(_xlfn.XLOOKUP(A336&amp;"|"&amp;K336,'SOW caps'!$N$7:$N$36,'SOW caps'!$M$7:$M$36,"")="Ready",_xlfn.XLOOKUP(A336&amp;"|"&amp;K336,'SOW caps'!$N$7:$N$36,'SOW caps'!$M$7:$M$36,"")="No hours"),_xlfn.XLOOKUP(A336&amp;"|"&amp;K336,'SOW caps'!$N$7:$N$36,'SOW caps'!$O$7:$O$36,""),""),"")</x:f>
      </x:c>
      <x:c r="V336" s="8" t="str">
        <x:f>IF(AND(ISNUMBER(U336),ISNUMBER(X336)),ROUND(SUMIFS($X$7:X336,$A$7:A336,A336,$K$7:K336,K336,$M$7:M336,"Mapped")*U336,2)-ROUND((SUMIFS($X$7:X336,$A$7:A336,A336,$K$7:K336,K336,$M$7:M336,"Mapped")-X336)*U336,2),"")</x:f>
      </x:c>
      <x:c r="W336" s="1" t="str">
        <x:f>IF(B336="","",IF(OR(NOT(ISNUMBER(I336)),I336&lt;0),"Invalid hours",IF(NOT(ISNUMBER(R336)),"Manual hours",IF(ROUND(I336*3600000,0)=R336,"Source hours","Adjusted hours"))))</x:f>
      </x:c>
      <x:c r="X336" s="10" t="str">
        <x:f>IF(B336="","",IF(AND(ISNUMBER(I336),I336&gt;=0,Q336="In period"),I336,""))</x:f>
      </x:c>
    </x:row>
    <x:row r="337" ht="23" customHeight="1">
      <x:c r="A337" s="3"/>
      <x:c r="B337" s="3"/>
      <x:c r="C337" s="3"/>
      <x:c r="D337" s="3"/>
      <x:c r="E337" s="3"/>
      <x:c r="F337" s="3"/>
      <x:c r="G337" s="3"/>
      <x:c r="H337" s="3"/>
      <x:c r="I337" s="9"/>
      <x:c r="J337" s="3"/>
      <x:c r="K337" s="3"/>
      <x:c r="L337" s="3"/>
      <x:c r="M337" s="1" t="str">
        <x:f>IF(B337="","",IF(W337="Invalid hours","Invalid hours",IF(NOT(ISNUMBER(X337)),"Excluded",IF(AND(J337&lt;&gt;"",K337&lt;&gt;"",L337&lt;&gt;"",COUNTIF('SOW caps'!$N$7:$N$36,A337&amp;"|"&amp;K337)=1),"Mapped","Needs allocation"))))</x:f>
      </x:c>
      <x:c r="N337" s="8" t="str">
        <x:f>IF(B337="","",IF(M337="Mapped",_xlfn.XLOOKUP(A337&amp;"|"&amp;K337,'SOW caps'!$N$7:$N$36,'SOW caps'!$E$7:$E$36,""),IF(ISNUMBER('SOW caps'!$B$3),'SOW caps'!$B$3,"")))</x:f>
      </x:c>
      <x:c r="O337" s="8" t="str">
        <x:f>IF(AND(ISNUMBER(X337),ISNUMBER(N337),N337&gt;=0),X337*N337,"")</x:f>
      </x:c>
      <x:c r="P337" s="3"/>
      <x:c r="Q337" s="3"/>
      <x:c r="R337" s="3"/>
      <x:c r="S337" s="3"/>
      <x:c r="T337" s="3"/>
      <x:c r="U337" s="8" t="str">
        <x:f>IF(M337="Mapped",IF(OR(_xlfn.XLOOKUP(A337&amp;"|"&amp;K337,'SOW caps'!$N$7:$N$36,'SOW caps'!$M$7:$M$36,"")="Ready",_xlfn.XLOOKUP(A337&amp;"|"&amp;K337,'SOW caps'!$N$7:$N$36,'SOW caps'!$M$7:$M$36,"")="No hours"),_xlfn.XLOOKUP(A337&amp;"|"&amp;K337,'SOW caps'!$N$7:$N$36,'SOW caps'!$O$7:$O$36,""),""),"")</x:f>
      </x:c>
      <x:c r="V337" s="8" t="str">
        <x:f>IF(AND(ISNUMBER(U337),ISNUMBER(X337)),ROUND(SUMIFS($X$7:X337,$A$7:A337,A337,$K$7:K337,K337,$M$7:M337,"Mapped")*U337,2)-ROUND((SUMIFS($X$7:X337,$A$7:A337,A337,$K$7:K337,K337,$M$7:M337,"Mapped")-X337)*U337,2),"")</x:f>
      </x:c>
      <x:c r="W337" s="1" t="str">
        <x:f>IF(B337="","",IF(OR(NOT(ISNUMBER(I337)),I337&lt;0),"Invalid hours",IF(NOT(ISNUMBER(R337)),"Manual hours",IF(ROUND(I337*3600000,0)=R337,"Source hours","Adjusted hours"))))</x:f>
      </x:c>
      <x:c r="X337" s="10" t="str">
        <x:f>IF(B337="","",IF(AND(ISNUMBER(I337),I337&gt;=0,Q337="In period"),I337,""))</x:f>
      </x:c>
    </x:row>
    <x:row r="338" ht="23" customHeight="1">
      <x:c r="A338" s="3"/>
      <x:c r="B338" s="3"/>
      <x:c r="C338" s="3"/>
      <x:c r="D338" s="3"/>
      <x:c r="E338" s="3"/>
      <x:c r="F338" s="3"/>
      <x:c r="G338" s="3"/>
      <x:c r="H338" s="3"/>
      <x:c r="I338" s="9"/>
      <x:c r="J338" s="3"/>
      <x:c r="K338" s="3"/>
      <x:c r="L338" s="3"/>
      <x:c r="M338" s="1" t="str">
        <x:f>IF(B338="","",IF(W338="Invalid hours","Invalid hours",IF(NOT(ISNUMBER(X338)),"Excluded",IF(AND(J338&lt;&gt;"",K338&lt;&gt;"",L338&lt;&gt;"",COUNTIF('SOW caps'!$N$7:$N$36,A338&amp;"|"&amp;K338)=1),"Mapped","Needs allocation"))))</x:f>
      </x:c>
      <x:c r="N338" s="8" t="str">
        <x:f>IF(B338="","",IF(M338="Mapped",_xlfn.XLOOKUP(A338&amp;"|"&amp;K338,'SOW caps'!$N$7:$N$36,'SOW caps'!$E$7:$E$36,""),IF(ISNUMBER('SOW caps'!$B$3),'SOW caps'!$B$3,"")))</x:f>
      </x:c>
      <x:c r="O338" s="8" t="str">
        <x:f>IF(AND(ISNUMBER(X338),ISNUMBER(N338),N338&gt;=0),X338*N338,"")</x:f>
      </x:c>
      <x:c r="P338" s="3"/>
      <x:c r="Q338" s="3"/>
      <x:c r="R338" s="3"/>
      <x:c r="S338" s="3"/>
      <x:c r="T338" s="3"/>
      <x:c r="U338" s="8" t="str">
        <x:f>IF(M338="Mapped",IF(OR(_xlfn.XLOOKUP(A338&amp;"|"&amp;K338,'SOW caps'!$N$7:$N$36,'SOW caps'!$M$7:$M$36,"")="Ready",_xlfn.XLOOKUP(A338&amp;"|"&amp;K338,'SOW caps'!$N$7:$N$36,'SOW caps'!$M$7:$M$36,"")="No hours"),_xlfn.XLOOKUP(A338&amp;"|"&amp;K338,'SOW caps'!$N$7:$N$36,'SOW caps'!$O$7:$O$36,""),""),"")</x:f>
      </x:c>
      <x:c r="V338" s="8" t="str">
        <x:f>IF(AND(ISNUMBER(U338),ISNUMBER(X338)),ROUND(SUMIFS($X$7:X338,$A$7:A338,A338,$K$7:K338,K338,$M$7:M338,"Mapped")*U338,2)-ROUND((SUMIFS($X$7:X338,$A$7:A338,A338,$K$7:K338,K338,$M$7:M338,"Mapped")-X338)*U338,2),"")</x:f>
      </x:c>
      <x:c r="W338" s="1" t="str">
        <x:f>IF(B338="","",IF(OR(NOT(ISNUMBER(I338)),I338&lt;0),"Invalid hours",IF(NOT(ISNUMBER(R338)),"Manual hours",IF(ROUND(I338*3600000,0)=R338,"Source hours","Adjusted hours"))))</x:f>
      </x:c>
      <x:c r="X338" s="10" t="str">
        <x:f>IF(B338="","",IF(AND(ISNUMBER(I338),I338&gt;=0,Q338="In period"),I338,""))</x:f>
      </x:c>
    </x:row>
    <x:row r="339" ht="23" customHeight="1">
      <x:c r="A339" s="3"/>
      <x:c r="B339" s="3"/>
      <x:c r="C339" s="3"/>
      <x:c r="D339" s="3"/>
      <x:c r="E339" s="3"/>
      <x:c r="F339" s="3"/>
      <x:c r="G339" s="3"/>
      <x:c r="H339" s="3"/>
      <x:c r="I339" s="9"/>
      <x:c r="J339" s="3"/>
      <x:c r="K339" s="3"/>
      <x:c r="L339" s="3"/>
      <x:c r="M339" s="1" t="str">
        <x:f>IF(B339="","",IF(W339="Invalid hours","Invalid hours",IF(NOT(ISNUMBER(X339)),"Excluded",IF(AND(J339&lt;&gt;"",K339&lt;&gt;"",L339&lt;&gt;"",COUNTIF('SOW caps'!$N$7:$N$36,A339&amp;"|"&amp;K339)=1),"Mapped","Needs allocation"))))</x:f>
      </x:c>
      <x:c r="N339" s="8" t="str">
        <x:f>IF(B339="","",IF(M339="Mapped",_xlfn.XLOOKUP(A339&amp;"|"&amp;K339,'SOW caps'!$N$7:$N$36,'SOW caps'!$E$7:$E$36,""),IF(ISNUMBER('SOW caps'!$B$3),'SOW caps'!$B$3,"")))</x:f>
      </x:c>
      <x:c r="O339" s="8" t="str">
        <x:f>IF(AND(ISNUMBER(X339),ISNUMBER(N339),N339&gt;=0),X339*N339,"")</x:f>
      </x:c>
      <x:c r="P339" s="3"/>
      <x:c r="Q339" s="3"/>
      <x:c r="R339" s="3"/>
      <x:c r="S339" s="3"/>
      <x:c r="T339" s="3"/>
      <x:c r="U339" s="8" t="str">
        <x:f>IF(M339="Mapped",IF(OR(_xlfn.XLOOKUP(A339&amp;"|"&amp;K339,'SOW caps'!$N$7:$N$36,'SOW caps'!$M$7:$M$36,"")="Ready",_xlfn.XLOOKUP(A339&amp;"|"&amp;K339,'SOW caps'!$N$7:$N$36,'SOW caps'!$M$7:$M$36,"")="No hours"),_xlfn.XLOOKUP(A339&amp;"|"&amp;K339,'SOW caps'!$N$7:$N$36,'SOW caps'!$O$7:$O$36,""),""),"")</x:f>
      </x:c>
      <x:c r="V339" s="8" t="str">
        <x:f>IF(AND(ISNUMBER(U339),ISNUMBER(X339)),ROUND(SUMIFS($X$7:X339,$A$7:A339,A339,$K$7:K339,K339,$M$7:M339,"Mapped")*U339,2)-ROUND((SUMIFS($X$7:X339,$A$7:A339,A339,$K$7:K339,K339,$M$7:M339,"Mapped")-X339)*U339,2),"")</x:f>
      </x:c>
      <x:c r="W339" s="1" t="str">
        <x:f>IF(B339="","",IF(OR(NOT(ISNUMBER(I339)),I339&lt;0),"Invalid hours",IF(NOT(ISNUMBER(R339)),"Manual hours",IF(ROUND(I339*3600000,0)=R339,"Source hours","Adjusted hours"))))</x:f>
      </x:c>
      <x:c r="X339" s="10" t="str">
        <x:f>IF(B339="","",IF(AND(ISNUMBER(I339),I339&gt;=0,Q339="In period"),I339,""))</x:f>
      </x:c>
    </x:row>
    <x:row r="340" ht="23" customHeight="1">
      <x:c r="A340" s="3"/>
      <x:c r="B340" s="3"/>
      <x:c r="C340" s="3"/>
      <x:c r="D340" s="3"/>
      <x:c r="E340" s="3"/>
      <x:c r="F340" s="3"/>
      <x:c r="G340" s="3"/>
      <x:c r="H340" s="3"/>
      <x:c r="I340" s="9"/>
      <x:c r="J340" s="3"/>
      <x:c r="K340" s="3"/>
      <x:c r="L340" s="3"/>
      <x:c r="M340" s="1" t="str">
        <x:f>IF(B340="","",IF(W340="Invalid hours","Invalid hours",IF(NOT(ISNUMBER(X340)),"Excluded",IF(AND(J340&lt;&gt;"",K340&lt;&gt;"",L340&lt;&gt;"",COUNTIF('SOW caps'!$N$7:$N$36,A340&amp;"|"&amp;K340)=1),"Mapped","Needs allocation"))))</x:f>
      </x:c>
      <x:c r="N340" s="8" t="str">
        <x:f>IF(B340="","",IF(M340="Mapped",_xlfn.XLOOKUP(A340&amp;"|"&amp;K340,'SOW caps'!$N$7:$N$36,'SOW caps'!$E$7:$E$36,""),IF(ISNUMBER('SOW caps'!$B$3),'SOW caps'!$B$3,"")))</x:f>
      </x:c>
      <x:c r="O340" s="8" t="str">
        <x:f>IF(AND(ISNUMBER(X340),ISNUMBER(N340),N340&gt;=0),X340*N340,"")</x:f>
      </x:c>
      <x:c r="P340" s="3"/>
      <x:c r="Q340" s="3"/>
      <x:c r="R340" s="3"/>
      <x:c r="S340" s="3"/>
      <x:c r="T340" s="3"/>
      <x:c r="U340" s="8" t="str">
        <x:f>IF(M340="Mapped",IF(OR(_xlfn.XLOOKUP(A340&amp;"|"&amp;K340,'SOW caps'!$N$7:$N$36,'SOW caps'!$M$7:$M$36,"")="Ready",_xlfn.XLOOKUP(A340&amp;"|"&amp;K340,'SOW caps'!$N$7:$N$36,'SOW caps'!$M$7:$M$36,"")="No hours"),_xlfn.XLOOKUP(A340&amp;"|"&amp;K340,'SOW caps'!$N$7:$N$36,'SOW caps'!$O$7:$O$36,""),""),"")</x:f>
      </x:c>
      <x:c r="V340" s="8" t="str">
        <x:f>IF(AND(ISNUMBER(U340),ISNUMBER(X340)),ROUND(SUMIFS($X$7:X340,$A$7:A340,A340,$K$7:K340,K340,$M$7:M340,"Mapped")*U340,2)-ROUND((SUMIFS($X$7:X340,$A$7:A340,A340,$K$7:K340,K340,$M$7:M340,"Mapped")-X340)*U340,2),"")</x:f>
      </x:c>
      <x:c r="W340" s="1" t="str">
        <x:f>IF(B340="","",IF(OR(NOT(ISNUMBER(I340)),I340&lt;0),"Invalid hours",IF(NOT(ISNUMBER(R340)),"Manual hours",IF(ROUND(I340*3600000,0)=R340,"Source hours","Adjusted hours"))))</x:f>
      </x:c>
      <x:c r="X340" s="10" t="str">
        <x:f>IF(B340="","",IF(AND(ISNUMBER(I340),I340&gt;=0,Q340="In period"),I340,""))</x:f>
      </x:c>
    </x:row>
    <x:row r="341" ht="23" customHeight="1">
      <x:c r="A341" s="3"/>
      <x:c r="B341" s="3"/>
      <x:c r="C341" s="3"/>
      <x:c r="D341" s="3"/>
      <x:c r="E341" s="3"/>
      <x:c r="F341" s="3"/>
      <x:c r="G341" s="3"/>
      <x:c r="H341" s="3"/>
      <x:c r="I341" s="9"/>
      <x:c r="J341" s="3"/>
      <x:c r="K341" s="3"/>
      <x:c r="L341" s="3"/>
      <x:c r="M341" s="1" t="str">
        <x:f>IF(B341="","",IF(W341="Invalid hours","Invalid hours",IF(NOT(ISNUMBER(X341)),"Excluded",IF(AND(J341&lt;&gt;"",K341&lt;&gt;"",L341&lt;&gt;"",COUNTIF('SOW caps'!$N$7:$N$36,A341&amp;"|"&amp;K341)=1),"Mapped","Needs allocation"))))</x:f>
      </x:c>
      <x:c r="N341" s="8" t="str">
        <x:f>IF(B341="","",IF(M341="Mapped",_xlfn.XLOOKUP(A341&amp;"|"&amp;K341,'SOW caps'!$N$7:$N$36,'SOW caps'!$E$7:$E$36,""),IF(ISNUMBER('SOW caps'!$B$3),'SOW caps'!$B$3,"")))</x:f>
      </x:c>
      <x:c r="O341" s="8" t="str">
        <x:f>IF(AND(ISNUMBER(X341),ISNUMBER(N341),N341&gt;=0),X341*N341,"")</x:f>
      </x:c>
      <x:c r="P341" s="3"/>
      <x:c r="Q341" s="3"/>
      <x:c r="R341" s="3"/>
      <x:c r="S341" s="3"/>
      <x:c r="T341" s="3"/>
      <x:c r="U341" s="8" t="str">
        <x:f>IF(M341="Mapped",IF(OR(_xlfn.XLOOKUP(A341&amp;"|"&amp;K341,'SOW caps'!$N$7:$N$36,'SOW caps'!$M$7:$M$36,"")="Ready",_xlfn.XLOOKUP(A341&amp;"|"&amp;K341,'SOW caps'!$N$7:$N$36,'SOW caps'!$M$7:$M$36,"")="No hours"),_xlfn.XLOOKUP(A341&amp;"|"&amp;K341,'SOW caps'!$N$7:$N$36,'SOW caps'!$O$7:$O$36,""),""),"")</x:f>
      </x:c>
      <x:c r="V341" s="8" t="str">
        <x:f>IF(AND(ISNUMBER(U341),ISNUMBER(X341)),ROUND(SUMIFS($X$7:X341,$A$7:A341,A341,$K$7:K341,K341,$M$7:M341,"Mapped")*U341,2)-ROUND((SUMIFS($X$7:X341,$A$7:A341,A341,$K$7:K341,K341,$M$7:M341,"Mapped")-X341)*U341,2),"")</x:f>
      </x:c>
      <x:c r="W341" s="1" t="str">
        <x:f>IF(B341="","",IF(OR(NOT(ISNUMBER(I341)),I341&lt;0),"Invalid hours",IF(NOT(ISNUMBER(R341)),"Manual hours",IF(ROUND(I341*3600000,0)=R341,"Source hours","Adjusted hours"))))</x:f>
      </x:c>
      <x:c r="X341" s="10" t="str">
        <x:f>IF(B341="","",IF(AND(ISNUMBER(I341),I341&gt;=0,Q341="In period"),I341,""))</x:f>
      </x:c>
    </x:row>
    <x:row r="342" ht="23" customHeight="1">
      <x:c r="A342" s="3"/>
      <x:c r="B342" s="3"/>
      <x:c r="C342" s="3"/>
      <x:c r="D342" s="3"/>
      <x:c r="E342" s="3"/>
      <x:c r="F342" s="3"/>
      <x:c r="G342" s="3"/>
      <x:c r="H342" s="3"/>
      <x:c r="I342" s="9"/>
      <x:c r="J342" s="3"/>
      <x:c r="K342" s="3"/>
      <x:c r="L342" s="3"/>
      <x:c r="M342" s="1" t="str">
        <x:f>IF(B342="","",IF(W342="Invalid hours","Invalid hours",IF(NOT(ISNUMBER(X342)),"Excluded",IF(AND(J342&lt;&gt;"",K342&lt;&gt;"",L342&lt;&gt;"",COUNTIF('SOW caps'!$N$7:$N$36,A342&amp;"|"&amp;K342)=1),"Mapped","Needs allocation"))))</x:f>
      </x:c>
      <x:c r="N342" s="8" t="str">
        <x:f>IF(B342="","",IF(M342="Mapped",_xlfn.XLOOKUP(A342&amp;"|"&amp;K342,'SOW caps'!$N$7:$N$36,'SOW caps'!$E$7:$E$36,""),IF(ISNUMBER('SOW caps'!$B$3),'SOW caps'!$B$3,"")))</x:f>
      </x:c>
      <x:c r="O342" s="8" t="str">
        <x:f>IF(AND(ISNUMBER(X342),ISNUMBER(N342),N342&gt;=0),X342*N342,"")</x:f>
      </x:c>
      <x:c r="P342" s="3"/>
      <x:c r="Q342" s="3"/>
      <x:c r="R342" s="3"/>
      <x:c r="S342" s="3"/>
      <x:c r="T342" s="3"/>
      <x:c r="U342" s="8" t="str">
        <x:f>IF(M342="Mapped",IF(OR(_xlfn.XLOOKUP(A342&amp;"|"&amp;K342,'SOW caps'!$N$7:$N$36,'SOW caps'!$M$7:$M$36,"")="Ready",_xlfn.XLOOKUP(A342&amp;"|"&amp;K342,'SOW caps'!$N$7:$N$36,'SOW caps'!$M$7:$M$36,"")="No hours"),_xlfn.XLOOKUP(A342&amp;"|"&amp;K342,'SOW caps'!$N$7:$N$36,'SOW caps'!$O$7:$O$36,""),""),"")</x:f>
      </x:c>
      <x:c r="V342" s="8" t="str">
        <x:f>IF(AND(ISNUMBER(U342),ISNUMBER(X342)),ROUND(SUMIFS($X$7:X342,$A$7:A342,A342,$K$7:K342,K342,$M$7:M342,"Mapped")*U342,2)-ROUND((SUMIFS($X$7:X342,$A$7:A342,A342,$K$7:K342,K342,$M$7:M342,"Mapped")-X342)*U342,2),"")</x:f>
      </x:c>
      <x:c r="W342" s="1" t="str">
        <x:f>IF(B342="","",IF(OR(NOT(ISNUMBER(I342)),I342&lt;0),"Invalid hours",IF(NOT(ISNUMBER(R342)),"Manual hours",IF(ROUND(I342*3600000,0)=R342,"Source hours","Adjusted hours"))))</x:f>
      </x:c>
      <x:c r="X342" s="10" t="str">
        <x:f>IF(B342="","",IF(AND(ISNUMBER(I342),I342&gt;=0,Q342="In period"),I342,""))</x:f>
      </x:c>
    </x:row>
    <x:row r="343" ht="23" customHeight="1">
      <x:c r="A343" s="3"/>
      <x:c r="B343" s="3"/>
      <x:c r="C343" s="3"/>
      <x:c r="D343" s="3"/>
      <x:c r="E343" s="3"/>
      <x:c r="F343" s="3"/>
      <x:c r="G343" s="3"/>
      <x:c r="H343" s="3"/>
      <x:c r="I343" s="9"/>
      <x:c r="J343" s="3"/>
      <x:c r="K343" s="3"/>
      <x:c r="L343" s="3"/>
      <x:c r="M343" s="1" t="str">
        <x:f>IF(B343="","",IF(W343="Invalid hours","Invalid hours",IF(NOT(ISNUMBER(X343)),"Excluded",IF(AND(J343&lt;&gt;"",K343&lt;&gt;"",L343&lt;&gt;"",COUNTIF('SOW caps'!$N$7:$N$36,A343&amp;"|"&amp;K343)=1),"Mapped","Needs allocation"))))</x:f>
      </x:c>
      <x:c r="N343" s="8" t="str">
        <x:f>IF(B343="","",IF(M343="Mapped",_xlfn.XLOOKUP(A343&amp;"|"&amp;K343,'SOW caps'!$N$7:$N$36,'SOW caps'!$E$7:$E$36,""),IF(ISNUMBER('SOW caps'!$B$3),'SOW caps'!$B$3,"")))</x:f>
      </x:c>
      <x:c r="O343" s="8" t="str">
        <x:f>IF(AND(ISNUMBER(X343),ISNUMBER(N343),N343&gt;=0),X343*N343,"")</x:f>
      </x:c>
      <x:c r="P343" s="3"/>
      <x:c r="Q343" s="3"/>
      <x:c r="R343" s="3"/>
      <x:c r="S343" s="3"/>
      <x:c r="T343" s="3"/>
      <x:c r="U343" s="8" t="str">
        <x:f>IF(M343="Mapped",IF(OR(_xlfn.XLOOKUP(A343&amp;"|"&amp;K343,'SOW caps'!$N$7:$N$36,'SOW caps'!$M$7:$M$36,"")="Ready",_xlfn.XLOOKUP(A343&amp;"|"&amp;K343,'SOW caps'!$N$7:$N$36,'SOW caps'!$M$7:$M$36,"")="No hours"),_xlfn.XLOOKUP(A343&amp;"|"&amp;K343,'SOW caps'!$N$7:$N$36,'SOW caps'!$O$7:$O$36,""),""),"")</x:f>
      </x:c>
      <x:c r="V343" s="8" t="str">
        <x:f>IF(AND(ISNUMBER(U343),ISNUMBER(X343)),ROUND(SUMIFS($X$7:X343,$A$7:A343,A343,$K$7:K343,K343,$M$7:M343,"Mapped")*U343,2)-ROUND((SUMIFS($X$7:X343,$A$7:A343,A343,$K$7:K343,K343,$M$7:M343,"Mapped")-X343)*U343,2),"")</x:f>
      </x:c>
      <x:c r="W343" s="1" t="str">
        <x:f>IF(B343="","",IF(OR(NOT(ISNUMBER(I343)),I343&lt;0),"Invalid hours",IF(NOT(ISNUMBER(R343)),"Manual hours",IF(ROUND(I343*3600000,0)=R343,"Source hours","Adjusted hours"))))</x:f>
      </x:c>
      <x:c r="X343" s="10" t="str">
        <x:f>IF(B343="","",IF(AND(ISNUMBER(I343),I343&gt;=0,Q343="In period"),I343,""))</x:f>
      </x:c>
    </x:row>
    <x:row r="344" ht="23" customHeight="1">
      <x:c r="A344" s="3"/>
      <x:c r="B344" s="3"/>
      <x:c r="C344" s="3"/>
      <x:c r="D344" s="3"/>
      <x:c r="E344" s="3"/>
      <x:c r="F344" s="3"/>
      <x:c r="G344" s="3"/>
      <x:c r="H344" s="3"/>
      <x:c r="I344" s="9"/>
      <x:c r="J344" s="3"/>
      <x:c r="K344" s="3"/>
      <x:c r="L344" s="3"/>
      <x:c r="M344" s="1" t="str">
        <x:f>IF(B344="","",IF(W344="Invalid hours","Invalid hours",IF(NOT(ISNUMBER(X344)),"Excluded",IF(AND(J344&lt;&gt;"",K344&lt;&gt;"",L344&lt;&gt;"",COUNTIF('SOW caps'!$N$7:$N$36,A344&amp;"|"&amp;K344)=1),"Mapped","Needs allocation"))))</x:f>
      </x:c>
      <x:c r="N344" s="8" t="str">
        <x:f>IF(B344="","",IF(M344="Mapped",_xlfn.XLOOKUP(A344&amp;"|"&amp;K344,'SOW caps'!$N$7:$N$36,'SOW caps'!$E$7:$E$36,""),IF(ISNUMBER('SOW caps'!$B$3),'SOW caps'!$B$3,"")))</x:f>
      </x:c>
      <x:c r="O344" s="8" t="str">
        <x:f>IF(AND(ISNUMBER(X344),ISNUMBER(N344),N344&gt;=0),X344*N344,"")</x:f>
      </x:c>
      <x:c r="P344" s="3"/>
      <x:c r="Q344" s="3"/>
      <x:c r="R344" s="3"/>
      <x:c r="S344" s="3"/>
      <x:c r="T344" s="3"/>
      <x:c r="U344" s="8" t="str">
        <x:f>IF(M344="Mapped",IF(OR(_xlfn.XLOOKUP(A344&amp;"|"&amp;K344,'SOW caps'!$N$7:$N$36,'SOW caps'!$M$7:$M$36,"")="Ready",_xlfn.XLOOKUP(A344&amp;"|"&amp;K344,'SOW caps'!$N$7:$N$36,'SOW caps'!$M$7:$M$36,"")="No hours"),_xlfn.XLOOKUP(A344&amp;"|"&amp;K344,'SOW caps'!$N$7:$N$36,'SOW caps'!$O$7:$O$36,""),""),"")</x:f>
      </x:c>
      <x:c r="V344" s="8" t="str">
        <x:f>IF(AND(ISNUMBER(U344),ISNUMBER(X344)),ROUND(SUMIFS($X$7:X344,$A$7:A344,A344,$K$7:K344,K344,$M$7:M344,"Mapped")*U344,2)-ROUND((SUMIFS($X$7:X344,$A$7:A344,A344,$K$7:K344,K344,$M$7:M344,"Mapped")-X344)*U344,2),"")</x:f>
      </x:c>
      <x:c r="W344" s="1" t="str">
        <x:f>IF(B344="","",IF(OR(NOT(ISNUMBER(I344)),I344&lt;0),"Invalid hours",IF(NOT(ISNUMBER(R344)),"Manual hours",IF(ROUND(I344*3600000,0)=R344,"Source hours","Adjusted hours"))))</x:f>
      </x:c>
      <x:c r="X344" s="10" t="str">
        <x:f>IF(B344="","",IF(AND(ISNUMBER(I344),I344&gt;=0,Q344="In period"),I344,""))</x:f>
      </x:c>
    </x:row>
    <x:row r="345" ht="23" customHeight="1">
      <x:c r="A345" s="3"/>
      <x:c r="B345" s="3"/>
      <x:c r="C345" s="3"/>
      <x:c r="D345" s="3"/>
      <x:c r="E345" s="3"/>
      <x:c r="F345" s="3"/>
      <x:c r="G345" s="3"/>
      <x:c r="H345" s="3"/>
      <x:c r="I345" s="9"/>
      <x:c r="J345" s="3"/>
      <x:c r="K345" s="3"/>
      <x:c r="L345" s="3"/>
      <x:c r="M345" s="1" t="str">
        <x:f>IF(B345="","",IF(W345="Invalid hours","Invalid hours",IF(NOT(ISNUMBER(X345)),"Excluded",IF(AND(J345&lt;&gt;"",K345&lt;&gt;"",L345&lt;&gt;"",COUNTIF('SOW caps'!$N$7:$N$36,A345&amp;"|"&amp;K345)=1),"Mapped","Needs allocation"))))</x:f>
      </x:c>
      <x:c r="N345" s="8" t="str">
        <x:f>IF(B345="","",IF(M345="Mapped",_xlfn.XLOOKUP(A345&amp;"|"&amp;K345,'SOW caps'!$N$7:$N$36,'SOW caps'!$E$7:$E$36,""),IF(ISNUMBER('SOW caps'!$B$3),'SOW caps'!$B$3,"")))</x:f>
      </x:c>
      <x:c r="O345" s="8" t="str">
        <x:f>IF(AND(ISNUMBER(X345),ISNUMBER(N345),N345&gt;=0),X345*N345,"")</x:f>
      </x:c>
      <x:c r="P345" s="3"/>
      <x:c r="Q345" s="3"/>
      <x:c r="R345" s="3"/>
      <x:c r="S345" s="3"/>
      <x:c r="T345" s="3"/>
      <x:c r="U345" s="8" t="str">
        <x:f>IF(M345="Mapped",IF(OR(_xlfn.XLOOKUP(A345&amp;"|"&amp;K345,'SOW caps'!$N$7:$N$36,'SOW caps'!$M$7:$M$36,"")="Ready",_xlfn.XLOOKUP(A345&amp;"|"&amp;K345,'SOW caps'!$N$7:$N$36,'SOW caps'!$M$7:$M$36,"")="No hours"),_xlfn.XLOOKUP(A345&amp;"|"&amp;K345,'SOW caps'!$N$7:$N$36,'SOW caps'!$O$7:$O$36,""),""),"")</x:f>
      </x:c>
      <x:c r="V345" s="8" t="str">
        <x:f>IF(AND(ISNUMBER(U345),ISNUMBER(X345)),ROUND(SUMIFS($X$7:X345,$A$7:A345,A345,$K$7:K345,K345,$M$7:M345,"Mapped")*U345,2)-ROUND((SUMIFS($X$7:X345,$A$7:A345,A345,$K$7:K345,K345,$M$7:M345,"Mapped")-X345)*U345,2),"")</x:f>
      </x:c>
      <x:c r="W345" s="1" t="str">
        <x:f>IF(B345="","",IF(OR(NOT(ISNUMBER(I345)),I345&lt;0),"Invalid hours",IF(NOT(ISNUMBER(R345)),"Manual hours",IF(ROUND(I345*3600000,0)=R345,"Source hours","Adjusted hours"))))</x:f>
      </x:c>
      <x:c r="X345" s="10" t="str">
        <x:f>IF(B345="","",IF(AND(ISNUMBER(I345),I345&gt;=0,Q345="In period"),I345,""))</x:f>
      </x:c>
    </x:row>
    <x:row r="346" ht="23" customHeight="1">
      <x:c r="A346" s="3"/>
      <x:c r="B346" s="3"/>
      <x:c r="C346" s="3"/>
      <x:c r="D346" s="3"/>
      <x:c r="E346" s="3"/>
      <x:c r="F346" s="3"/>
      <x:c r="G346" s="3"/>
      <x:c r="H346" s="3"/>
      <x:c r="I346" s="9"/>
      <x:c r="J346" s="3"/>
      <x:c r="K346" s="3"/>
      <x:c r="L346" s="3"/>
      <x:c r="M346" s="1" t="str">
        <x:f>IF(B346="","",IF(W346="Invalid hours","Invalid hours",IF(NOT(ISNUMBER(X346)),"Excluded",IF(AND(J346&lt;&gt;"",K346&lt;&gt;"",L346&lt;&gt;"",COUNTIF('SOW caps'!$N$7:$N$36,A346&amp;"|"&amp;K346)=1),"Mapped","Needs allocation"))))</x:f>
      </x:c>
      <x:c r="N346" s="8" t="str">
        <x:f>IF(B346="","",IF(M346="Mapped",_xlfn.XLOOKUP(A346&amp;"|"&amp;K346,'SOW caps'!$N$7:$N$36,'SOW caps'!$E$7:$E$36,""),IF(ISNUMBER('SOW caps'!$B$3),'SOW caps'!$B$3,"")))</x:f>
      </x:c>
      <x:c r="O346" s="8" t="str">
        <x:f>IF(AND(ISNUMBER(X346),ISNUMBER(N346),N346&gt;=0),X346*N346,"")</x:f>
      </x:c>
      <x:c r="P346" s="3"/>
      <x:c r="Q346" s="3"/>
      <x:c r="R346" s="3"/>
      <x:c r="S346" s="3"/>
      <x:c r="T346" s="3"/>
      <x:c r="U346" s="8" t="str">
        <x:f>IF(M346="Mapped",IF(OR(_xlfn.XLOOKUP(A346&amp;"|"&amp;K346,'SOW caps'!$N$7:$N$36,'SOW caps'!$M$7:$M$36,"")="Ready",_xlfn.XLOOKUP(A346&amp;"|"&amp;K346,'SOW caps'!$N$7:$N$36,'SOW caps'!$M$7:$M$36,"")="No hours"),_xlfn.XLOOKUP(A346&amp;"|"&amp;K346,'SOW caps'!$N$7:$N$36,'SOW caps'!$O$7:$O$36,""),""),"")</x:f>
      </x:c>
      <x:c r="V346" s="8" t="str">
        <x:f>IF(AND(ISNUMBER(U346),ISNUMBER(X346)),ROUND(SUMIFS($X$7:X346,$A$7:A346,A346,$K$7:K346,K346,$M$7:M346,"Mapped")*U346,2)-ROUND((SUMIFS($X$7:X346,$A$7:A346,A346,$K$7:K346,K346,$M$7:M346,"Mapped")-X346)*U346,2),"")</x:f>
      </x:c>
      <x:c r="W346" s="1" t="str">
        <x:f>IF(B346="","",IF(OR(NOT(ISNUMBER(I346)),I346&lt;0),"Invalid hours",IF(NOT(ISNUMBER(R346)),"Manual hours",IF(ROUND(I346*3600000,0)=R346,"Source hours","Adjusted hours"))))</x:f>
      </x:c>
      <x:c r="X346" s="10" t="str">
        <x:f>IF(B346="","",IF(AND(ISNUMBER(I346),I346&gt;=0,Q346="In period"),I346,""))</x:f>
      </x:c>
    </x:row>
    <x:row r="347" ht="23" customHeight="1">
      <x:c r="A347" s="3"/>
      <x:c r="B347" s="3"/>
      <x:c r="C347" s="3"/>
      <x:c r="D347" s="3"/>
      <x:c r="E347" s="3"/>
      <x:c r="F347" s="3"/>
      <x:c r="G347" s="3"/>
      <x:c r="H347" s="3"/>
      <x:c r="I347" s="9"/>
      <x:c r="J347" s="3"/>
      <x:c r="K347" s="3"/>
      <x:c r="L347" s="3"/>
      <x:c r="M347" s="1" t="str">
        <x:f>IF(B347="","",IF(W347="Invalid hours","Invalid hours",IF(NOT(ISNUMBER(X347)),"Excluded",IF(AND(J347&lt;&gt;"",K347&lt;&gt;"",L347&lt;&gt;"",COUNTIF('SOW caps'!$N$7:$N$36,A347&amp;"|"&amp;K347)=1),"Mapped","Needs allocation"))))</x:f>
      </x:c>
      <x:c r="N347" s="8" t="str">
        <x:f>IF(B347="","",IF(M347="Mapped",_xlfn.XLOOKUP(A347&amp;"|"&amp;K347,'SOW caps'!$N$7:$N$36,'SOW caps'!$E$7:$E$36,""),IF(ISNUMBER('SOW caps'!$B$3),'SOW caps'!$B$3,"")))</x:f>
      </x:c>
      <x:c r="O347" s="8" t="str">
        <x:f>IF(AND(ISNUMBER(X347),ISNUMBER(N347),N347&gt;=0),X347*N347,"")</x:f>
      </x:c>
      <x:c r="P347" s="3"/>
      <x:c r="Q347" s="3"/>
      <x:c r="R347" s="3"/>
      <x:c r="S347" s="3"/>
      <x:c r="T347" s="3"/>
      <x:c r="U347" s="8" t="str">
        <x:f>IF(M347="Mapped",IF(OR(_xlfn.XLOOKUP(A347&amp;"|"&amp;K347,'SOW caps'!$N$7:$N$36,'SOW caps'!$M$7:$M$36,"")="Ready",_xlfn.XLOOKUP(A347&amp;"|"&amp;K347,'SOW caps'!$N$7:$N$36,'SOW caps'!$M$7:$M$36,"")="No hours"),_xlfn.XLOOKUP(A347&amp;"|"&amp;K347,'SOW caps'!$N$7:$N$36,'SOW caps'!$O$7:$O$36,""),""),"")</x:f>
      </x:c>
      <x:c r="V347" s="8" t="str">
        <x:f>IF(AND(ISNUMBER(U347),ISNUMBER(X347)),ROUND(SUMIFS($X$7:X347,$A$7:A347,A347,$K$7:K347,K347,$M$7:M347,"Mapped")*U347,2)-ROUND((SUMIFS($X$7:X347,$A$7:A347,A347,$K$7:K347,K347,$M$7:M347,"Mapped")-X347)*U347,2),"")</x:f>
      </x:c>
      <x:c r="W347" s="1" t="str">
        <x:f>IF(B347="","",IF(OR(NOT(ISNUMBER(I347)),I347&lt;0),"Invalid hours",IF(NOT(ISNUMBER(R347)),"Manual hours",IF(ROUND(I347*3600000,0)=R347,"Source hours","Adjusted hours"))))</x:f>
      </x:c>
      <x:c r="X347" s="10" t="str">
        <x:f>IF(B347="","",IF(AND(ISNUMBER(I347),I347&gt;=0,Q347="In period"),I347,""))</x:f>
      </x:c>
    </x:row>
    <x:row r="348" ht="23" customHeight="1">
      <x:c r="A348" s="3"/>
      <x:c r="B348" s="3"/>
      <x:c r="C348" s="3"/>
      <x:c r="D348" s="3"/>
      <x:c r="E348" s="3"/>
      <x:c r="F348" s="3"/>
      <x:c r="G348" s="3"/>
      <x:c r="H348" s="3"/>
      <x:c r="I348" s="9"/>
      <x:c r="J348" s="3"/>
      <x:c r="K348" s="3"/>
      <x:c r="L348" s="3"/>
      <x:c r="M348" s="1" t="str">
        <x:f>IF(B348="","",IF(W348="Invalid hours","Invalid hours",IF(NOT(ISNUMBER(X348)),"Excluded",IF(AND(J348&lt;&gt;"",K348&lt;&gt;"",L348&lt;&gt;"",COUNTIF('SOW caps'!$N$7:$N$36,A348&amp;"|"&amp;K348)=1),"Mapped","Needs allocation"))))</x:f>
      </x:c>
      <x:c r="N348" s="8" t="str">
        <x:f>IF(B348="","",IF(M348="Mapped",_xlfn.XLOOKUP(A348&amp;"|"&amp;K348,'SOW caps'!$N$7:$N$36,'SOW caps'!$E$7:$E$36,""),IF(ISNUMBER('SOW caps'!$B$3),'SOW caps'!$B$3,"")))</x:f>
      </x:c>
      <x:c r="O348" s="8" t="str">
        <x:f>IF(AND(ISNUMBER(X348),ISNUMBER(N348),N348&gt;=0),X348*N348,"")</x:f>
      </x:c>
      <x:c r="P348" s="3"/>
      <x:c r="Q348" s="3"/>
      <x:c r="R348" s="3"/>
      <x:c r="S348" s="3"/>
      <x:c r="T348" s="3"/>
      <x:c r="U348" s="8" t="str">
        <x:f>IF(M348="Mapped",IF(OR(_xlfn.XLOOKUP(A348&amp;"|"&amp;K348,'SOW caps'!$N$7:$N$36,'SOW caps'!$M$7:$M$36,"")="Ready",_xlfn.XLOOKUP(A348&amp;"|"&amp;K348,'SOW caps'!$N$7:$N$36,'SOW caps'!$M$7:$M$36,"")="No hours"),_xlfn.XLOOKUP(A348&amp;"|"&amp;K348,'SOW caps'!$N$7:$N$36,'SOW caps'!$O$7:$O$36,""),""),"")</x:f>
      </x:c>
      <x:c r="V348" s="8" t="str">
        <x:f>IF(AND(ISNUMBER(U348),ISNUMBER(X348)),ROUND(SUMIFS($X$7:X348,$A$7:A348,A348,$K$7:K348,K348,$M$7:M348,"Mapped")*U348,2)-ROUND((SUMIFS($X$7:X348,$A$7:A348,A348,$K$7:K348,K348,$M$7:M348,"Mapped")-X348)*U348,2),"")</x:f>
      </x:c>
      <x:c r="W348" s="1" t="str">
        <x:f>IF(B348="","",IF(OR(NOT(ISNUMBER(I348)),I348&lt;0),"Invalid hours",IF(NOT(ISNUMBER(R348)),"Manual hours",IF(ROUND(I348*3600000,0)=R348,"Source hours","Adjusted hours"))))</x:f>
      </x:c>
      <x:c r="X348" s="10" t="str">
        <x:f>IF(B348="","",IF(AND(ISNUMBER(I348),I348&gt;=0,Q348="In period"),I348,""))</x:f>
      </x:c>
    </x:row>
    <x:row r="349" ht="23" customHeight="1">
      <x:c r="A349" s="3"/>
      <x:c r="B349" s="3"/>
      <x:c r="C349" s="3"/>
      <x:c r="D349" s="3"/>
      <x:c r="E349" s="3"/>
      <x:c r="F349" s="3"/>
      <x:c r="G349" s="3"/>
      <x:c r="H349" s="3"/>
      <x:c r="I349" s="9"/>
      <x:c r="J349" s="3"/>
      <x:c r="K349" s="3"/>
      <x:c r="L349" s="3"/>
      <x:c r="M349" s="1" t="str">
        <x:f>IF(B349="","",IF(W349="Invalid hours","Invalid hours",IF(NOT(ISNUMBER(X349)),"Excluded",IF(AND(J349&lt;&gt;"",K349&lt;&gt;"",L349&lt;&gt;"",COUNTIF('SOW caps'!$N$7:$N$36,A349&amp;"|"&amp;K349)=1),"Mapped","Needs allocation"))))</x:f>
      </x:c>
      <x:c r="N349" s="8" t="str">
        <x:f>IF(B349="","",IF(M349="Mapped",_xlfn.XLOOKUP(A349&amp;"|"&amp;K349,'SOW caps'!$N$7:$N$36,'SOW caps'!$E$7:$E$36,""),IF(ISNUMBER('SOW caps'!$B$3),'SOW caps'!$B$3,"")))</x:f>
      </x:c>
      <x:c r="O349" s="8" t="str">
        <x:f>IF(AND(ISNUMBER(X349),ISNUMBER(N349),N349&gt;=0),X349*N349,"")</x:f>
      </x:c>
      <x:c r="P349" s="3"/>
      <x:c r="Q349" s="3"/>
      <x:c r="R349" s="3"/>
      <x:c r="S349" s="3"/>
      <x:c r="T349" s="3"/>
      <x:c r="U349" s="8" t="str">
        <x:f>IF(M349="Mapped",IF(OR(_xlfn.XLOOKUP(A349&amp;"|"&amp;K349,'SOW caps'!$N$7:$N$36,'SOW caps'!$M$7:$M$36,"")="Ready",_xlfn.XLOOKUP(A349&amp;"|"&amp;K349,'SOW caps'!$N$7:$N$36,'SOW caps'!$M$7:$M$36,"")="No hours"),_xlfn.XLOOKUP(A349&amp;"|"&amp;K349,'SOW caps'!$N$7:$N$36,'SOW caps'!$O$7:$O$36,""),""),"")</x:f>
      </x:c>
      <x:c r="V349" s="8" t="str">
        <x:f>IF(AND(ISNUMBER(U349),ISNUMBER(X349)),ROUND(SUMIFS($X$7:X349,$A$7:A349,A349,$K$7:K349,K349,$M$7:M349,"Mapped")*U349,2)-ROUND((SUMIFS($X$7:X349,$A$7:A349,A349,$K$7:K349,K349,$M$7:M349,"Mapped")-X349)*U349,2),"")</x:f>
      </x:c>
      <x:c r="W349" s="1" t="str">
        <x:f>IF(B349="","",IF(OR(NOT(ISNUMBER(I349)),I349&lt;0),"Invalid hours",IF(NOT(ISNUMBER(R349)),"Manual hours",IF(ROUND(I349*3600000,0)=R349,"Source hours","Adjusted hours"))))</x:f>
      </x:c>
      <x:c r="X349" s="10" t="str">
        <x:f>IF(B349="","",IF(AND(ISNUMBER(I349),I349&gt;=0,Q349="In period"),I349,""))</x:f>
      </x:c>
    </x:row>
    <x:row r="350" ht="23" customHeight="1">
      <x:c r="A350" s="3"/>
      <x:c r="B350" s="3"/>
      <x:c r="C350" s="3"/>
      <x:c r="D350" s="3"/>
      <x:c r="E350" s="3"/>
      <x:c r="F350" s="3"/>
      <x:c r="G350" s="3"/>
      <x:c r="H350" s="3"/>
      <x:c r="I350" s="9"/>
      <x:c r="J350" s="3"/>
      <x:c r="K350" s="3"/>
      <x:c r="L350" s="3"/>
      <x:c r="M350" s="1" t="str">
        <x:f>IF(B350="","",IF(W350="Invalid hours","Invalid hours",IF(NOT(ISNUMBER(X350)),"Excluded",IF(AND(J350&lt;&gt;"",K350&lt;&gt;"",L350&lt;&gt;"",COUNTIF('SOW caps'!$N$7:$N$36,A350&amp;"|"&amp;K350)=1),"Mapped","Needs allocation"))))</x:f>
      </x:c>
      <x:c r="N350" s="8" t="str">
        <x:f>IF(B350="","",IF(M350="Mapped",_xlfn.XLOOKUP(A350&amp;"|"&amp;K350,'SOW caps'!$N$7:$N$36,'SOW caps'!$E$7:$E$36,""),IF(ISNUMBER('SOW caps'!$B$3),'SOW caps'!$B$3,"")))</x:f>
      </x:c>
      <x:c r="O350" s="8" t="str">
        <x:f>IF(AND(ISNUMBER(X350),ISNUMBER(N350),N350&gt;=0),X350*N350,"")</x:f>
      </x:c>
      <x:c r="P350" s="3"/>
      <x:c r="Q350" s="3"/>
      <x:c r="R350" s="3"/>
      <x:c r="S350" s="3"/>
      <x:c r="T350" s="3"/>
      <x:c r="U350" s="8" t="str">
        <x:f>IF(M350="Mapped",IF(OR(_xlfn.XLOOKUP(A350&amp;"|"&amp;K350,'SOW caps'!$N$7:$N$36,'SOW caps'!$M$7:$M$36,"")="Ready",_xlfn.XLOOKUP(A350&amp;"|"&amp;K350,'SOW caps'!$N$7:$N$36,'SOW caps'!$M$7:$M$36,"")="No hours"),_xlfn.XLOOKUP(A350&amp;"|"&amp;K350,'SOW caps'!$N$7:$N$36,'SOW caps'!$O$7:$O$36,""),""),"")</x:f>
      </x:c>
      <x:c r="V350" s="8" t="str">
        <x:f>IF(AND(ISNUMBER(U350),ISNUMBER(X350)),ROUND(SUMIFS($X$7:X350,$A$7:A350,A350,$K$7:K350,K350,$M$7:M350,"Mapped")*U350,2)-ROUND((SUMIFS($X$7:X350,$A$7:A350,A350,$K$7:K350,K350,$M$7:M350,"Mapped")-X350)*U350,2),"")</x:f>
      </x:c>
      <x:c r="W350" s="1" t="str">
        <x:f>IF(B350="","",IF(OR(NOT(ISNUMBER(I350)),I350&lt;0),"Invalid hours",IF(NOT(ISNUMBER(R350)),"Manual hours",IF(ROUND(I350*3600000,0)=R350,"Source hours","Adjusted hours"))))</x:f>
      </x:c>
      <x:c r="X350" s="10" t="str">
        <x:f>IF(B350="","",IF(AND(ISNUMBER(I350),I350&gt;=0,Q350="In period"),I350,""))</x:f>
      </x:c>
    </x:row>
    <x:row r="351" ht="23" customHeight="1">
      <x:c r="A351" s="3"/>
      <x:c r="B351" s="3"/>
      <x:c r="C351" s="3"/>
      <x:c r="D351" s="3"/>
      <x:c r="E351" s="3"/>
      <x:c r="F351" s="3"/>
      <x:c r="G351" s="3"/>
      <x:c r="H351" s="3"/>
      <x:c r="I351" s="9"/>
      <x:c r="J351" s="3"/>
      <x:c r="K351" s="3"/>
      <x:c r="L351" s="3"/>
      <x:c r="M351" s="1" t="str">
        <x:f>IF(B351="","",IF(W351="Invalid hours","Invalid hours",IF(NOT(ISNUMBER(X351)),"Excluded",IF(AND(J351&lt;&gt;"",K351&lt;&gt;"",L351&lt;&gt;"",COUNTIF('SOW caps'!$N$7:$N$36,A351&amp;"|"&amp;K351)=1),"Mapped","Needs allocation"))))</x:f>
      </x:c>
      <x:c r="N351" s="8" t="str">
        <x:f>IF(B351="","",IF(M351="Mapped",_xlfn.XLOOKUP(A351&amp;"|"&amp;K351,'SOW caps'!$N$7:$N$36,'SOW caps'!$E$7:$E$36,""),IF(ISNUMBER('SOW caps'!$B$3),'SOW caps'!$B$3,"")))</x:f>
      </x:c>
      <x:c r="O351" s="8" t="str">
        <x:f>IF(AND(ISNUMBER(X351),ISNUMBER(N351),N351&gt;=0),X351*N351,"")</x:f>
      </x:c>
      <x:c r="P351" s="3"/>
      <x:c r="Q351" s="3"/>
      <x:c r="R351" s="3"/>
      <x:c r="S351" s="3"/>
      <x:c r="T351" s="3"/>
      <x:c r="U351" s="8" t="str">
        <x:f>IF(M351="Mapped",IF(OR(_xlfn.XLOOKUP(A351&amp;"|"&amp;K351,'SOW caps'!$N$7:$N$36,'SOW caps'!$M$7:$M$36,"")="Ready",_xlfn.XLOOKUP(A351&amp;"|"&amp;K351,'SOW caps'!$N$7:$N$36,'SOW caps'!$M$7:$M$36,"")="No hours"),_xlfn.XLOOKUP(A351&amp;"|"&amp;K351,'SOW caps'!$N$7:$N$36,'SOW caps'!$O$7:$O$36,""),""),"")</x:f>
      </x:c>
      <x:c r="V351" s="8" t="str">
        <x:f>IF(AND(ISNUMBER(U351),ISNUMBER(X351)),ROUND(SUMIFS($X$7:X351,$A$7:A351,A351,$K$7:K351,K351,$M$7:M351,"Mapped")*U351,2)-ROUND((SUMIFS($X$7:X351,$A$7:A351,A351,$K$7:K351,K351,$M$7:M351,"Mapped")-X351)*U351,2),"")</x:f>
      </x:c>
      <x:c r="W351" s="1" t="str">
        <x:f>IF(B351="","",IF(OR(NOT(ISNUMBER(I351)),I351&lt;0),"Invalid hours",IF(NOT(ISNUMBER(R351)),"Manual hours",IF(ROUND(I351*3600000,0)=R351,"Source hours","Adjusted hours"))))</x:f>
      </x:c>
      <x:c r="X351" s="10" t="str">
        <x:f>IF(B351="","",IF(AND(ISNUMBER(I351),I351&gt;=0,Q351="In period"),I351,""))</x:f>
      </x:c>
    </x:row>
    <x:row r="352" ht="23" customHeight="1">
      <x:c r="A352" s="3"/>
      <x:c r="B352" s="3"/>
      <x:c r="C352" s="3"/>
      <x:c r="D352" s="3"/>
      <x:c r="E352" s="3"/>
      <x:c r="F352" s="3"/>
      <x:c r="G352" s="3"/>
      <x:c r="H352" s="3"/>
      <x:c r="I352" s="9"/>
      <x:c r="J352" s="3"/>
      <x:c r="K352" s="3"/>
      <x:c r="L352" s="3"/>
      <x:c r="M352" s="1" t="str">
        <x:f>IF(B352="","",IF(W352="Invalid hours","Invalid hours",IF(NOT(ISNUMBER(X352)),"Excluded",IF(AND(J352&lt;&gt;"",K352&lt;&gt;"",L352&lt;&gt;"",COUNTIF('SOW caps'!$N$7:$N$36,A352&amp;"|"&amp;K352)=1),"Mapped","Needs allocation"))))</x:f>
      </x:c>
      <x:c r="N352" s="8" t="str">
        <x:f>IF(B352="","",IF(M352="Mapped",_xlfn.XLOOKUP(A352&amp;"|"&amp;K352,'SOW caps'!$N$7:$N$36,'SOW caps'!$E$7:$E$36,""),IF(ISNUMBER('SOW caps'!$B$3),'SOW caps'!$B$3,"")))</x:f>
      </x:c>
      <x:c r="O352" s="8" t="str">
        <x:f>IF(AND(ISNUMBER(X352),ISNUMBER(N352),N352&gt;=0),X352*N352,"")</x:f>
      </x:c>
      <x:c r="P352" s="3"/>
      <x:c r="Q352" s="3"/>
      <x:c r="R352" s="3"/>
      <x:c r="S352" s="3"/>
      <x:c r="T352" s="3"/>
      <x:c r="U352" s="8" t="str">
        <x:f>IF(M352="Mapped",IF(OR(_xlfn.XLOOKUP(A352&amp;"|"&amp;K352,'SOW caps'!$N$7:$N$36,'SOW caps'!$M$7:$M$36,"")="Ready",_xlfn.XLOOKUP(A352&amp;"|"&amp;K352,'SOW caps'!$N$7:$N$36,'SOW caps'!$M$7:$M$36,"")="No hours"),_xlfn.XLOOKUP(A352&amp;"|"&amp;K352,'SOW caps'!$N$7:$N$36,'SOW caps'!$O$7:$O$36,""),""),"")</x:f>
      </x:c>
      <x:c r="V352" s="8" t="str">
        <x:f>IF(AND(ISNUMBER(U352),ISNUMBER(X352)),ROUND(SUMIFS($X$7:X352,$A$7:A352,A352,$K$7:K352,K352,$M$7:M352,"Mapped")*U352,2)-ROUND((SUMIFS($X$7:X352,$A$7:A352,A352,$K$7:K352,K352,$M$7:M352,"Mapped")-X352)*U352,2),"")</x:f>
      </x:c>
      <x:c r="W352" s="1" t="str">
        <x:f>IF(B352="","",IF(OR(NOT(ISNUMBER(I352)),I352&lt;0),"Invalid hours",IF(NOT(ISNUMBER(R352)),"Manual hours",IF(ROUND(I352*3600000,0)=R352,"Source hours","Adjusted hours"))))</x:f>
      </x:c>
      <x:c r="X352" s="10" t="str">
        <x:f>IF(B352="","",IF(AND(ISNUMBER(I352),I352&gt;=0,Q352="In period"),I352,""))</x:f>
      </x:c>
    </x:row>
    <x:row r="353" ht="23" customHeight="1">
      <x:c r="A353" s="3"/>
      <x:c r="B353" s="3"/>
      <x:c r="C353" s="3"/>
      <x:c r="D353" s="3"/>
      <x:c r="E353" s="3"/>
      <x:c r="F353" s="3"/>
      <x:c r="G353" s="3"/>
      <x:c r="H353" s="3"/>
      <x:c r="I353" s="9"/>
      <x:c r="J353" s="3"/>
      <x:c r="K353" s="3"/>
      <x:c r="L353" s="3"/>
      <x:c r="M353" s="1" t="str">
        <x:f>IF(B353="","",IF(W353="Invalid hours","Invalid hours",IF(NOT(ISNUMBER(X353)),"Excluded",IF(AND(J353&lt;&gt;"",K353&lt;&gt;"",L353&lt;&gt;"",COUNTIF('SOW caps'!$N$7:$N$36,A353&amp;"|"&amp;K353)=1),"Mapped","Needs allocation"))))</x:f>
      </x:c>
      <x:c r="N353" s="8" t="str">
        <x:f>IF(B353="","",IF(M353="Mapped",_xlfn.XLOOKUP(A353&amp;"|"&amp;K353,'SOW caps'!$N$7:$N$36,'SOW caps'!$E$7:$E$36,""),IF(ISNUMBER('SOW caps'!$B$3),'SOW caps'!$B$3,"")))</x:f>
      </x:c>
      <x:c r="O353" s="8" t="str">
        <x:f>IF(AND(ISNUMBER(X353),ISNUMBER(N353),N353&gt;=0),X353*N353,"")</x:f>
      </x:c>
      <x:c r="P353" s="3"/>
      <x:c r="Q353" s="3"/>
      <x:c r="R353" s="3"/>
      <x:c r="S353" s="3"/>
      <x:c r="T353" s="3"/>
      <x:c r="U353" s="8" t="str">
        <x:f>IF(M353="Mapped",IF(OR(_xlfn.XLOOKUP(A353&amp;"|"&amp;K353,'SOW caps'!$N$7:$N$36,'SOW caps'!$M$7:$M$36,"")="Ready",_xlfn.XLOOKUP(A353&amp;"|"&amp;K353,'SOW caps'!$N$7:$N$36,'SOW caps'!$M$7:$M$36,"")="No hours"),_xlfn.XLOOKUP(A353&amp;"|"&amp;K353,'SOW caps'!$N$7:$N$36,'SOW caps'!$O$7:$O$36,""),""),"")</x:f>
      </x:c>
      <x:c r="V353" s="8" t="str">
        <x:f>IF(AND(ISNUMBER(U353),ISNUMBER(X353)),ROUND(SUMIFS($X$7:X353,$A$7:A353,A353,$K$7:K353,K353,$M$7:M353,"Mapped")*U353,2)-ROUND((SUMIFS($X$7:X353,$A$7:A353,A353,$K$7:K353,K353,$M$7:M353,"Mapped")-X353)*U353,2),"")</x:f>
      </x:c>
      <x:c r="W353" s="1" t="str">
        <x:f>IF(B353="","",IF(OR(NOT(ISNUMBER(I353)),I353&lt;0),"Invalid hours",IF(NOT(ISNUMBER(R353)),"Manual hours",IF(ROUND(I353*3600000,0)=R353,"Source hours","Adjusted hours"))))</x:f>
      </x:c>
      <x:c r="X353" s="10" t="str">
        <x:f>IF(B353="","",IF(AND(ISNUMBER(I353),I353&gt;=0,Q353="In period"),I353,""))</x:f>
      </x:c>
    </x:row>
    <x:row r="354" ht="23" customHeight="1">
      <x:c r="A354" s="3"/>
      <x:c r="B354" s="3"/>
      <x:c r="C354" s="3"/>
      <x:c r="D354" s="3"/>
      <x:c r="E354" s="3"/>
      <x:c r="F354" s="3"/>
      <x:c r="G354" s="3"/>
      <x:c r="H354" s="3"/>
      <x:c r="I354" s="9"/>
      <x:c r="J354" s="3"/>
      <x:c r="K354" s="3"/>
      <x:c r="L354" s="3"/>
      <x:c r="M354" s="1" t="str">
        <x:f>IF(B354="","",IF(W354="Invalid hours","Invalid hours",IF(NOT(ISNUMBER(X354)),"Excluded",IF(AND(J354&lt;&gt;"",K354&lt;&gt;"",L354&lt;&gt;"",COUNTIF('SOW caps'!$N$7:$N$36,A354&amp;"|"&amp;K354)=1),"Mapped","Needs allocation"))))</x:f>
      </x:c>
      <x:c r="N354" s="8" t="str">
        <x:f>IF(B354="","",IF(M354="Mapped",_xlfn.XLOOKUP(A354&amp;"|"&amp;K354,'SOW caps'!$N$7:$N$36,'SOW caps'!$E$7:$E$36,""),IF(ISNUMBER('SOW caps'!$B$3),'SOW caps'!$B$3,"")))</x:f>
      </x:c>
      <x:c r="O354" s="8" t="str">
        <x:f>IF(AND(ISNUMBER(X354),ISNUMBER(N354),N354&gt;=0),X354*N354,"")</x:f>
      </x:c>
      <x:c r="P354" s="3"/>
      <x:c r="Q354" s="3"/>
      <x:c r="R354" s="3"/>
      <x:c r="S354" s="3"/>
      <x:c r="T354" s="3"/>
      <x:c r="U354" s="8" t="str">
        <x:f>IF(M354="Mapped",IF(OR(_xlfn.XLOOKUP(A354&amp;"|"&amp;K354,'SOW caps'!$N$7:$N$36,'SOW caps'!$M$7:$M$36,"")="Ready",_xlfn.XLOOKUP(A354&amp;"|"&amp;K354,'SOW caps'!$N$7:$N$36,'SOW caps'!$M$7:$M$36,"")="No hours"),_xlfn.XLOOKUP(A354&amp;"|"&amp;K354,'SOW caps'!$N$7:$N$36,'SOW caps'!$O$7:$O$36,""),""),"")</x:f>
      </x:c>
      <x:c r="V354" s="8" t="str">
        <x:f>IF(AND(ISNUMBER(U354),ISNUMBER(X354)),ROUND(SUMIFS($X$7:X354,$A$7:A354,A354,$K$7:K354,K354,$M$7:M354,"Mapped")*U354,2)-ROUND((SUMIFS($X$7:X354,$A$7:A354,A354,$K$7:K354,K354,$M$7:M354,"Mapped")-X354)*U354,2),"")</x:f>
      </x:c>
      <x:c r="W354" s="1" t="str">
        <x:f>IF(B354="","",IF(OR(NOT(ISNUMBER(I354)),I354&lt;0),"Invalid hours",IF(NOT(ISNUMBER(R354)),"Manual hours",IF(ROUND(I354*3600000,0)=R354,"Source hours","Adjusted hours"))))</x:f>
      </x:c>
      <x:c r="X354" s="10" t="str">
        <x:f>IF(B354="","",IF(AND(ISNUMBER(I354),I354&gt;=0,Q354="In period"),I354,""))</x:f>
      </x:c>
    </x:row>
    <x:row r="355" ht="23" customHeight="1">
      <x:c r="A355" s="3"/>
      <x:c r="B355" s="3"/>
      <x:c r="C355" s="3"/>
      <x:c r="D355" s="3"/>
      <x:c r="E355" s="3"/>
      <x:c r="F355" s="3"/>
      <x:c r="G355" s="3"/>
      <x:c r="H355" s="3"/>
      <x:c r="I355" s="9"/>
      <x:c r="J355" s="3"/>
      <x:c r="K355" s="3"/>
      <x:c r="L355" s="3"/>
      <x:c r="M355" s="1" t="str">
        <x:f>IF(B355="","",IF(W355="Invalid hours","Invalid hours",IF(NOT(ISNUMBER(X355)),"Excluded",IF(AND(J355&lt;&gt;"",K355&lt;&gt;"",L355&lt;&gt;"",COUNTIF('SOW caps'!$N$7:$N$36,A355&amp;"|"&amp;K355)=1),"Mapped","Needs allocation"))))</x:f>
      </x:c>
      <x:c r="N355" s="8" t="str">
        <x:f>IF(B355="","",IF(M355="Mapped",_xlfn.XLOOKUP(A355&amp;"|"&amp;K355,'SOW caps'!$N$7:$N$36,'SOW caps'!$E$7:$E$36,""),IF(ISNUMBER('SOW caps'!$B$3),'SOW caps'!$B$3,"")))</x:f>
      </x:c>
      <x:c r="O355" s="8" t="str">
        <x:f>IF(AND(ISNUMBER(X355),ISNUMBER(N355),N355&gt;=0),X355*N355,"")</x:f>
      </x:c>
      <x:c r="P355" s="3"/>
      <x:c r="Q355" s="3"/>
      <x:c r="R355" s="3"/>
      <x:c r="S355" s="3"/>
      <x:c r="T355" s="3"/>
      <x:c r="U355" s="8" t="str">
        <x:f>IF(M355="Mapped",IF(OR(_xlfn.XLOOKUP(A355&amp;"|"&amp;K355,'SOW caps'!$N$7:$N$36,'SOW caps'!$M$7:$M$36,"")="Ready",_xlfn.XLOOKUP(A355&amp;"|"&amp;K355,'SOW caps'!$N$7:$N$36,'SOW caps'!$M$7:$M$36,"")="No hours"),_xlfn.XLOOKUP(A355&amp;"|"&amp;K355,'SOW caps'!$N$7:$N$36,'SOW caps'!$O$7:$O$36,""),""),"")</x:f>
      </x:c>
      <x:c r="V355" s="8" t="str">
        <x:f>IF(AND(ISNUMBER(U355),ISNUMBER(X355)),ROUND(SUMIFS($X$7:X355,$A$7:A355,A355,$K$7:K355,K355,$M$7:M355,"Mapped")*U355,2)-ROUND((SUMIFS($X$7:X355,$A$7:A355,A355,$K$7:K355,K355,$M$7:M355,"Mapped")-X355)*U355,2),"")</x:f>
      </x:c>
      <x:c r="W355" s="1" t="str">
        <x:f>IF(B355="","",IF(OR(NOT(ISNUMBER(I355)),I355&lt;0),"Invalid hours",IF(NOT(ISNUMBER(R355)),"Manual hours",IF(ROUND(I355*3600000,0)=R355,"Source hours","Adjusted hours"))))</x:f>
      </x:c>
      <x:c r="X355" s="10" t="str">
        <x:f>IF(B355="","",IF(AND(ISNUMBER(I355),I355&gt;=0,Q355="In period"),I355,""))</x:f>
      </x:c>
    </x:row>
    <x:row r="356" ht="23" customHeight="1">
      <x:c r="A356" s="3"/>
      <x:c r="B356" s="3"/>
      <x:c r="C356" s="3"/>
      <x:c r="D356" s="3"/>
      <x:c r="E356" s="3"/>
      <x:c r="F356" s="3"/>
      <x:c r="G356" s="3"/>
      <x:c r="H356" s="3"/>
      <x:c r="I356" s="9"/>
      <x:c r="J356" s="3"/>
      <x:c r="K356" s="3"/>
      <x:c r="L356" s="3"/>
      <x:c r="M356" s="1" t="str">
        <x:f>IF(B356="","",IF(W356="Invalid hours","Invalid hours",IF(NOT(ISNUMBER(X356)),"Excluded",IF(AND(J356&lt;&gt;"",K356&lt;&gt;"",L356&lt;&gt;"",COUNTIF('SOW caps'!$N$7:$N$36,A356&amp;"|"&amp;K356)=1),"Mapped","Needs allocation"))))</x:f>
      </x:c>
      <x:c r="N356" s="8" t="str">
        <x:f>IF(B356="","",IF(M356="Mapped",_xlfn.XLOOKUP(A356&amp;"|"&amp;K356,'SOW caps'!$N$7:$N$36,'SOW caps'!$E$7:$E$36,""),IF(ISNUMBER('SOW caps'!$B$3),'SOW caps'!$B$3,"")))</x:f>
      </x:c>
      <x:c r="O356" s="8" t="str">
        <x:f>IF(AND(ISNUMBER(X356),ISNUMBER(N356),N356&gt;=0),X356*N356,"")</x:f>
      </x:c>
      <x:c r="P356" s="3"/>
      <x:c r="Q356" s="3"/>
      <x:c r="R356" s="3"/>
      <x:c r="S356" s="3"/>
      <x:c r="T356" s="3"/>
      <x:c r="U356" s="8" t="str">
        <x:f>IF(M356="Mapped",IF(OR(_xlfn.XLOOKUP(A356&amp;"|"&amp;K356,'SOW caps'!$N$7:$N$36,'SOW caps'!$M$7:$M$36,"")="Ready",_xlfn.XLOOKUP(A356&amp;"|"&amp;K356,'SOW caps'!$N$7:$N$36,'SOW caps'!$M$7:$M$36,"")="No hours"),_xlfn.XLOOKUP(A356&amp;"|"&amp;K356,'SOW caps'!$N$7:$N$36,'SOW caps'!$O$7:$O$36,""),""),"")</x:f>
      </x:c>
      <x:c r="V356" s="8" t="str">
        <x:f>IF(AND(ISNUMBER(U356),ISNUMBER(X356)),ROUND(SUMIFS($X$7:X356,$A$7:A356,A356,$K$7:K356,K356,$M$7:M356,"Mapped")*U356,2)-ROUND((SUMIFS($X$7:X356,$A$7:A356,A356,$K$7:K356,K356,$M$7:M356,"Mapped")-X356)*U356,2),"")</x:f>
      </x:c>
      <x:c r="W356" s="1" t="str">
        <x:f>IF(B356="","",IF(OR(NOT(ISNUMBER(I356)),I356&lt;0),"Invalid hours",IF(NOT(ISNUMBER(R356)),"Manual hours",IF(ROUND(I356*3600000,0)=R356,"Source hours","Adjusted hours"))))</x:f>
      </x:c>
      <x:c r="X356" s="10" t="str">
        <x:f>IF(B356="","",IF(AND(ISNUMBER(I356),I356&gt;=0,Q356="In period"),I356,""))</x:f>
      </x:c>
    </x:row>
    <x:row r="357" ht="23" customHeight="1">
      <x:c r="A357" s="3"/>
      <x:c r="B357" s="3"/>
      <x:c r="C357" s="3"/>
      <x:c r="D357" s="3"/>
      <x:c r="E357" s="3"/>
      <x:c r="F357" s="3"/>
      <x:c r="G357" s="3"/>
      <x:c r="H357" s="3"/>
      <x:c r="I357" s="9"/>
      <x:c r="J357" s="3"/>
      <x:c r="K357" s="3"/>
      <x:c r="L357" s="3"/>
      <x:c r="M357" s="1" t="str">
        <x:f>IF(B357="","",IF(W357="Invalid hours","Invalid hours",IF(NOT(ISNUMBER(X357)),"Excluded",IF(AND(J357&lt;&gt;"",K357&lt;&gt;"",L357&lt;&gt;"",COUNTIF('SOW caps'!$N$7:$N$36,A357&amp;"|"&amp;K357)=1),"Mapped","Needs allocation"))))</x:f>
      </x:c>
      <x:c r="N357" s="8" t="str">
        <x:f>IF(B357="","",IF(M357="Mapped",_xlfn.XLOOKUP(A357&amp;"|"&amp;K357,'SOW caps'!$N$7:$N$36,'SOW caps'!$E$7:$E$36,""),IF(ISNUMBER('SOW caps'!$B$3),'SOW caps'!$B$3,"")))</x:f>
      </x:c>
      <x:c r="O357" s="8" t="str">
        <x:f>IF(AND(ISNUMBER(X357),ISNUMBER(N357),N357&gt;=0),X357*N357,"")</x:f>
      </x:c>
      <x:c r="P357" s="3"/>
      <x:c r="Q357" s="3"/>
      <x:c r="R357" s="3"/>
      <x:c r="S357" s="3"/>
      <x:c r="T357" s="3"/>
      <x:c r="U357" s="8" t="str">
        <x:f>IF(M357="Mapped",IF(OR(_xlfn.XLOOKUP(A357&amp;"|"&amp;K357,'SOW caps'!$N$7:$N$36,'SOW caps'!$M$7:$M$36,"")="Ready",_xlfn.XLOOKUP(A357&amp;"|"&amp;K357,'SOW caps'!$N$7:$N$36,'SOW caps'!$M$7:$M$36,"")="No hours"),_xlfn.XLOOKUP(A357&amp;"|"&amp;K357,'SOW caps'!$N$7:$N$36,'SOW caps'!$O$7:$O$36,""),""),"")</x:f>
      </x:c>
      <x:c r="V357" s="8" t="str">
        <x:f>IF(AND(ISNUMBER(U357),ISNUMBER(X357)),ROUND(SUMIFS($X$7:X357,$A$7:A357,A357,$K$7:K357,K357,$M$7:M357,"Mapped")*U357,2)-ROUND((SUMIFS($X$7:X357,$A$7:A357,A357,$K$7:K357,K357,$M$7:M357,"Mapped")-X357)*U357,2),"")</x:f>
      </x:c>
      <x:c r="W357" s="1" t="str">
        <x:f>IF(B357="","",IF(OR(NOT(ISNUMBER(I357)),I357&lt;0),"Invalid hours",IF(NOT(ISNUMBER(R357)),"Manual hours",IF(ROUND(I357*3600000,0)=R357,"Source hours","Adjusted hours"))))</x:f>
      </x:c>
      <x:c r="X357" s="10" t="str">
        <x:f>IF(B357="","",IF(AND(ISNUMBER(I357),I357&gt;=0,Q357="In period"),I357,""))</x:f>
      </x:c>
    </x:row>
    <x:row r="358" ht="23" customHeight="1">
      <x:c r="A358" s="3"/>
      <x:c r="B358" s="3"/>
      <x:c r="C358" s="3"/>
      <x:c r="D358" s="3"/>
      <x:c r="E358" s="3"/>
      <x:c r="F358" s="3"/>
      <x:c r="G358" s="3"/>
      <x:c r="H358" s="3"/>
      <x:c r="I358" s="9"/>
      <x:c r="J358" s="3"/>
      <x:c r="K358" s="3"/>
      <x:c r="L358" s="3"/>
      <x:c r="M358" s="1" t="str">
        <x:f>IF(B358="","",IF(W358="Invalid hours","Invalid hours",IF(NOT(ISNUMBER(X358)),"Excluded",IF(AND(J358&lt;&gt;"",K358&lt;&gt;"",L358&lt;&gt;"",COUNTIF('SOW caps'!$N$7:$N$36,A358&amp;"|"&amp;K358)=1),"Mapped","Needs allocation"))))</x:f>
      </x:c>
      <x:c r="N358" s="8" t="str">
        <x:f>IF(B358="","",IF(M358="Mapped",_xlfn.XLOOKUP(A358&amp;"|"&amp;K358,'SOW caps'!$N$7:$N$36,'SOW caps'!$E$7:$E$36,""),IF(ISNUMBER('SOW caps'!$B$3),'SOW caps'!$B$3,"")))</x:f>
      </x:c>
      <x:c r="O358" s="8" t="str">
        <x:f>IF(AND(ISNUMBER(X358),ISNUMBER(N358),N358&gt;=0),X358*N358,"")</x:f>
      </x:c>
      <x:c r="P358" s="3"/>
      <x:c r="Q358" s="3"/>
      <x:c r="R358" s="3"/>
      <x:c r="S358" s="3"/>
      <x:c r="T358" s="3"/>
      <x:c r="U358" s="8" t="str">
        <x:f>IF(M358="Mapped",IF(OR(_xlfn.XLOOKUP(A358&amp;"|"&amp;K358,'SOW caps'!$N$7:$N$36,'SOW caps'!$M$7:$M$36,"")="Ready",_xlfn.XLOOKUP(A358&amp;"|"&amp;K358,'SOW caps'!$N$7:$N$36,'SOW caps'!$M$7:$M$36,"")="No hours"),_xlfn.XLOOKUP(A358&amp;"|"&amp;K358,'SOW caps'!$N$7:$N$36,'SOW caps'!$O$7:$O$36,""),""),"")</x:f>
      </x:c>
      <x:c r="V358" s="8" t="str">
        <x:f>IF(AND(ISNUMBER(U358),ISNUMBER(X358)),ROUND(SUMIFS($X$7:X358,$A$7:A358,A358,$K$7:K358,K358,$M$7:M358,"Mapped")*U358,2)-ROUND((SUMIFS($X$7:X358,$A$7:A358,A358,$K$7:K358,K358,$M$7:M358,"Mapped")-X358)*U358,2),"")</x:f>
      </x:c>
      <x:c r="W358" s="1" t="str">
        <x:f>IF(B358="","",IF(OR(NOT(ISNUMBER(I358)),I358&lt;0),"Invalid hours",IF(NOT(ISNUMBER(R358)),"Manual hours",IF(ROUND(I358*3600000,0)=R358,"Source hours","Adjusted hours"))))</x:f>
      </x:c>
      <x:c r="X358" s="10" t="str">
        <x:f>IF(B358="","",IF(AND(ISNUMBER(I358),I358&gt;=0,Q358="In period"),I358,""))</x:f>
      </x:c>
    </x:row>
    <x:row r="359" ht="23" customHeight="1">
      <x:c r="A359" s="3"/>
      <x:c r="B359" s="3"/>
      <x:c r="C359" s="3"/>
      <x:c r="D359" s="3"/>
      <x:c r="E359" s="3"/>
      <x:c r="F359" s="3"/>
      <x:c r="G359" s="3"/>
      <x:c r="H359" s="3"/>
      <x:c r="I359" s="9"/>
      <x:c r="J359" s="3"/>
      <x:c r="K359" s="3"/>
      <x:c r="L359" s="3"/>
      <x:c r="M359" s="1" t="str">
        <x:f>IF(B359="","",IF(W359="Invalid hours","Invalid hours",IF(NOT(ISNUMBER(X359)),"Excluded",IF(AND(J359&lt;&gt;"",K359&lt;&gt;"",L359&lt;&gt;"",COUNTIF('SOW caps'!$N$7:$N$36,A359&amp;"|"&amp;K359)=1),"Mapped","Needs allocation"))))</x:f>
      </x:c>
      <x:c r="N359" s="8" t="str">
        <x:f>IF(B359="","",IF(M359="Mapped",_xlfn.XLOOKUP(A359&amp;"|"&amp;K359,'SOW caps'!$N$7:$N$36,'SOW caps'!$E$7:$E$36,""),IF(ISNUMBER('SOW caps'!$B$3),'SOW caps'!$B$3,"")))</x:f>
      </x:c>
      <x:c r="O359" s="8" t="str">
        <x:f>IF(AND(ISNUMBER(X359),ISNUMBER(N359),N359&gt;=0),X359*N359,"")</x:f>
      </x:c>
      <x:c r="P359" s="3"/>
      <x:c r="Q359" s="3"/>
      <x:c r="R359" s="3"/>
      <x:c r="S359" s="3"/>
      <x:c r="T359" s="3"/>
      <x:c r="U359" s="8" t="str">
        <x:f>IF(M359="Mapped",IF(OR(_xlfn.XLOOKUP(A359&amp;"|"&amp;K359,'SOW caps'!$N$7:$N$36,'SOW caps'!$M$7:$M$36,"")="Ready",_xlfn.XLOOKUP(A359&amp;"|"&amp;K359,'SOW caps'!$N$7:$N$36,'SOW caps'!$M$7:$M$36,"")="No hours"),_xlfn.XLOOKUP(A359&amp;"|"&amp;K359,'SOW caps'!$N$7:$N$36,'SOW caps'!$O$7:$O$36,""),""),"")</x:f>
      </x:c>
      <x:c r="V359" s="8" t="str">
        <x:f>IF(AND(ISNUMBER(U359),ISNUMBER(X359)),ROUND(SUMIFS($X$7:X359,$A$7:A359,A359,$K$7:K359,K359,$M$7:M359,"Mapped")*U359,2)-ROUND((SUMIFS($X$7:X359,$A$7:A359,A359,$K$7:K359,K359,$M$7:M359,"Mapped")-X359)*U359,2),"")</x:f>
      </x:c>
      <x:c r="W359" s="1" t="str">
        <x:f>IF(B359="","",IF(OR(NOT(ISNUMBER(I359)),I359&lt;0),"Invalid hours",IF(NOT(ISNUMBER(R359)),"Manual hours",IF(ROUND(I359*3600000,0)=R359,"Source hours","Adjusted hours"))))</x:f>
      </x:c>
      <x:c r="X359" s="10" t="str">
        <x:f>IF(B359="","",IF(AND(ISNUMBER(I359),I359&gt;=0,Q359="In period"),I359,""))</x:f>
      </x:c>
    </x:row>
    <x:row r="360" ht="23" customHeight="1">
      <x:c r="A360" s="3"/>
      <x:c r="B360" s="3"/>
      <x:c r="C360" s="3"/>
      <x:c r="D360" s="3"/>
      <x:c r="E360" s="3"/>
      <x:c r="F360" s="3"/>
      <x:c r="G360" s="3"/>
      <x:c r="H360" s="3"/>
      <x:c r="I360" s="9"/>
      <x:c r="J360" s="3"/>
      <x:c r="K360" s="3"/>
      <x:c r="L360" s="3"/>
      <x:c r="M360" s="1" t="str">
        <x:f>IF(B360="","",IF(W360="Invalid hours","Invalid hours",IF(NOT(ISNUMBER(X360)),"Excluded",IF(AND(J360&lt;&gt;"",K360&lt;&gt;"",L360&lt;&gt;"",COUNTIF('SOW caps'!$N$7:$N$36,A360&amp;"|"&amp;K360)=1),"Mapped","Needs allocation"))))</x:f>
      </x:c>
      <x:c r="N360" s="8" t="str">
        <x:f>IF(B360="","",IF(M360="Mapped",_xlfn.XLOOKUP(A360&amp;"|"&amp;K360,'SOW caps'!$N$7:$N$36,'SOW caps'!$E$7:$E$36,""),IF(ISNUMBER('SOW caps'!$B$3),'SOW caps'!$B$3,"")))</x:f>
      </x:c>
      <x:c r="O360" s="8" t="str">
        <x:f>IF(AND(ISNUMBER(X360),ISNUMBER(N360),N360&gt;=0),X360*N360,"")</x:f>
      </x:c>
      <x:c r="P360" s="3"/>
      <x:c r="Q360" s="3"/>
      <x:c r="R360" s="3"/>
      <x:c r="S360" s="3"/>
      <x:c r="T360" s="3"/>
      <x:c r="U360" s="8" t="str">
        <x:f>IF(M360="Mapped",IF(OR(_xlfn.XLOOKUP(A360&amp;"|"&amp;K360,'SOW caps'!$N$7:$N$36,'SOW caps'!$M$7:$M$36,"")="Ready",_xlfn.XLOOKUP(A360&amp;"|"&amp;K360,'SOW caps'!$N$7:$N$36,'SOW caps'!$M$7:$M$36,"")="No hours"),_xlfn.XLOOKUP(A360&amp;"|"&amp;K360,'SOW caps'!$N$7:$N$36,'SOW caps'!$O$7:$O$36,""),""),"")</x:f>
      </x:c>
      <x:c r="V360" s="8" t="str">
        <x:f>IF(AND(ISNUMBER(U360),ISNUMBER(X360)),ROUND(SUMIFS($X$7:X360,$A$7:A360,A360,$K$7:K360,K360,$M$7:M360,"Mapped")*U360,2)-ROUND((SUMIFS($X$7:X360,$A$7:A360,A360,$K$7:K360,K360,$M$7:M360,"Mapped")-X360)*U360,2),"")</x:f>
      </x:c>
      <x:c r="W360" s="1" t="str">
        <x:f>IF(B360="","",IF(OR(NOT(ISNUMBER(I360)),I360&lt;0),"Invalid hours",IF(NOT(ISNUMBER(R360)),"Manual hours",IF(ROUND(I360*3600000,0)=R360,"Source hours","Adjusted hours"))))</x:f>
      </x:c>
      <x:c r="X360" s="10" t="str">
        <x:f>IF(B360="","",IF(AND(ISNUMBER(I360),I360&gt;=0,Q360="In period"),I360,""))</x:f>
      </x:c>
    </x:row>
    <x:row r="361" ht="23" customHeight="1">
      <x:c r="A361" s="3"/>
      <x:c r="B361" s="3"/>
      <x:c r="C361" s="3"/>
      <x:c r="D361" s="3"/>
      <x:c r="E361" s="3"/>
      <x:c r="F361" s="3"/>
      <x:c r="G361" s="3"/>
      <x:c r="H361" s="3"/>
      <x:c r="I361" s="9"/>
      <x:c r="J361" s="3"/>
      <x:c r="K361" s="3"/>
      <x:c r="L361" s="3"/>
      <x:c r="M361" s="1" t="str">
        <x:f>IF(B361="","",IF(W361="Invalid hours","Invalid hours",IF(NOT(ISNUMBER(X361)),"Excluded",IF(AND(J361&lt;&gt;"",K361&lt;&gt;"",L361&lt;&gt;"",COUNTIF('SOW caps'!$N$7:$N$36,A361&amp;"|"&amp;K361)=1),"Mapped","Needs allocation"))))</x:f>
      </x:c>
      <x:c r="N361" s="8" t="str">
        <x:f>IF(B361="","",IF(M361="Mapped",_xlfn.XLOOKUP(A361&amp;"|"&amp;K361,'SOW caps'!$N$7:$N$36,'SOW caps'!$E$7:$E$36,""),IF(ISNUMBER('SOW caps'!$B$3),'SOW caps'!$B$3,"")))</x:f>
      </x:c>
      <x:c r="O361" s="8" t="str">
        <x:f>IF(AND(ISNUMBER(X361),ISNUMBER(N361),N361&gt;=0),X361*N361,"")</x:f>
      </x:c>
      <x:c r="P361" s="3"/>
      <x:c r="Q361" s="3"/>
      <x:c r="R361" s="3"/>
      <x:c r="S361" s="3"/>
      <x:c r="T361" s="3"/>
      <x:c r="U361" s="8" t="str">
        <x:f>IF(M361="Mapped",IF(OR(_xlfn.XLOOKUP(A361&amp;"|"&amp;K361,'SOW caps'!$N$7:$N$36,'SOW caps'!$M$7:$M$36,"")="Ready",_xlfn.XLOOKUP(A361&amp;"|"&amp;K361,'SOW caps'!$N$7:$N$36,'SOW caps'!$M$7:$M$36,"")="No hours"),_xlfn.XLOOKUP(A361&amp;"|"&amp;K361,'SOW caps'!$N$7:$N$36,'SOW caps'!$O$7:$O$36,""),""),"")</x:f>
      </x:c>
      <x:c r="V361" s="8" t="str">
        <x:f>IF(AND(ISNUMBER(U361),ISNUMBER(X361)),ROUND(SUMIFS($X$7:X361,$A$7:A361,A361,$K$7:K361,K361,$M$7:M361,"Mapped")*U361,2)-ROUND((SUMIFS($X$7:X361,$A$7:A361,A361,$K$7:K361,K361,$M$7:M361,"Mapped")-X361)*U361,2),"")</x:f>
      </x:c>
      <x:c r="W361" s="1" t="str">
        <x:f>IF(B361="","",IF(OR(NOT(ISNUMBER(I361)),I361&lt;0),"Invalid hours",IF(NOT(ISNUMBER(R361)),"Manual hours",IF(ROUND(I361*3600000,0)=R361,"Source hours","Adjusted hours"))))</x:f>
      </x:c>
      <x:c r="X361" s="10" t="str">
        <x:f>IF(B361="","",IF(AND(ISNUMBER(I361),I361&gt;=0,Q361="In period"),I361,""))</x:f>
      </x:c>
    </x:row>
    <x:row r="362" ht="23" customHeight="1">
      <x:c r="A362" s="3"/>
      <x:c r="B362" s="3"/>
      <x:c r="C362" s="3"/>
      <x:c r="D362" s="3"/>
      <x:c r="E362" s="3"/>
      <x:c r="F362" s="3"/>
      <x:c r="G362" s="3"/>
      <x:c r="H362" s="3"/>
      <x:c r="I362" s="9"/>
      <x:c r="J362" s="3"/>
      <x:c r="K362" s="3"/>
      <x:c r="L362" s="3"/>
      <x:c r="M362" s="1" t="str">
        <x:f>IF(B362="","",IF(W362="Invalid hours","Invalid hours",IF(NOT(ISNUMBER(X362)),"Excluded",IF(AND(J362&lt;&gt;"",K362&lt;&gt;"",L362&lt;&gt;"",COUNTIF('SOW caps'!$N$7:$N$36,A362&amp;"|"&amp;K362)=1),"Mapped","Needs allocation"))))</x:f>
      </x:c>
      <x:c r="N362" s="8" t="str">
        <x:f>IF(B362="","",IF(M362="Mapped",_xlfn.XLOOKUP(A362&amp;"|"&amp;K362,'SOW caps'!$N$7:$N$36,'SOW caps'!$E$7:$E$36,""),IF(ISNUMBER('SOW caps'!$B$3),'SOW caps'!$B$3,"")))</x:f>
      </x:c>
      <x:c r="O362" s="8" t="str">
        <x:f>IF(AND(ISNUMBER(X362),ISNUMBER(N362),N362&gt;=0),X362*N362,"")</x:f>
      </x:c>
      <x:c r="P362" s="3"/>
      <x:c r="Q362" s="3"/>
      <x:c r="R362" s="3"/>
      <x:c r="S362" s="3"/>
      <x:c r="T362" s="3"/>
      <x:c r="U362" s="8" t="str">
        <x:f>IF(M362="Mapped",IF(OR(_xlfn.XLOOKUP(A362&amp;"|"&amp;K362,'SOW caps'!$N$7:$N$36,'SOW caps'!$M$7:$M$36,"")="Ready",_xlfn.XLOOKUP(A362&amp;"|"&amp;K362,'SOW caps'!$N$7:$N$36,'SOW caps'!$M$7:$M$36,"")="No hours"),_xlfn.XLOOKUP(A362&amp;"|"&amp;K362,'SOW caps'!$N$7:$N$36,'SOW caps'!$O$7:$O$36,""),""),"")</x:f>
      </x:c>
      <x:c r="V362" s="8" t="str">
        <x:f>IF(AND(ISNUMBER(U362),ISNUMBER(X362)),ROUND(SUMIFS($X$7:X362,$A$7:A362,A362,$K$7:K362,K362,$M$7:M362,"Mapped")*U362,2)-ROUND((SUMIFS($X$7:X362,$A$7:A362,A362,$K$7:K362,K362,$M$7:M362,"Mapped")-X362)*U362,2),"")</x:f>
      </x:c>
      <x:c r="W362" s="1" t="str">
        <x:f>IF(B362="","",IF(OR(NOT(ISNUMBER(I362)),I362&lt;0),"Invalid hours",IF(NOT(ISNUMBER(R362)),"Manual hours",IF(ROUND(I362*3600000,0)=R362,"Source hours","Adjusted hours"))))</x:f>
      </x:c>
      <x:c r="X362" s="10" t="str">
        <x:f>IF(B362="","",IF(AND(ISNUMBER(I362),I362&gt;=0,Q362="In period"),I362,""))</x:f>
      </x:c>
    </x:row>
    <x:row r="363" ht="23" customHeight="1">
      <x:c r="A363" s="3"/>
      <x:c r="B363" s="3"/>
      <x:c r="C363" s="3"/>
      <x:c r="D363" s="3"/>
      <x:c r="E363" s="3"/>
      <x:c r="F363" s="3"/>
      <x:c r="G363" s="3"/>
      <x:c r="H363" s="3"/>
      <x:c r="I363" s="9"/>
      <x:c r="J363" s="3"/>
      <x:c r="K363" s="3"/>
      <x:c r="L363" s="3"/>
      <x:c r="M363" s="1" t="str">
        <x:f>IF(B363="","",IF(W363="Invalid hours","Invalid hours",IF(NOT(ISNUMBER(X363)),"Excluded",IF(AND(J363&lt;&gt;"",K363&lt;&gt;"",L363&lt;&gt;"",COUNTIF('SOW caps'!$N$7:$N$36,A363&amp;"|"&amp;K363)=1),"Mapped","Needs allocation"))))</x:f>
      </x:c>
      <x:c r="N363" s="8" t="str">
        <x:f>IF(B363="","",IF(M363="Mapped",_xlfn.XLOOKUP(A363&amp;"|"&amp;K363,'SOW caps'!$N$7:$N$36,'SOW caps'!$E$7:$E$36,""),IF(ISNUMBER('SOW caps'!$B$3),'SOW caps'!$B$3,"")))</x:f>
      </x:c>
      <x:c r="O363" s="8" t="str">
        <x:f>IF(AND(ISNUMBER(X363),ISNUMBER(N363),N363&gt;=0),X363*N363,"")</x:f>
      </x:c>
      <x:c r="P363" s="3"/>
      <x:c r="Q363" s="3"/>
      <x:c r="R363" s="3"/>
      <x:c r="S363" s="3"/>
      <x:c r="T363" s="3"/>
      <x:c r="U363" s="8" t="str">
        <x:f>IF(M363="Mapped",IF(OR(_xlfn.XLOOKUP(A363&amp;"|"&amp;K363,'SOW caps'!$N$7:$N$36,'SOW caps'!$M$7:$M$36,"")="Ready",_xlfn.XLOOKUP(A363&amp;"|"&amp;K363,'SOW caps'!$N$7:$N$36,'SOW caps'!$M$7:$M$36,"")="No hours"),_xlfn.XLOOKUP(A363&amp;"|"&amp;K363,'SOW caps'!$N$7:$N$36,'SOW caps'!$O$7:$O$36,""),""),"")</x:f>
      </x:c>
      <x:c r="V363" s="8" t="str">
        <x:f>IF(AND(ISNUMBER(U363),ISNUMBER(X363)),ROUND(SUMIFS($X$7:X363,$A$7:A363,A363,$K$7:K363,K363,$M$7:M363,"Mapped")*U363,2)-ROUND((SUMIFS($X$7:X363,$A$7:A363,A363,$K$7:K363,K363,$M$7:M363,"Mapped")-X363)*U363,2),"")</x:f>
      </x:c>
      <x:c r="W363" s="1" t="str">
        <x:f>IF(B363="","",IF(OR(NOT(ISNUMBER(I363)),I363&lt;0),"Invalid hours",IF(NOT(ISNUMBER(R363)),"Manual hours",IF(ROUND(I363*3600000,0)=R363,"Source hours","Adjusted hours"))))</x:f>
      </x:c>
      <x:c r="X363" s="10" t="str">
        <x:f>IF(B363="","",IF(AND(ISNUMBER(I363),I363&gt;=0,Q363="In period"),I363,""))</x:f>
      </x:c>
    </x:row>
    <x:row r="364" ht="23" customHeight="1">
      <x:c r="A364" s="3"/>
      <x:c r="B364" s="3"/>
      <x:c r="C364" s="3"/>
      <x:c r="D364" s="3"/>
      <x:c r="E364" s="3"/>
      <x:c r="F364" s="3"/>
      <x:c r="G364" s="3"/>
      <x:c r="H364" s="3"/>
      <x:c r="I364" s="9"/>
      <x:c r="J364" s="3"/>
      <x:c r="K364" s="3"/>
      <x:c r="L364" s="3"/>
      <x:c r="M364" s="1" t="str">
        <x:f>IF(B364="","",IF(W364="Invalid hours","Invalid hours",IF(NOT(ISNUMBER(X364)),"Excluded",IF(AND(J364&lt;&gt;"",K364&lt;&gt;"",L364&lt;&gt;"",COUNTIF('SOW caps'!$N$7:$N$36,A364&amp;"|"&amp;K364)=1),"Mapped","Needs allocation"))))</x:f>
      </x:c>
      <x:c r="N364" s="8" t="str">
        <x:f>IF(B364="","",IF(M364="Mapped",_xlfn.XLOOKUP(A364&amp;"|"&amp;K364,'SOW caps'!$N$7:$N$36,'SOW caps'!$E$7:$E$36,""),IF(ISNUMBER('SOW caps'!$B$3),'SOW caps'!$B$3,"")))</x:f>
      </x:c>
      <x:c r="O364" s="8" t="str">
        <x:f>IF(AND(ISNUMBER(X364),ISNUMBER(N364),N364&gt;=0),X364*N364,"")</x:f>
      </x:c>
      <x:c r="P364" s="3"/>
      <x:c r="Q364" s="3"/>
      <x:c r="R364" s="3"/>
      <x:c r="S364" s="3"/>
      <x:c r="T364" s="3"/>
      <x:c r="U364" s="8" t="str">
        <x:f>IF(M364="Mapped",IF(OR(_xlfn.XLOOKUP(A364&amp;"|"&amp;K364,'SOW caps'!$N$7:$N$36,'SOW caps'!$M$7:$M$36,"")="Ready",_xlfn.XLOOKUP(A364&amp;"|"&amp;K364,'SOW caps'!$N$7:$N$36,'SOW caps'!$M$7:$M$36,"")="No hours"),_xlfn.XLOOKUP(A364&amp;"|"&amp;K364,'SOW caps'!$N$7:$N$36,'SOW caps'!$O$7:$O$36,""),""),"")</x:f>
      </x:c>
      <x:c r="V364" s="8" t="str">
        <x:f>IF(AND(ISNUMBER(U364),ISNUMBER(X364)),ROUND(SUMIFS($X$7:X364,$A$7:A364,A364,$K$7:K364,K364,$M$7:M364,"Mapped")*U364,2)-ROUND((SUMIFS($X$7:X364,$A$7:A364,A364,$K$7:K364,K364,$M$7:M364,"Mapped")-X364)*U364,2),"")</x:f>
      </x:c>
      <x:c r="W364" s="1" t="str">
        <x:f>IF(B364="","",IF(OR(NOT(ISNUMBER(I364)),I364&lt;0),"Invalid hours",IF(NOT(ISNUMBER(R364)),"Manual hours",IF(ROUND(I364*3600000,0)=R364,"Source hours","Adjusted hours"))))</x:f>
      </x:c>
      <x:c r="X364" s="10" t="str">
        <x:f>IF(B364="","",IF(AND(ISNUMBER(I364),I364&gt;=0,Q364="In period"),I364,""))</x:f>
      </x:c>
    </x:row>
    <x:row r="365" ht="23" customHeight="1">
      <x:c r="A365" s="3"/>
      <x:c r="B365" s="3"/>
      <x:c r="C365" s="3"/>
      <x:c r="D365" s="3"/>
      <x:c r="E365" s="3"/>
      <x:c r="F365" s="3"/>
      <x:c r="G365" s="3"/>
      <x:c r="H365" s="3"/>
      <x:c r="I365" s="9"/>
      <x:c r="J365" s="3"/>
      <x:c r="K365" s="3"/>
      <x:c r="L365" s="3"/>
      <x:c r="M365" s="1" t="str">
        <x:f>IF(B365="","",IF(W365="Invalid hours","Invalid hours",IF(NOT(ISNUMBER(X365)),"Excluded",IF(AND(J365&lt;&gt;"",K365&lt;&gt;"",L365&lt;&gt;"",COUNTIF('SOW caps'!$N$7:$N$36,A365&amp;"|"&amp;K365)=1),"Mapped","Needs allocation"))))</x:f>
      </x:c>
      <x:c r="N365" s="8" t="str">
        <x:f>IF(B365="","",IF(M365="Mapped",_xlfn.XLOOKUP(A365&amp;"|"&amp;K365,'SOW caps'!$N$7:$N$36,'SOW caps'!$E$7:$E$36,""),IF(ISNUMBER('SOW caps'!$B$3),'SOW caps'!$B$3,"")))</x:f>
      </x:c>
      <x:c r="O365" s="8" t="str">
        <x:f>IF(AND(ISNUMBER(X365),ISNUMBER(N365),N365&gt;=0),X365*N365,"")</x:f>
      </x:c>
      <x:c r="P365" s="3"/>
      <x:c r="Q365" s="3"/>
      <x:c r="R365" s="3"/>
      <x:c r="S365" s="3"/>
      <x:c r="T365" s="3"/>
      <x:c r="U365" s="8" t="str">
        <x:f>IF(M365="Mapped",IF(OR(_xlfn.XLOOKUP(A365&amp;"|"&amp;K365,'SOW caps'!$N$7:$N$36,'SOW caps'!$M$7:$M$36,"")="Ready",_xlfn.XLOOKUP(A365&amp;"|"&amp;K365,'SOW caps'!$N$7:$N$36,'SOW caps'!$M$7:$M$36,"")="No hours"),_xlfn.XLOOKUP(A365&amp;"|"&amp;K365,'SOW caps'!$N$7:$N$36,'SOW caps'!$O$7:$O$36,""),""),"")</x:f>
      </x:c>
      <x:c r="V365" s="8" t="str">
        <x:f>IF(AND(ISNUMBER(U365),ISNUMBER(X365)),ROUND(SUMIFS($X$7:X365,$A$7:A365,A365,$K$7:K365,K365,$M$7:M365,"Mapped")*U365,2)-ROUND((SUMIFS($X$7:X365,$A$7:A365,A365,$K$7:K365,K365,$M$7:M365,"Mapped")-X365)*U365,2),"")</x:f>
      </x:c>
      <x:c r="W365" s="1" t="str">
        <x:f>IF(B365="","",IF(OR(NOT(ISNUMBER(I365)),I365&lt;0),"Invalid hours",IF(NOT(ISNUMBER(R365)),"Manual hours",IF(ROUND(I365*3600000,0)=R365,"Source hours","Adjusted hours"))))</x:f>
      </x:c>
      <x:c r="X365" s="10" t="str">
        <x:f>IF(B365="","",IF(AND(ISNUMBER(I365),I365&gt;=0,Q365="In period"),I365,""))</x:f>
      </x:c>
    </x:row>
    <x:row r="366" ht="23" customHeight="1">
      <x:c r="A366" s="3"/>
      <x:c r="B366" s="3"/>
      <x:c r="C366" s="3"/>
      <x:c r="D366" s="3"/>
      <x:c r="E366" s="3"/>
      <x:c r="F366" s="3"/>
      <x:c r="G366" s="3"/>
      <x:c r="H366" s="3"/>
      <x:c r="I366" s="9"/>
      <x:c r="J366" s="3"/>
      <x:c r="K366" s="3"/>
      <x:c r="L366" s="3"/>
      <x:c r="M366" s="1" t="str">
        <x:f>IF(B366="","",IF(W366="Invalid hours","Invalid hours",IF(NOT(ISNUMBER(X366)),"Excluded",IF(AND(J366&lt;&gt;"",K366&lt;&gt;"",L366&lt;&gt;"",COUNTIF('SOW caps'!$N$7:$N$36,A366&amp;"|"&amp;K366)=1),"Mapped","Needs allocation"))))</x:f>
      </x:c>
      <x:c r="N366" s="8" t="str">
        <x:f>IF(B366="","",IF(M366="Mapped",_xlfn.XLOOKUP(A366&amp;"|"&amp;K366,'SOW caps'!$N$7:$N$36,'SOW caps'!$E$7:$E$36,""),IF(ISNUMBER('SOW caps'!$B$3),'SOW caps'!$B$3,"")))</x:f>
      </x:c>
      <x:c r="O366" s="8" t="str">
        <x:f>IF(AND(ISNUMBER(X366),ISNUMBER(N366),N366&gt;=0),X366*N366,"")</x:f>
      </x:c>
      <x:c r="P366" s="3"/>
      <x:c r="Q366" s="3"/>
      <x:c r="R366" s="3"/>
      <x:c r="S366" s="3"/>
      <x:c r="T366" s="3"/>
      <x:c r="U366" s="8" t="str">
        <x:f>IF(M366="Mapped",IF(OR(_xlfn.XLOOKUP(A366&amp;"|"&amp;K366,'SOW caps'!$N$7:$N$36,'SOW caps'!$M$7:$M$36,"")="Ready",_xlfn.XLOOKUP(A366&amp;"|"&amp;K366,'SOW caps'!$N$7:$N$36,'SOW caps'!$M$7:$M$36,"")="No hours"),_xlfn.XLOOKUP(A366&amp;"|"&amp;K366,'SOW caps'!$N$7:$N$36,'SOW caps'!$O$7:$O$36,""),""),"")</x:f>
      </x:c>
      <x:c r="V366" s="8" t="str">
        <x:f>IF(AND(ISNUMBER(U366),ISNUMBER(X366)),ROUND(SUMIFS($X$7:X366,$A$7:A366,A366,$K$7:K366,K366,$M$7:M366,"Mapped")*U366,2)-ROUND((SUMIFS($X$7:X366,$A$7:A366,A366,$K$7:K366,K366,$M$7:M366,"Mapped")-X366)*U366,2),"")</x:f>
      </x:c>
      <x:c r="W366" s="1" t="str">
        <x:f>IF(B366="","",IF(OR(NOT(ISNUMBER(I366)),I366&lt;0),"Invalid hours",IF(NOT(ISNUMBER(R366)),"Manual hours",IF(ROUND(I366*3600000,0)=R366,"Source hours","Adjusted hours"))))</x:f>
      </x:c>
      <x:c r="X366" s="10" t="str">
        <x:f>IF(B366="","",IF(AND(ISNUMBER(I366),I366&gt;=0,Q366="In period"),I366,""))</x:f>
      </x:c>
    </x:row>
    <x:row r="367" ht="23" customHeight="1">
      <x:c r="A367" s="3"/>
      <x:c r="B367" s="3"/>
      <x:c r="C367" s="3"/>
      <x:c r="D367" s="3"/>
      <x:c r="E367" s="3"/>
      <x:c r="F367" s="3"/>
      <x:c r="G367" s="3"/>
      <x:c r="H367" s="3"/>
      <x:c r="I367" s="9"/>
      <x:c r="J367" s="3"/>
      <x:c r="K367" s="3"/>
      <x:c r="L367" s="3"/>
      <x:c r="M367" s="1" t="str">
        <x:f>IF(B367="","",IF(W367="Invalid hours","Invalid hours",IF(NOT(ISNUMBER(X367)),"Excluded",IF(AND(J367&lt;&gt;"",K367&lt;&gt;"",L367&lt;&gt;"",COUNTIF('SOW caps'!$N$7:$N$36,A367&amp;"|"&amp;K367)=1),"Mapped","Needs allocation"))))</x:f>
      </x:c>
      <x:c r="N367" s="8" t="str">
        <x:f>IF(B367="","",IF(M367="Mapped",_xlfn.XLOOKUP(A367&amp;"|"&amp;K367,'SOW caps'!$N$7:$N$36,'SOW caps'!$E$7:$E$36,""),IF(ISNUMBER('SOW caps'!$B$3),'SOW caps'!$B$3,"")))</x:f>
      </x:c>
      <x:c r="O367" s="8" t="str">
        <x:f>IF(AND(ISNUMBER(X367),ISNUMBER(N367),N367&gt;=0),X367*N367,"")</x:f>
      </x:c>
      <x:c r="P367" s="3"/>
      <x:c r="Q367" s="3"/>
      <x:c r="R367" s="3"/>
      <x:c r="S367" s="3"/>
      <x:c r="T367" s="3"/>
      <x:c r="U367" s="8" t="str">
        <x:f>IF(M367="Mapped",IF(OR(_xlfn.XLOOKUP(A367&amp;"|"&amp;K367,'SOW caps'!$N$7:$N$36,'SOW caps'!$M$7:$M$36,"")="Ready",_xlfn.XLOOKUP(A367&amp;"|"&amp;K367,'SOW caps'!$N$7:$N$36,'SOW caps'!$M$7:$M$36,"")="No hours"),_xlfn.XLOOKUP(A367&amp;"|"&amp;K367,'SOW caps'!$N$7:$N$36,'SOW caps'!$O$7:$O$36,""),""),"")</x:f>
      </x:c>
      <x:c r="V367" s="8" t="str">
        <x:f>IF(AND(ISNUMBER(U367),ISNUMBER(X367)),ROUND(SUMIFS($X$7:X367,$A$7:A367,A367,$K$7:K367,K367,$M$7:M367,"Mapped")*U367,2)-ROUND((SUMIFS($X$7:X367,$A$7:A367,A367,$K$7:K367,K367,$M$7:M367,"Mapped")-X367)*U367,2),"")</x:f>
      </x:c>
      <x:c r="W367" s="1" t="str">
        <x:f>IF(B367="","",IF(OR(NOT(ISNUMBER(I367)),I367&lt;0),"Invalid hours",IF(NOT(ISNUMBER(R367)),"Manual hours",IF(ROUND(I367*3600000,0)=R367,"Source hours","Adjusted hours"))))</x:f>
      </x:c>
      <x:c r="X367" s="10" t="str">
        <x:f>IF(B367="","",IF(AND(ISNUMBER(I367),I367&gt;=0,Q367="In period"),I367,""))</x:f>
      </x:c>
    </x:row>
    <x:row r="368" ht="23" customHeight="1">
      <x:c r="A368" s="3"/>
      <x:c r="B368" s="3"/>
      <x:c r="C368" s="3"/>
      <x:c r="D368" s="3"/>
      <x:c r="E368" s="3"/>
      <x:c r="F368" s="3"/>
      <x:c r="G368" s="3"/>
      <x:c r="H368" s="3"/>
      <x:c r="I368" s="9"/>
      <x:c r="J368" s="3"/>
      <x:c r="K368" s="3"/>
      <x:c r="L368" s="3"/>
      <x:c r="M368" s="1" t="str">
        <x:f>IF(B368="","",IF(W368="Invalid hours","Invalid hours",IF(NOT(ISNUMBER(X368)),"Excluded",IF(AND(J368&lt;&gt;"",K368&lt;&gt;"",L368&lt;&gt;"",COUNTIF('SOW caps'!$N$7:$N$36,A368&amp;"|"&amp;K368)=1),"Mapped","Needs allocation"))))</x:f>
      </x:c>
      <x:c r="N368" s="8" t="str">
        <x:f>IF(B368="","",IF(M368="Mapped",_xlfn.XLOOKUP(A368&amp;"|"&amp;K368,'SOW caps'!$N$7:$N$36,'SOW caps'!$E$7:$E$36,""),IF(ISNUMBER('SOW caps'!$B$3),'SOW caps'!$B$3,"")))</x:f>
      </x:c>
      <x:c r="O368" s="8" t="str">
        <x:f>IF(AND(ISNUMBER(X368),ISNUMBER(N368),N368&gt;=0),X368*N368,"")</x:f>
      </x:c>
      <x:c r="P368" s="3"/>
      <x:c r="Q368" s="3"/>
      <x:c r="R368" s="3"/>
      <x:c r="S368" s="3"/>
      <x:c r="T368" s="3"/>
      <x:c r="U368" s="8" t="str">
        <x:f>IF(M368="Mapped",IF(OR(_xlfn.XLOOKUP(A368&amp;"|"&amp;K368,'SOW caps'!$N$7:$N$36,'SOW caps'!$M$7:$M$36,"")="Ready",_xlfn.XLOOKUP(A368&amp;"|"&amp;K368,'SOW caps'!$N$7:$N$36,'SOW caps'!$M$7:$M$36,"")="No hours"),_xlfn.XLOOKUP(A368&amp;"|"&amp;K368,'SOW caps'!$N$7:$N$36,'SOW caps'!$O$7:$O$36,""),""),"")</x:f>
      </x:c>
      <x:c r="V368" s="8" t="str">
        <x:f>IF(AND(ISNUMBER(U368),ISNUMBER(X368)),ROUND(SUMIFS($X$7:X368,$A$7:A368,A368,$K$7:K368,K368,$M$7:M368,"Mapped")*U368,2)-ROUND((SUMIFS($X$7:X368,$A$7:A368,A368,$K$7:K368,K368,$M$7:M368,"Mapped")-X368)*U368,2),"")</x:f>
      </x:c>
      <x:c r="W368" s="1" t="str">
        <x:f>IF(B368="","",IF(OR(NOT(ISNUMBER(I368)),I368&lt;0),"Invalid hours",IF(NOT(ISNUMBER(R368)),"Manual hours",IF(ROUND(I368*3600000,0)=R368,"Source hours","Adjusted hours"))))</x:f>
      </x:c>
      <x:c r="X368" s="10" t="str">
        <x:f>IF(B368="","",IF(AND(ISNUMBER(I368),I368&gt;=0,Q368="In period"),I368,""))</x:f>
      </x:c>
    </x:row>
    <x:row r="369" ht="23" customHeight="1">
      <x:c r="A369" s="3"/>
      <x:c r="B369" s="3"/>
      <x:c r="C369" s="3"/>
      <x:c r="D369" s="3"/>
      <x:c r="E369" s="3"/>
      <x:c r="F369" s="3"/>
      <x:c r="G369" s="3"/>
      <x:c r="H369" s="3"/>
      <x:c r="I369" s="9"/>
      <x:c r="J369" s="3"/>
      <x:c r="K369" s="3"/>
      <x:c r="L369" s="3"/>
      <x:c r="M369" s="1" t="str">
        <x:f>IF(B369="","",IF(W369="Invalid hours","Invalid hours",IF(NOT(ISNUMBER(X369)),"Excluded",IF(AND(J369&lt;&gt;"",K369&lt;&gt;"",L369&lt;&gt;"",COUNTIF('SOW caps'!$N$7:$N$36,A369&amp;"|"&amp;K369)=1),"Mapped","Needs allocation"))))</x:f>
      </x:c>
      <x:c r="N369" s="8" t="str">
        <x:f>IF(B369="","",IF(M369="Mapped",_xlfn.XLOOKUP(A369&amp;"|"&amp;K369,'SOW caps'!$N$7:$N$36,'SOW caps'!$E$7:$E$36,""),IF(ISNUMBER('SOW caps'!$B$3),'SOW caps'!$B$3,"")))</x:f>
      </x:c>
      <x:c r="O369" s="8" t="str">
        <x:f>IF(AND(ISNUMBER(X369),ISNUMBER(N369),N369&gt;=0),X369*N369,"")</x:f>
      </x:c>
      <x:c r="P369" s="3"/>
      <x:c r="Q369" s="3"/>
      <x:c r="R369" s="3"/>
      <x:c r="S369" s="3"/>
      <x:c r="T369" s="3"/>
      <x:c r="U369" s="8" t="str">
        <x:f>IF(M369="Mapped",IF(OR(_xlfn.XLOOKUP(A369&amp;"|"&amp;K369,'SOW caps'!$N$7:$N$36,'SOW caps'!$M$7:$M$36,"")="Ready",_xlfn.XLOOKUP(A369&amp;"|"&amp;K369,'SOW caps'!$N$7:$N$36,'SOW caps'!$M$7:$M$36,"")="No hours"),_xlfn.XLOOKUP(A369&amp;"|"&amp;K369,'SOW caps'!$N$7:$N$36,'SOW caps'!$O$7:$O$36,""),""),"")</x:f>
      </x:c>
      <x:c r="V369" s="8" t="str">
        <x:f>IF(AND(ISNUMBER(U369),ISNUMBER(X369)),ROUND(SUMIFS($X$7:X369,$A$7:A369,A369,$K$7:K369,K369,$M$7:M369,"Mapped")*U369,2)-ROUND((SUMIFS($X$7:X369,$A$7:A369,A369,$K$7:K369,K369,$M$7:M369,"Mapped")-X369)*U369,2),"")</x:f>
      </x:c>
      <x:c r="W369" s="1" t="str">
        <x:f>IF(B369="","",IF(OR(NOT(ISNUMBER(I369)),I369&lt;0),"Invalid hours",IF(NOT(ISNUMBER(R369)),"Manual hours",IF(ROUND(I369*3600000,0)=R369,"Source hours","Adjusted hours"))))</x:f>
      </x:c>
      <x:c r="X369" s="10" t="str">
        <x:f>IF(B369="","",IF(AND(ISNUMBER(I369),I369&gt;=0,Q369="In period"),I369,""))</x:f>
      </x:c>
    </x:row>
    <x:row r="370" ht="23" customHeight="1">
      <x:c r="A370" s="3"/>
      <x:c r="B370" s="3"/>
      <x:c r="C370" s="3"/>
      <x:c r="D370" s="3"/>
      <x:c r="E370" s="3"/>
      <x:c r="F370" s="3"/>
      <x:c r="G370" s="3"/>
      <x:c r="H370" s="3"/>
      <x:c r="I370" s="9"/>
      <x:c r="J370" s="3"/>
      <x:c r="K370" s="3"/>
      <x:c r="L370" s="3"/>
      <x:c r="M370" s="1" t="str">
        <x:f>IF(B370="","",IF(W370="Invalid hours","Invalid hours",IF(NOT(ISNUMBER(X370)),"Excluded",IF(AND(J370&lt;&gt;"",K370&lt;&gt;"",L370&lt;&gt;"",COUNTIF('SOW caps'!$N$7:$N$36,A370&amp;"|"&amp;K370)=1),"Mapped","Needs allocation"))))</x:f>
      </x:c>
      <x:c r="N370" s="8" t="str">
        <x:f>IF(B370="","",IF(M370="Mapped",_xlfn.XLOOKUP(A370&amp;"|"&amp;K370,'SOW caps'!$N$7:$N$36,'SOW caps'!$E$7:$E$36,""),IF(ISNUMBER('SOW caps'!$B$3),'SOW caps'!$B$3,"")))</x:f>
      </x:c>
      <x:c r="O370" s="8" t="str">
        <x:f>IF(AND(ISNUMBER(X370),ISNUMBER(N370),N370&gt;=0),X370*N370,"")</x:f>
      </x:c>
      <x:c r="P370" s="3"/>
      <x:c r="Q370" s="3"/>
      <x:c r="R370" s="3"/>
      <x:c r="S370" s="3"/>
      <x:c r="T370" s="3"/>
      <x:c r="U370" s="8" t="str">
        <x:f>IF(M370="Mapped",IF(OR(_xlfn.XLOOKUP(A370&amp;"|"&amp;K370,'SOW caps'!$N$7:$N$36,'SOW caps'!$M$7:$M$36,"")="Ready",_xlfn.XLOOKUP(A370&amp;"|"&amp;K370,'SOW caps'!$N$7:$N$36,'SOW caps'!$M$7:$M$36,"")="No hours"),_xlfn.XLOOKUP(A370&amp;"|"&amp;K370,'SOW caps'!$N$7:$N$36,'SOW caps'!$O$7:$O$36,""),""),"")</x:f>
      </x:c>
      <x:c r="V370" s="8" t="str">
        <x:f>IF(AND(ISNUMBER(U370),ISNUMBER(X370)),ROUND(SUMIFS($X$7:X370,$A$7:A370,A370,$K$7:K370,K370,$M$7:M370,"Mapped")*U370,2)-ROUND((SUMIFS($X$7:X370,$A$7:A370,A370,$K$7:K370,K370,$M$7:M370,"Mapped")-X370)*U370,2),"")</x:f>
      </x:c>
      <x:c r="W370" s="1" t="str">
        <x:f>IF(B370="","",IF(OR(NOT(ISNUMBER(I370)),I370&lt;0),"Invalid hours",IF(NOT(ISNUMBER(R370)),"Manual hours",IF(ROUND(I370*3600000,0)=R370,"Source hours","Adjusted hours"))))</x:f>
      </x:c>
      <x:c r="X370" s="10" t="str">
        <x:f>IF(B370="","",IF(AND(ISNUMBER(I370),I370&gt;=0,Q370="In period"),I370,""))</x:f>
      </x:c>
    </x:row>
    <x:row r="371" ht="23" customHeight="1">
      <x:c r="A371" s="3"/>
      <x:c r="B371" s="3"/>
      <x:c r="C371" s="3"/>
      <x:c r="D371" s="3"/>
      <x:c r="E371" s="3"/>
      <x:c r="F371" s="3"/>
      <x:c r="G371" s="3"/>
      <x:c r="H371" s="3"/>
      <x:c r="I371" s="9"/>
      <x:c r="J371" s="3"/>
      <x:c r="K371" s="3"/>
      <x:c r="L371" s="3"/>
      <x:c r="M371" s="1" t="str">
        <x:f>IF(B371="","",IF(W371="Invalid hours","Invalid hours",IF(NOT(ISNUMBER(X371)),"Excluded",IF(AND(J371&lt;&gt;"",K371&lt;&gt;"",L371&lt;&gt;"",COUNTIF('SOW caps'!$N$7:$N$36,A371&amp;"|"&amp;K371)=1),"Mapped","Needs allocation"))))</x:f>
      </x:c>
      <x:c r="N371" s="8" t="str">
        <x:f>IF(B371="","",IF(M371="Mapped",_xlfn.XLOOKUP(A371&amp;"|"&amp;K371,'SOW caps'!$N$7:$N$36,'SOW caps'!$E$7:$E$36,""),IF(ISNUMBER('SOW caps'!$B$3),'SOW caps'!$B$3,"")))</x:f>
      </x:c>
      <x:c r="O371" s="8" t="str">
        <x:f>IF(AND(ISNUMBER(X371),ISNUMBER(N371),N371&gt;=0),X371*N371,"")</x:f>
      </x:c>
      <x:c r="P371" s="3"/>
      <x:c r="Q371" s="3"/>
      <x:c r="R371" s="3"/>
      <x:c r="S371" s="3"/>
      <x:c r="T371" s="3"/>
      <x:c r="U371" s="8" t="str">
        <x:f>IF(M371="Mapped",IF(OR(_xlfn.XLOOKUP(A371&amp;"|"&amp;K371,'SOW caps'!$N$7:$N$36,'SOW caps'!$M$7:$M$36,"")="Ready",_xlfn.XLOOKUP(A371&amp;"|"&amp;K371,'SOW caps'!$N$7:$N$36,'SOW caps'!$M$7:$M$36,"")="No hours"),_xlfn.XLOOKUP(A371&amp;"|"&amp;K371,'SOW caps'!$N$7:$N$36,'SOW caps'!$O$7:$O$36,""),""),"")</x:f>
      </x:c>
      <x:c r="V371" s="8" t="str">
        <x:f>IF(AND(ISNUMBER(U371),ISNUMBER(X371)),ROUND(SUMIFS($X$7:X371,$A$7:A371,A371,$K$7:K371,K371,$M$7:M371,"Mapped")*U371,2)-ROUND((SUMIFS($X$7:X371,$A$7:A371,A371,$K$7:K371,K371,$M$7:M371,"Mapped")-X371)*U371,2),"")</x:f>
      </x:c>
      <x:c r="W371" s="1" t="str">
        <x:f>IF(B371="","",IF(OR(NOT(ISNUMBER(I371)),I371&lt;0),"Invalid hours",IF(NOT(ISNUMBER(R371)),"Manual hours",IF(ROUND(I371*3600000,0)=R371,"Source hours","Adjusted hours"))))</x:f>
      </x:c>
      <x:c r="X371" s="10" t="str">
        <x:f>IF(B371="","",IF(AND(ISNUMBER(I371),I371&gt;=0,Q371="In period"),I371,""))</x:f>
      </x:c>
    </x:row>
    <x:row r="372" ht="23" customHeight="1">
      <x:c r="A372" s="3"/>
      <x:c r="B372" s="3"/>
      <x:c r="C372" s="3"/>
      <x:c r="D372" s="3"/>
      <x:c r="E372" s="3"/>
      <x:c r="F372" s="3"/>
      <x:c r="G372" s="3"/>
      <x:c r="H372" s="3"/>
      <x:c r="I372" s="9"/>
      <x:c r="J372" s="3"/>
      <x:c r="K372" s="3"/>
      <x:c r="L372" s="3"/>
      <x:c r="M372" s="1" t="str">
        <x:f>IF(B372="","",IF(W372="Invalid hours","Invalid hours",IF(NOT(ISNUMBER(X372)),"Excluded",IF(AND(J372&lt;&gt;"",K372&lt;&gt;"",L372&lt;&gt;"",COUNTIF('SOW caps'!$N$7:$N$36,A372&amp;"|"&amp;K372)=1),"Mapped","Needs allocation"))))</x:f>
      </x:c>
      <x:c r="N372" s="8" t="str">
        <x:f>IF(B372="","",IF(M372="Mapped",_xlfn.XLOOKUP(A372&amp;"|"&amp;K372,'SOW caps'!$N$7:$N$36,'SOW caps'!$E$7:$E$36,""),IF(ISNUMBER('SOW caps'!$B$3),'SOW caps'!$B$3,"")))</x:f>
      </x:c>
      <x:c r="O372" s="8" t="str">
        <x:f>IF(AND(ISNUMBER(X372),ISNUMBER(N372),N372&gt;=0),X372*N372,"")</x:f>
      </x:c>
      <x:c r="P372" s="3"/>
      <x:c r="Q372" s="3"/>
      <x:c r="R372" s="3"/>
      <x:c r="S372" s="3"/>
      <x:c r="T372" s="3"/>
      <x:c r="U372" s="8" t="str">
        <x:f>IF(M372="Mapped",IF(OR(_xlfn.XLOOKUP(A372&amp;"|"&amp;K372,'SOW caps'!$N$7:$N$36,'SOW caps'!$M$7:$M$36,"")="Ready",_xlfn.XLOOKUP(A372&amp;"|"&amp;K372,'SOW caps'!$N$7:$N$36,'SOW caps'!$M$7:$M$36,"")="No hours"),_xlfn.XLOOKUP(A372&amp;"|"&amp;K372,'SOW caps'!$N$7:$N$36,'SOW caps'!$O$7:$O$36,""),""),"")</x:f>
      </x:c>
      <x:c r="V372" s="8" t="str">
        <x:f>IF(AND(ISNUMBER(U372),ISNUMBER(X372)),ROUND(SUMIFS($X$7:X372,$A$7:A372,A372,$K$7:K372,K372,$M$7:M372,"Mapped")*U372,2)-ROUND((SUMIFS($X$7:X372,$A$7:A372,A372,$K$7:K372,K372,$M$7:M372,"Mapped")-X372)*U372,2),"")</x:f>
      </x:c>
      <x:c r="W372" s="1" t="str">
        <x:f>IF(B372="","",IF(OR(NOT(ISNUMBER(I372)),I372&lt;0),"Invalid hours",IF(NOT(ISNUMBER(R372)),"Manual hours",IF(ROUND(I372*3600000,0)=R372,"Source hours","Adjusted hours"))))</x:f>
      </x:c>
      <x:c r="X372" s="10" t="str">
        <x:f>IF(B372="","",IF(AND(ISNUMBER(I372),I372&gt;=0,Q372="In period"),I372,""))</x:f>
      </x:c>
    </x:row>
    <x:row r="373" ht="23" customHeight="1">
      <x:c r="A373" s="3"/>
      <x:c r="B373" s="3"/>
      <x:c r="C373" s="3"/>
      <x:c r="D373" s="3"/>
      <x:c r="E373" s="3"/>
      <x:c r="F373" s="3"/>
      <x:c r="G373" s="3"/>
      <x:c r="H373" s="3"/>
      <x:c r="I373" s="9"/>
      <x:c r="J373" s="3"/>
      <x:c r="K373" s="3"/>
      <x:c r="L373" s="3"/>
      <x:c r="M373" s="1" t="str">
        <x:f>IF(B373="","",IF(W373="Invalid hours","Invalid hours",IF(NOT(ISNUMBER(X373)),"Excluded",IF(AND(J373&lt;&gt;"",K373&lt;&gt;"",L373&lt;&gt;"",COUNTIF('SOW caps'!$N$7:$N$36,A373&amp;"|"&amp;K373)=1),"Mapped","Needs allocation"))))</x:f>
      </x:c>
      <x:c r="N373" s="8" t="str">
        <x:f>IF(B373="","",IF(M373="Mapped",_xlfn.XLOOKUP(A373&amp;"|"&amp;K373,'SOW caps'!$N$7:$N$36,'SOW caps'!$E$7:$E$36,""),IF(ISNUMBER('SOW caps'!$B$3),'SOW caps'!$B$3,"")))</x:f>
      </x:c>
      <x:c r="O373" s="8" t="str">
        <x:f>IF(AND(ISNUMBER(X373),ISNUMBER(N373),N373&gt;=0),X373*N373,"")</x:f>
      </x:c>
      <x:c r="P373" s="3"/>
      <x:c r="Q373" s="3"/>
      <x:c r="R373" s="3"/>
      <x:c r="S373" s="3"/>
      <x:c r="T373" s="3"/>
      <x:c r="U373" s="8" t="str">
        <x:f>IF(M373="Mapped",IF(OR(_xlfn.XLOOKUP(A373&amp;"|"&amp;K373,'SOW caps'!$N$7:$N$36,'SOW caps'!$M$7:$M$36,"")="Ready",_xlfn.XLOOKUP(A373&amp;"|"&amp;K373,'SOW caps'!$N$7:$N$36,'SOW caps'!$M$7:$M$36,"")="No hours"),_xlfn.XLOOKUP(A373&amp;"|"&amp;K373,'SOW caps'!$N$7:$N$36,'SOW caps'!$O$7:$O$36,""),""),"")</x:f>
      </x:c>
      <x:c r="V373" s="8" t="str">
        <x:f>IF(AND(ISNUMBER(U373),ISNUMBER(X373)),ROUND(SUMIFS($X$7:X373,$A$7:A373,A373,$K$7:K373,K373,$M$7:M373,"Mapped")*U373,2)-ROUND((SUMIFS($X$7:X373,$A$7:A373,A373,$K$7:K373,K373,$M$7:M373,"Mapped")-X373)*U373,2),"")</x:f>
      </x:c>
      <x:c r="W373" s="1" t="str">
        <x:f>IF(B373="","",IF(OR(NOT(ISNUMBER(I373)),I373&lt;0),"Invalid hours",IF(NOT(ISNUMBER(R373)),"Manual hours",IF(ROUND(I373*3600000,0)=R373,"Source hours","Adjusted hours"))))</x:f>
      </x:c>
      <x:c r="X373" s="10" t="str">
        <x:f>IF(B373="","",IF(AND(ISNUMBER(I373),I373&gt;=0,Q373="In period"),I373,""))</x:f>
      </x:c>
    </x:row>
    <x:row r="374" ht="23" customHeight="1">
      <x:c r="A374" s="3"/>
      <x:c r="B374" s="3"/>
      <x:c r="C374" s="3"/>
      <x:c r="D374" s="3"/>
      <x:c r="E374" s="3"/>
      <x:c r="F374" s="3"/>
      <x:c r="G374" s="3"/>
      <x:c r="H374" s="3"/>
      <x:c r="I374" s="9"/>
      <x:c r="J374" s="3"/>
      <x:c r="K374" s="3"/>
      <x:c r="L374" s="3"/>
      <x:c r="M374" s="1" t="str">
        <x:f>IF(B374="","",IF(W374="Invalid hours","Invalid hours",IF(NOT(ISNUMBER(X374)),"Excluded",IF(AND(J374&lt;&gt;"",K374&lt;&gt;"",L374&lt;&gt;"",COUNTIF('SOW caps'!$N$7:$N$36,A374&amp;"|"&amp;K374)=1),"Mapped","Needs allocation"))))</x:f>
      </x:c>
      <x:c r="N374" s="8" t="str">
        <x:f>IF(B374="","",IF(M374="Mapped",_xlfn.XLOOKUP(A374&amp;"|"&amp;K374,'SOW caps'!$N$7:$N$36,'SOW caps'!$E$7:$E$36,""),IF(ISNUMBER('SOW caps'!$B$3),'SOW caps'!$B$3,"")))</x:f>
      </x:c>
      <x:c r="O374" s="8" t="str">
        <x:f>IF(AND(ISNUMBER(X374),ISNUMBER(N374),N374&gt;=0),X374*N374,"")</x:f>
      </x:c>
      <x:c r="P374" s="3"/>
      <x:c r="Q374" s="3"/>
      <x:c r="R374" s="3"/>
      <x:c r="S374" s="3"/>
      <x:c r="T374" s="3"/>
      <x:c r="U374" s="8" t="str">
        <x:f>IF(M374="Mapped",IF(OR(_xlfn.XLOOKUP(A374&amp;"|"&amp;K374,'SOW caps'!$N$7:$N$36,'SOW caps'!$M$7:$M$36,"")="Ready",_xlfn.XLOOKUP(A374&amp;"|"&amp;K374,'SOW caps'!$N$7:$N$36,'SOW caps'!$M$7:$M$36,"")="No hours"),_xlfn.XLOOKUP(A374&amp;"|"&amp;K374,'SOW caps'!$N$7:$N$36,'SOW caps'!$O$7:$O$36,""),""),"")</x:f>
      </x:c>
      <x:c r="V374" s="8" t="str">
        <x:f>IF(AND(ISNUMBER(U374),ISNUMBER(X374)),ROUND(SUMIFS($X$7:X374,$A$7:A374,A374,$K$7:K374,K374,$M$7:M374,"Mapped")*U374,2)-ROUND((SUMIFS($X$7:X374,$A$7:A374,A374,$K$7:K374,K374,$M$7:M374,"Mapped")-X374)*U374,2),"")</x:f>
      </x:c>
      <x:c r="W374" s="1" t="str">
        <x:f>IF(B374="","",IF(OR(NOT(ISNUMBER(I374)),I374&lt;0),"Invalid hours",IF(NOT(ISNUMBER(R374)),"Manual hours",IF(ROUND(I374*3600000,0)=R374,"Source hours","Adjusted hours"))))</x:f>
      </x:c>
      <x:c r="X374" s="10" t="str">
        <x:f>IF(B374="","",IF(AND(ISNUMBER(I374),I374&gt;=0,Q374="In period"),I374,""))</x:f>
      </x:c>
    </x:row>
    <x:row r="375" ht="23" customHeight="1">
      <x:c r="A375" s="3"/>
      <x:c r="B375" s="3"/>
      <x:c r="C375" s="3"/>
      <x:c r="D375" s="3"/>
      <x:c r="E375" s="3"/>
      <x:c r="F375" s="3"/>
      <x:c r="G375" s="3"/>
      <x:c r="H375" s="3"/>
      <x:c r="I375" s="9"/>
      <x:c r="J375" s="3"/>
      <x:c r="K375" s="3"/>
      <x:c r="L375" s="3"/>
      <x:c r="M375" s="1" t="str">
        <x:f>IF(B375="","",IF(W375="Invalid hours","Invalid hours",IF(NOT(ISNUMBER(X375)),"Excluded",IF(AND(J375&lt;&gt;"",K375&lt;&gt;"",L375&lt;&gt;"",COUNTIF('SOW caps'!$N$7:$N$36,A375&amp;"|"&amp;K375)=1),"Mapped","Needs allocation"))))</x:f>
      </x:c>
      <x:c r="N375" s="8" t="str">
        <x:f>IF(B375="","",IF(M375="Mapped",_xlfn.XLOOKUP(A375&amp;"|"&amp;K375,'SOW caps'!$N$7:$N$36,'SOW caps'!$E$7:$E$36,""),IF(ISNUMBER('SOW caps'!$B$3),'SOW caps'!$B$3,"")))</x:f>
      </x:c>
      <x:c r="O375" s="8" t="str">
        <x:f>IF(AND(ISNUMBER(X375),ISNUMBER(N375),N375&gt;=0),X375*N375,"")</x:f>
      </x:c>
      <x:c r="P375" s="3"/>
      <x:c r="Q375" s="3"/>
      <x:c r="R375" s="3"/>
      <x:c r="S375" s="3"/>
      <x:c r="T375" s="3"/>
      <x:c r="U375" s="8" t="str">
        <x:f>IF(M375="Mapped",IF(OR(_xlfn.XLOOKUP(A375&amp;"|"&amp;K375,'SOW caps'!$N$7:$N$36,'SOW caps'!$M$7:$M$36,"")="Ready",_xlfn.XLOOKUP(A375&amp;"|"&amp;K375,'SOW caps'!$N$7:$N$36,'SOW caps'!$M$7:$M$36,"")="No hours"),_xlfn.XLOOKUP(A375&amp;"|"&amp;K375,'SOW caps'!$N$7:$N$36,'SOW caps'!$O$7:$O$36,""),""),"")</x:f>
      </x:c>
      <x:c r="V375" s="8" t="str">
        <x:f>IF(AND(ISNUMBER(U375),ISNUMBER(X375)),ROUND(SUMIFS($X$7:X375,$A$7:A375,A375,$K$7:K375,K375,$M$7:M375,"Mapped")*U375,2)-ROUND((SUMIFS($X$7:X375,$A$7:A375,A375,$K$7:K375,K375,$M$7:M375,"Mapped")-X375)*U375,2),"")</x:f>
      </x:c>
      <x:c r="W375" s="1" t="str">
        <x:f>IF(B375="","",IF(OR(NOT(ISNUMBER(I375)),I375&lt;0),"Invalid hours",IF(NOT(ISNUMBER(R375)),"Manual hours",IF(ROUND(I375*3600000,0)=R375,"Source hours","Adjusted hours"))))</x:f>
      </x:c>
      <x:c r="X375" s="10" t="str">
        <x:f>IF(B375="","",IF(AND(ISNUMBER(I375),I375&gt;=0,Q375="In period"),I375,""))</x:f>
      </x:c>
    </x:row>
    <x:row r="376" ht="23" customHeight="1">
      <x:c r="A376" s="3"/>
      <x:c r="B376" s="3"/>
      <x:c r="C376" s="3"/>
      <x:c r="D376" s="3"/>
      <x:c r="E376" s="3"/>
      <x:c r="F376" s="3"/>
      <x:c r="G376" s="3"/>
      <x:c r="H376" s="3"/>
      <x:c r="I376" s="9"/>
      <x:c r="J376" s="3"/>
      <x:c r="K376" s="3"/>
      <x:c r="L376" s="3"/>
      <x:c r="M376" s="1" t="str">
        <x:f>IF(B376="","",IF(W376="Invalid hours","Invalid hours",IF(NOT(ISNUMBER(X376)),"Excluded",IF(AND(J376&lt;&gt;"",K376&lt;&gt;"",L376&lt;&gt;"",COUNTIF('SOW caps'!$N$7:$N$36,A376&amp;"|"&amp;K376)=1),"Mapped","Needs allocation"))))</x:f>
      </x:c>
      <x:c r="N376" s="8" t="str">
        <x:f>IF(B376="","",IF(M376="Mapped",_xlfn.XLOOKUP(A376&amp;"|"&amp;K376,'SOW caps'!$N$7:$N$36,'SOW caps'!$E$7:$E$36,""),IF(ISNUMBER('SOW caps'!$B$3),'SOW caps'!$B$3,"")))</x:f>
      </x:c>
      <x:c r="O376" s="8" t="str">
        <x:f>IF(AND(ISNUMBER(X376),ISNUMBER(N376),N376&gt;=0),X376*N376,"")</x:f>
      </x:c>
      <x:c r="P376" s="3"/>
      <x:c r="Q376" s="3"/>
      <x:c r="R376" s="3"/>
      <x:c r="S376" s="3"/>
      <x:c r="T376" s="3"/>
      <x:c r="U376" s="8" t="str">
        <x:f>IF(M376="Mapped",IF(OR(_xlfn.XLOOKUP(A376&amp;"|"&amp;K376,'SOW caps'!$N$7:$N$36,'SOW caps'!$M$7:$M$36,"")="Ready",_xlfn.XLOOKUP(A376&amp;"|"&amp;K376,'SOW caps'!$N$7:$N$36,'SOW caps'!$M$7:$M$36,"")="No hours"),_xlfn.XLOOKUP(A376&amp;"|"&amp;K376,'SOW caps'!$N$7:$N$36,'SOW caps'!$O$7:$O$36,""),""),"")</x:f>
      </x:c>
      <x:c r="V376" s="8" t="str">
        <x:f>IF(AND(ISNUMBER(U376),ISNUMBER(X376)),ROUND(SUMIFS($X$7:X376,$A$7:A376,A376,$K$7:K376,K376,$M$7:M376,"Mapped")*U376,2)-ROUND((SUMIFS($X$7:X376,$A$7:A376,A376,$K$7:K376,K376,$M$7:M376,"Mapped")-X376)*U376,2),"")</x:f>
      </x:c>
      <x:c r="W376" s="1" t="str">
        <x:f>IF(B376="","",IF(OR(NOT(ISNUMBER(I376)),I376&lt;0),"Invalid hours",IF(NOT(ISNUMBER(R376)),"Manual hours",IF(ROUND(I376*3600000,0)=R376,"Source hours","Adjusted hours"))))</x:f>
      </x:c>
      <x:c r="X376" s="10" t="str">
        <x:f>IF(B376="","",IF(AND(ISNUMBER(I376),I376&gt;=0,Q376="In period"),I376,""))</x:f>
      </x:c>
    </x:row>
    <x:row r="377" ht="23" customHeight="1">
      <x:c r="A377" s="3"/>
      <x:c r="B377" s="3"/>
      <x:c r="C377" s="3"/>
      <x:c r="D377" s="3"/>
      <x:c r="E377" s="3"/>
      <x:c r="F377" s="3"/>
      <x:c r="G377" s="3"/>
      <x:c r="H377" s="3"/>
      <x:c r="I377" s="9"/>
      <x:c r="J377" s="3"/>
      <x:c r="K377" s="3"/>
      <x:c r="L377" s="3"/>
      <x:c r="M377" s="1" t="str">
        <x:f>IF(B377="","",IF(W377="Invalid hours","Invalid hours",IF(NOT(ISNUMBER(X377)),"Excluded",IF(AND(J377&lt;&gt;"",K377&lt;&gt;"",L377&lt;&gt;"",COUNTIF('SOW caps'!$N$7:$N$36,A377&amp;"|"&amp;K377)=1),"Mapped","Needs allocation"))))</x:f>
      </x:c>
      <x:c r="N377" s="8" t="str">
        <x:f>IF(B377="","",IF(M377="Mapped",_xlfn.XLOOKUP(A377&amp;"|"&amp;K377,'SOW caps'!$N$7:$N$36,'SOW caps'!$E$7:$E$36,""),IF(ISNUMBER('SOW caps'!$B$3),'SOW caps'!$B$3,"")))</x:f>
      </x:c>
      <x:c r="O377" s="8" t="str">
        <x:f>IF(AND(ISNUMBER(X377),ISNUMBER(N377),N377&gt;=0),X377*N377,"")</x:f>
      </x:c>
      <x:c r="P377" s="3"/>
      <x:c r="Q377" s="3"/>
      <x:c r="R377" s="3"/>
      <x:c r="S377" s="3"/>
      <x:c r="T377" s="3"/>
      <x:c r="U377" s="8" t="str">
        <x:f>IF(M377="Mapped",IF(OR(_xlfn.XLOOKUP(A377&amp;"|"&amp;K377,'SOW caps'!$N$7:$N$36,'SOW caps'!$M$7:$M$36,"")="Ready",_xlfn.XLOOKUP(A377&amp;"|"&amp;K377,'SOW caps'!$N$7:$N$36,'SOW caps'!$M$7:$M$36,"")="No hours"),_xlfn.XLOOKUP(A377&amp;"|"&amp;K377,'SOW caps'!$N$7:$N$36,'SOW caps'!$O$7:$O$36,""),""),"")</x:f>
      </x:c>
      <x:c r="V377" s="8" t="str">
        <x:f>IF(AND(ISNUMBER(U377),ISNUMBER(X377)),ROUND(SUMIFS($X$7:X377,$A$7:A377,A377,$K$7:K377,K377,$M$7:M377,"Mapped")*U377,2)-ROUND((SUMIFS($X$7:X377,$A$7:A377,A377,$K$7:K377,K377,$M$7:M377,"Mapped")-X377)*U377,2),"")</x:f>
      </x:c>
      <x:c r="W377" s="1" t="str">
        <x:f>IF(B377="","",IF(OR(NOT(ISNUMBER(I377)),I377&lt;0),"Invalid hours",IF(NOT(ISNUMBER(R377)),"Manual hours",IF(ROUND(I377*3600000,0)=R377,"Source hours","Adjusted hours"))))</x:f>
      </x:c>
      <x:c r="X377" s="10" t="str">
        <x:f>IF(B377="","",IF(AND(ISNUMBER(I377),I377&gt;=0,Q377="In period"),I377,""))</x:f>
      </x:c>
    </x:row>
    <x:row r="378" ht="23" customHeight="1">
      <x:c r="A378" s="3"/>
      <x:c r="B378" s="3"/>
      <x:c r="C378" s="3"/>
      <x:c r="D378" s="3"/>
      <x:c r="E378" s="3"/>
      <x:c r="F378" s="3"/>
      <x:c r="G378" s="3"/>
      <x:c r="H378" s="3"/>
      <x:c r="I378" s="9"/>
      <x:c r="J378" s="3"/>
      <x:c r="K378" s="3"/>
      <x:c r="L378" s="3"/>
      <x:c r="M378" s="1" t="str">
        <x:f>IF(B378="","",IF(W378="Invalid hours","Invalid hours",IF(NOT(ISNUMBER(X378)),"Excluded",IF(AND(J378&lt;&gt;"",K378&lt;&gt;"",L378&lt;&gt;"",COUNTIF('SOW caps'!$N$7:$N$36,A378&amp;"|"&amp;K378)=1),"Mapped","Needs allocation"))))</x:f>
      </x:c>
      <x:c r="N378" s="8" t="str">
        <x:f>IF(B378="","",IF(M378="Mapped",_xlfn.XLOOKUP(A378&amp;"|"&amp;K378,'SOW caps'!$N$7:$N$36,'SOW caps'!$E$7:$E$36,""),IF(ISNUMBER('SOW caps'!$B$3),'SOW caps'!$B$3,"")))</x:f>
      </x:c>
      <x:c r="O378" s="8" t="str">
        <x:f>IF(AND(ISNUMBER(X378),ISNUMBER(N378),N378&gt;=0),X378*N378,"")</x:f>
      </x:c>
      <x:c r="P378" s="3"/>
      <x:c r="Q378" s="3"/>
      <x:c r="R378" s="3"/>
      <x:c r="S378" s="3"/>
      <x:c r="T378" s="3"/>
      <x:c r="U378" s="8" t="str">
        <x:f>IF(M378="Mapped",IF(OR(_xlfn.XLOOKUP(A378&amp;"|"&amp;K378,'SOW caps'!$N$7:$N$36,'SOW caps'!$M$7:$M$36,"")="Ready",_xlfn.XLOOKUP(A378&amp;"|"&amp;K378,'SOW caps'!$N$7:$N$36,'SOW caps'!$M$7:$M$36,"")="No hours"),_xlfn.XLOOKUP(A378&amp;"|"&amp;K378,'SOW caps'!$N$7:$N$36,'SOW caps'!$O$7:$O$36,""),""),"")</x:f>
      </x:c>
      <x:c r="V378" s="8" t="str">
        <x:f>IF(AND(ISNUMBER(U378),ISNUMBER(X378)),ROUND(SUMIFS($X$7:X378,$A$7:A378,A378,$K$7:K378,K378,$M$7:M378,"Mapped")*U378,2)-ROUND((SUMIFS($X$7:X378,$A$7:A378,A378,$K$7:K378,K378,$M$7:M378,"Mapped")-X378)*U378,2),"")</x:f>
      </x:c>
      <x:c r="W378" s="1" t="str">
        <x:f>IF(B378="","",IF(OR(NOT(ISNUMBER(I378)),I378&lt;0),"Invalid hours",IF(NOT(ISNUMBER(R378)),"Manual hours",IF(ROUND(I378*3600000,0)=R378,"Source hours","Adjusted hours"))))</x:f>
      </x:c>
      <x:c r="X378" s="10" t="str">
        <x:f>IF(B378="","",IF(AND(ISNUMBER(I378),I378&gt;=0,Q378="In period"),I378,""))</x:f>
      </x:c>
    </x:row>
    <x:row r="379" ht="23" customHeight="1">
      <x:c r="A379" s="3"/>
      <x:c r="B379" s="3"/>
      <x:c r="C379" s="3"/>
      <x:c r="D379" s="3"/>
      <x:c r="E379" s="3"/>
      <x:c r="F379" s="3"/>
      <x:c r="G379" s="3"/>
      <x:c r="H379" s="3"/>
      <x:c r="I379" s="9"/>
      <x:c r="J379" s="3"/>
      <x:c r="K379" s="3"/>
      <x:c r="L379" s="3"/>
      <x:c r="M379" s="1" t="str">
        <x:f>IF(B379="","",IF(W379="Invalid hours","Invalid hours",IF(NOT(ISNUMBER(X379)),"Excluded",IF(AND(J379&lt;&gt;"",K379&lt;&gt;"",L379&lt;&gt;"",COUNTIF('SOW caps'!$N$7:$N$36,A379&amp;"|"&amp;K379)=1),"Mapped","Needs allocation"))))</x:f>
      </x:c>
      <x:c r="N379" s="8" t="str">
        <x:f>IF(B379="","",IF(M379="Mapped",_xlfn.XLOOKUP(A379&amp;"|"&amp;K379,'SOW caps'!$N$7:$N$36,'SOW caps'!$E$7:$E$36,""),IF(ISNUMBER('SOW caps'!$B$3),'SOW caps'!$B$3,"")))</x:f>
      </x:c>
      <x:c r="O379" s="8" t="str">
        <x:f>IF(AND(ISNUMBER(X379),ISNUMBER(N379),N379&gt;=0),X379*N379,"")</x:f>
      </x:c>
      <x:c r="P379" s="3"/>
      <x:c r="Q379" s="3"/>
      <x:c r="R379" s="3"/>
      <x:c r="S379" s="3"/>
      <x:c r="T379" s="3"/>
      <x:c r="U379" s="8" t="str">
        <x:f>IF(M379="Mapped",IF(OR(_xlfn.XLOOKUP(A379&amp;"|"&amp;K379,'SOW caps'!$N$7:$N$36,'SOW caps'!$M$7:$M$36,"")="Ready",_xlfn.XLOOKUP(A379&amp;"|"&amp;K379,'SOW caps'!$N$7:$N$36,'SOW caps'!$M$7:$M$36,"")="No hours"),_xlfn.XLOOKUP(A379&amp;"|"&amp;K379,'SOW caps'!$N$7:$N$36,'SOW caps'!$O$7:$O$36,""),""),"")</x:f>
      </x:c>
      <x:c r="V379" s="8" t="str">
        <x:f>IF(AND(ISNUMBER(U379),ISNUMBER(X379)),ROUND(SUMIFS($X$7:X379,$A$7:A379,A379,$K$7:K379,K379,$M$7:M379,"Mapped")*U379,2)-ROUND((SUMIFS($X$7:X379,$A$7:A379,A379,$K$7:K379,K379,$M$7:M379,"Mapped")-X379)*U379,2),"")</x:f>
      </x:c>
      <x:c r="W379" s="1" t="str">
        <x:f>IF(B379="","",IF(OR(NOT(ISNUMBER(I379)),I379&lt;0),"Invalid hours",IF(NOT(ISNUMBER(R379)),"Manual hours",IF(ROUND(I379*3600000,0)=R379,"Source hours","Adjusted hours"))))</x:f>
      </x:c>
      <x:c r="X379" s="10" t="str">
        <x:f>IF(B379="","",IF(AND(ISNUMBER(I379),I379&gt;=0,Q379="In period"),I379,""))</x:f>
      </x:c>
    </x:row>
    <x:row r="380" ht="23" customHeight="1">
      <x:c r="A380" s="3"/>
      <x:c r="B380" s="3"/>
      <x:c r="C380" s="3"/>
      <x:c r="D380" s="3"/>
      <x:c r="E380" s="3"/>
      <x:c r="F380" s="3"/>
      <x:c r="G380" s="3"/>
      <x:c r="H380" s="3"/>
      <x:c r="I380" s="9"/>
      <x:c r="J380" s="3"/>
      <x:c r="K380" s="3"/>
      <x:c r="L380" s="3"/>
      <x:c r="M380" s="1" t="str">
        <x:f>IF(B380="","",IF(W380="Invalid hours","Invalid hours",IF(NOT(ISNUMBER(X380)),"Excluded",IF(AND(J380&lt;&gt;"",K380&lt;&gt;"",L380&lt;&gt;"",COUNTIF('SOW caps'!$N$7:$N$36,A380&amp;"|"&amp;K380)=1),"Mapped","Needs allocation"))))</x:f>
      </x:c>
      <x:c r="N380" s="8" t="str">
        <x:f>IF(B380="","",IF(M380="Mapped",_xlfn.XLOOKUP(A380&amp;"|"&amp;K380,'SOW caps'!$N$7:$N$36,'SOW caps'!$E$7:$E$36,""),IF(ISNUMBER('SOW caps'!$B$3),'SOW caps'!$B$3,"")))</x:f>
      </x:c>
      <x:c r="O380" s="8" t="str">
        <x:f>IF(AND(ISNUMBER(X380),ISNUMBER(N380),N380&gt;=0),X380*N380,"")</x:f>
      </x:c>
      <x:c r="P380" s="3"/>
      <x:c r="Q380" s="3"/>
      <x:c r="R380" s="3"/>
      <x:c r="S380" s="3"/>
      <x:c r="T380" s="3"/>
      <x:c r="U380" s="8" t="str">
        <x:f>IF(M380="Mapped",IF(OR(_xlfn.XLOOKUP(A380&amp;"|"&amp;K380,'SOW caps'!$N$7:$N$36,'SOW caps'!$M$7:$M$36,"")="Ready",_xlfn.XLOOKUP(A380&amp;"|"&amp;K380,'SOW caps'!$N$7:$N$36,'SOW caps'!$M$7:$M$36,"")="No hours"),_xlfn.XLOOKUP(A380&amp;"|"&amp;K380,'SOW caps'!$N$7:$N$36,'SOW caps'!$O$7:$O$36,""),""),"")</x:f>
      </x:c>
      <x:c r="V380" s="8" t="str">
        <x:f>IF(AND(ISNUMBER(U380),ISNUMBER(X380)),ROUND(SUMIFS($X$7:X380,$A$7:A380,A380,$K$7:K380,K380,$M$7:M380,"Mapped")*U380,2)-ROUND((SUMIFS($X$7:X380,$A$7:A380,A380,$K$7:K380,K380,$M$7:M380,"Mapped")-X380)*U380,2),"")</x:f>
      </x:c>
      <x:c r="W380" s="1" t="str">
        <x:f>IF(B380="","",IF(OR(NOT(ISNUMBER(I380)),I380&lt;0),"Invalid hours",IF(NOT(ISNUMBER(R380)),"Manual hours",IF(ROUND(I380*3600000,0)=R380,"Source hours","Adjusted hours"))))</x:f>
      </x:c>
      <x:c r="X380" s="10" t="str">
        <x:f>IF(B380="","",IF(AND(ISNUMBER(I380),I380&gt;=0,Q380="In period"),I380,""))</x:f>
      </x:c>
    </x:row>
    <x:row r="381" ht="23" customHeight="1">
      <x:c r="A381" s="3"/>
      <x:c r="B381" s="3"/>
      <x:c r="C381" s="3"/>
      <x:c r="D381" s="3"/>
      <x:c r="E381" s="3"/>
      <x:c r="F381" s="3"/>
      <x:c r="G381" s="3"/>
      <x:c r="H381" s="3"/>
      <x:c r="I381" s="9"/>
      <x:c r="J381" s="3"/>
      <x:c r="K381" s="3"/>
      <x:c r="L381" s="3"/>
      <x:c r="M381" s="1" t="str">
        <x:f>IF(B381="","",IF(W381="Invalid hours","Invalid hours",IF(NOT(ISNUMBER(X381)),"Excluded",IF(AND(J381&lt;&gt;"",K381&lt;&gt;"",L381&lt;&gt;"",COUNTIF('SOW caps'!$N$7:$N$36,A381&amp;"|"&amp;K381)=1),"Mapped","Needs allocation"))))</x:f>
      </x:c>
      <x:c r="N381" s="8" t="str">
        <x:f>IF(B381="","",IF(M381="Mapped",_xlfn.XLOOKUP(A381&amp;"|"&amp;K381,'SOW caps'!$N$7:$N$36,'SOW caps'!$E$7:$E$36,""),IF(ISNUMBER('SOW caps'!$B$3),'SOW caps'!$B$3,"")))</x:f>
      </x:c>
      <x:c r="O381" s="8" t="str">
        <x:f>IF(AND(ISNUMBER(X381),ISNUMBER(N381),N381&gt;=0),X381*N381,"")</x:f>
      </x:c>
      <x:c r="P381" s="3"/>
      <x:c r="Q381" s="3"/>
      <x:c r="R381" s="3"/>
      <x:c r="S381" s="3"/>
      <x:c r="T381" s="3"/>
      <x:c r="U381" s="8" t="str">
        <x:f>IF(M381="Mapped",IF(OR(_xlfn.XLOOKUP(A381&amp;"|"&amp;K381,'SOW caps'!$N$7:$N$36,'SOW caps'!$M$7:$M$36,"")="Ready",_xlfn.XLOOKUP(A381&amp;"|"&amp;K381,'SOW caps'!$N$7:$N$36,'SOW caps'!$M$7:$M$36,"")="No hours"),_xlfn.XLOOKUP(A381&amp;"|"&amp;K381,'SOW caps'!$N$7:$N$36,'SOW caps'!$O$7:$O$36,""),""),"")</x:f>
      </x:c>
      <x:c r="V381" s="8" t="str">
        <x:f>IF(AND(ISNUMBER(U381),ISNUMBER(X381)),ROUND(SUMIFS($X$7:X381,$A$7:A381,A381,$K$7:K381,K381,$M$7:M381,"Mapped")*U381,2)-ROUND((SUMIFS($X$7:X381,$A$7:A381,A381,$K$7:K381,K381,$M$7:M381,"Mapped")-X381)*U381,2),"")</x:f>
      </x:c>
      <x:c r="W381" s="1" t="str">
        <x:f>IF(B381="","",IF(OR(NOT(ISNUMBER(I381)),I381&lt;0),"Invalid hours",IF(NOT(ISNUMBER(R381)),"Manual hours",IF(ROUND(I381*3600000,0)=R381,"Source hours","Adjusted hours"))))</x:f>
      </x:c>
      <x:c r="X381" s="10" t="str">
        <x:f>IF(B381="","",IF(AND(ISNUMBER(I381),I381&gt;=0,Q381="In period"),I381,""))</x:f>
      </x:c>
    </x:row>
    <x:row r="382" ht="23" customHeight="1">
      <x:c r="A382" s="3"/>
      <x:c r="B382" s="3"/>
      <x:c r="C382" s="3"/>
      <x:c r="D382" s="3"/>
      <x:c r="E382" s="3"/>
      <x:c r="F382" s="3"/>
      <x:c r="G382" s="3"/>
      <x:c r="H382" s="3"/>
      <x:c r="I382" s="9"/>
      <x:c r="J382" s="3"/>
      <x:c r="K382" s="3"/>
      <x:c r="L382" s="3"/>
      <x:c r="M382" s="1" t="str">
        <x:f>IF(B382="","",IF(W382="Invalid hours","Invalid hours",IF(NOT(ISNUMBER(X382)),"Excluded",IF(AND(J382&lt;&gt;"",K382&lt;&gt;"",L382&lt;&gt;"",COUNTIF('SOW caps'!$N$7:$N$36,A382&amp;"|"&amp;K382)=1),"Mapped","Needs allocation"))))</x:f>
      </x:c>
      <x:c r="N382" s="8" t="str">
        <x:f>IF(B382="","",IF(M382="Mapped",_xlfn.XLOOKUP(A382&amp;"|"&amp;K382,'SOW caps'!$N$7:$N$36,'SOW caps'!$E$7:$E$36,""),IF(ISNUMBER('SOW caps'!$B$3),'SOW caps'!$B$3,"")))</x:f>
      </x:c>
      <x:c r="O382" s="8" t="str">
        <x:f>IF(AND(ISNUMBER(X382),ISNUMBER(N382),N382&gt;=0),X382*N382,"")</x:f>
      </x:c>
      <x:c r="P382" s="3"/>
      <x:c r="Q382" s="3"/>
      <x:c r="R382" s="3"/>
      <x:c r="S382" s="3"/>
      <x:c r="T382" s="3"/>
      <x:c r="U382" s="8" t="str">
        <x:f>IF(M382="Mapped",IF(OR(_xlfn.XLOOKUP(A382&amp;"|"&amp;K382,'SOW caps'!$N$7:$N$36,'SOW caps'!$M$7:$M$36,"")="Ready",_xlfn.XLOOKUP(A382&amp;"|"&amp;K382,'SOW caps'!$N$7:$N$36,'SOW caps'!$M$7:$M$36,"")="No hours"),_xlfn.XLOOKUP(A382&amp;"|"&amp;K382,'SOW caps'!$N$7:$N$36,'SOW caps'!$O$7:$O$36,""),""),"")</x:f>
      </x:c>
      <x:c r="V382" s="8" t="str">
        <x:f>IF(AND(ISNUMBER(U382),ISNUMBER(X382)),ROUND(SUMIFS($X$7:X382,$A$7:A382,A382,$K$7:K382,K382,$M$7:M382,"Mapped")*U382,2)-ROUND((SUMIFS($X$7:X382,$A$7:A382,A382,$K$7:K382,K382,$M$7:M382,"Mapped")-X382)*U382,2),"")</x:f>
      </x:c>
      <x:c r="W382" s="1" t="str">
        <x:f>IF(B382="","",IF(OR(NOT(ISNUMBER(I382)),I382&lt;0),"Invalid hours",IF(NOT(ISNUMBER(R382)),"Manual hours",IF(ROUND(I382*3600000,0)=R382,"Source hours","Adjusted hours"))))</x:f>
      </x:c>
      <x:c r="X382" s="10" t="str">
        <x:f>IF(B382="","",IF(AND(ISNUMBER(I382),I382&gt;=0,Q382="In period"),I382,""))</x:f>
      </x:c>
    </x:row>
    <x:row r="383" ht="23" customHeight="1">
      <x:c r="A383" s="3"/>
      <x:c r="B383" s="3"/>
      <x:c r="C383" s="3"/>
      <x:c r="D383" s="3"/>
      <x:c r="E383" s="3"/>
      <x:c r="F383" s="3"/>
      <x:c r="G383" s="3"/>
      <x:c r="H383" s="3"/>
      <x:c r="I383" s="9"/>
      <x:c r="J383" s="3"/>
      <x:c r="K383" s="3"/>
      <x:c r="L383" s="3"/>
      <x:c r="M383" s="1" t="str">
        <x:f>IF(B383="","",IF(W383="Invalid hours","Invalid hours",IF(NOT(ISNUMBER(X383)),"Excluded",IF(AND(J383&lt;&gt;"",K383&lt;&gt;"",L383&lt;&gt;"",COUNTIF('SOW caps'!$N$7:$N$36,A383&amp;"|"&amp;K383)=1),"Mapped","Needs allocation"))))</x:f>
      </x:c>
      <x:c r="N383" s="8" t="str">
        <x:f>IF(B383="","",IF(M383="Mapped",_xlfn.XLOOKUP(A383&amp;"|"&amp;K383,'SOW caps'!$N$7:$N$36,'SOW caps'!$E$7:$E$36,""),IF(ISNUMBER('SOW caps'!$B$3),'SOW caps'!$B$3,"")))</x:f>
      </x:c>
      <x:c r="O383" s="8" t="str">
        <x:f>IF(AND(ISNUMBER(X383),ISNUMBER(N383),N383&gt;=0),X383*N383,"")</x:f>
      </x:c>
      <x:c r="P383" s="3"/>
      <x:c r="Q383" s="3"/>
      <x:c r="R383" s="3"/>
      <x:c r="S383" s="3"/>
      <x:c r="T383" s="3"/>
      <x:c r="U383" s="8" t="str">
        <x:f>IF(M383="Mapped",IF(OR(_xlfn.XLOOKUP(A383&amp;"|"&amp;K383,'SOW caps'!$N$7:$N$36,'SOW caps'!$M$7:$M$36,"")="Ready",_xlfn.XLOOKUP(A383&amp;"|"&amp;K383,'SOW caps'!$N$7:$N$36,'SOW caps'!$M$7:$M$36,"")="No hours"),_xlfn.XLOOKUP(A383&amp;"|"&amp;K383,'SOW caps'!$N$7:$N$36,'SOW caps'!$O$7:$O$36,""),""),"")</x:f>
      </x:c>
      <x:c r="V383" s="8" t="str">
        <x:f>IF(AND(ISNUMBER(U383),ISNUMBER(X383)),ROUND(SUMIFS($X$7:X383,$A$7:A383,A383,$K$7:K383,K383,$M$7:M383,"Mapped")*U383,2)-ROUND((SUMIFS($X$7:X383,$A$7:A383,A383,$K$7:K383,K383,$M$7:M383,"Mapped")-X383)*U383,2),"")</x:f>
      </x:c>
      <x:c r="W383" s="1" t="str">
        <x:f>IF(B383="","",IF(OR(NOT(ISNUMBER(I383)),I383&lt;0),"Invalid hours",IF(NOT(ISNUMBER(R383)),"Manual hours",IF(ROUND(I383*3600000,0)=R383,"Source hours","Adjusted hours"))))</x:f>
      </x:c>
      <x:c r="X383" s="10" t="str">
        <x:f>IF(B383="","",IF(AND(ISNUMBER(I383),I383&gt;=0,Q383="In period"),I383,""))</x:f>
      </x:c>
    </x:row>
    <x:row r="384" ht="23" customHeight="1">
      <x:c r="A384" s="3"/>
      <x:c r="B384" s="3"/>
      <x:c r="C384" s="3"/>
      <x:c r="D384" s="3"/>
      <x:c r="E384" s="3"/>
      <x:c r="F384" s="3"/>
      <x:c r="G384" s="3"/>
      <x:c r="H384" s="3"/>
      <x:c r="I384" s="9"/>
      <x:c r="J384" s="3"/>
      <x:c r="K384" s="3"/>
      <x:c r="L384" s="3"/>
      <x:c r="M384" s="1" t="str">
        <x:f>IF(B384="","",IF(W384="Invalid hours","Invalid hours",IF(NOT(ISNUMBER(X384)),"Excluded",IF(AND(J384&lt;&gt;"",K384&lt;&gt;"",L384&lt;&gt;"",COUNTIF('SOW caps'!$N$7:$N$36,A384&amp;"|"&amp;K384)=1),"Mapped","Needs allocation"))))</x:f>
      </x:c>
      <x:c r="N384" s="8" t="str">
        <x:f>IF(B384="","",IF(M384="Mapped",_xlfn.XLOOKUP(A384&amp;"|"&amp;K384,'SOW caps'!$N$7:$N$36,'SOW caps'!$E$7:$E$36,""),IF(ISNUMBER('SOW caps'!$B$3),'SOW caps'!$B$3,"")))</x:f>
      </x:c>
      <x:c r="O384" s="8" t="str">
        <x:f>IF(AND(ISNUMBER(X384),ISNUMBER(N384),N384&gt;=0),X384*N384,"")</x:f>
      </x:c>
      <x:c r="P384" s="3"/>
      <x:c r="Q384" s="3"/>
      <x:c r="R384" s="3"/>
      <x:c r="S384" s="3"/>
      <x:c r="T384" s="3"/>
      <x:c r="U384" s="8" t="str">
        <x:f>IF(M384="Mapped",IF(OR(_xlfn.XLOOKUP(A384&amp;"|"&amp;K384,'SOW caps'!$N$7:$N$36,'SOW caps'!$M$7:$M$36,"")="Ready",_xlfn.XLOOKUP(A384&amp;"|"&amp;K384,'SOW caps'!$N$7:$N$36,'SOW caps'!$M$7:$M$36,"")="No hours"),_xlfn.XLOOKUP(A384&amp;"|"&amp;K384,'SOW caps'!$N$7:$N$36,'SOW caps'!$O$7:$O$36,""),""),"")</x:f>
      </x:c>
      <x:c r="V384" s="8" t="str">
        <x:f>IF(AND(ISNUMBER(U384),ISNUMBER(X384)),ROUND(SUMIFS($X$7:X384,$A$7:A384,A384,$K$7:K384,K384,$M$7:M384,"Mapped")*U384,2)-ROUND((SUMIFS($X$7:X384,$A$7:A384,A384,$K$7:K384,K384,$M$7:M384,"Mapped")-X384)*U384,2),"")</x:f>
      </x:c>
      <x:c r="W384" s="1" t="str">
        <x:f>IF(B384="","",IF(OR(NOT(ISNUMBER(I384)),I384&lt;0),"Invalid hours",IF(NOT(ISNUMBER(R384)),"Manual hours",IF(ROUND(I384*3600000,0)=R384,"Source hours","Adjusted hours"))))</x:f>
      </x:c>
      <x:c r="X384" s="10" t="str">
        <x:f>IF(B384="","",IF(AND(ISNUMBER(I384),I384&gt;=0,Q384="In period"),I384,""))</x:f>
      </x:c>
    </x:row>
    <x:row r="385" ht="23" customHeight="1">
      <x:c r="A385" s="3"/>
      <x:c r="B385" s="3"/>
      <x:c r="C385" s="3"/>
      <x:c r="D385" s="3"/>
      <x:c r="E385" s="3"/>
      <x:c r="F385" s="3"/>
      <x:c r="G385" s="3"/>
      <x:c r="H385" s="3"/>
      <x:c r="I385" s="9"/>
      <x:c r="J385" s="3"/>
      <x:c r="K385" s="3"/>
      <x:c r="L385" s="3"/>
      <x:c r="M385" s="1" t="str">
        <x:f>IF(B385="","",IF(W385="Invalid hours","Invalid hours",IF(NOT(ISNUMBER(X385)),"Excluded",IF(AND(J385&lt;&gt;"",K385&lt;&gt;"",L385&lt;&gt;"",COUNTIF('SOW caps'!$N$7:$N$36,A385&amp;"|"&amp;K385)=1),"Mapped","Needs allocation"))))</x:f>
      </x:c>
      <x:c r="N385" s="8" t="str">
        <x:f>IF(B385="","",IF(M385="Mapped",_xlfn.XLOOKUP(A385&amp;"|"&amp;K385,'SOW caps'!$N$7:$N$36,'SOW caps'!$E$7:$E$36,""),IF(ISNUMBER('SOW caps'!$B$3),'SOW caps'!$B$3,"")))</x:f>
      </x:c>
      <x:c r="O385" s="8" t="str">
        <x:f>IF(AND(ISNUMBER(X385),ISNUMBER(N385),N385&gt;=0),X385*N385,"")</x:f>
      </x:c>
      <x:c r="P385" s="3"/>
      <x:c r="Q385" s="3"/>
      <x:c r="R385" s="3"/>
      <x:c r="S385" s="3"/>
      <x:c r="T385" s="3"/>
      <x:c r="U385" s="8" t="str">
        <x:f>IF(M385="Mapped",IF(OR(_xlfn.XLOOKUP(A385&amp;"|"&amp;K385,'SOW caps'!$N$7:$N$36,'SOW caps'!$M$7:$M$36,"")="Ready",_xlfn.XLOOKUP(A385&amp;"|"&amp;K385,'SOW caps'!$N$7:$N$36,'SOW caps'!$M$7:$M$36,"")="No hours"),_xlfn.XLOOKUP(A385&amp;"|"&amp;K385,'SOW caps'!$N$7:$N$36,'SOW caps'!$O$7:$O$36,""),""),"")</x:f>
      </x:c>
      <x:c r="V385" s="8" t="str">
        <x:f>IF(AND(ISNUMBER(U385),ISNUMBER(X385)),ROUND(SUMIFS($X$7:X385,$A$7:A385,A385,$K$7:K385,K385,$M$7:M385,"Mapped")*U385,2)-ROUND((SUMIFS($X$7:X385,$A$7:A385,A385,$K$7:K385,K385,$M$7:M385,"Mapped")-X385)*U385,2),"")</x:f>
      </x:c>
      <x:c r="W385" s="1" t="str">
        <x:f>IF(B385="","",IF(OR(NOT(ISNUMBER(I385)),I385&lt;0),"Invalid hours",IF(NOT(ISNUMBER(R385)),"Manual hours",IF(ROUND(I385*3600000,0)=R385,"Source hours","Adjusted hours"))))</x:f>
      </x:c>
      <x:c r="X385" s="10" t="str">
        <x:f>IF(B385="","",IF(AND(ISNUMBER(I385),I385&gt;=0,Q385="In period"),I385,""))</x:f>
      </x:c>
    </x:row>
    <x:row r="386" ht="23" customHeight="1">
      <x:c r="A386" s="3"/>
      <x:c r="B386" s="3"/>
      <x:c r="C386" s="3"/>
      <x:c r="D386" s="3"/>
      <x:c r="E386" s="3"/>
      <x:c r="F386" s="3"/>
      <x:c r="G386" s="3"/>
      <x:c r="H386" s="3"/>
      <x:c r="I386" s="9"/>
      <x:c r="J386" s="3"/>
      <x:c r="K386" s="3"/>
      <x:c r="L386" s="3"/>
      <x:c r="M386" s="1" t="str">
        <x:f>IF(B386="","",IF(W386="Invalid hours","Invalid hours",IF(NOT(ISNUMBER(X386)),"Excluded",IF(AND(J386&lt;&gt;"",K386&lt;&gt;"",L386&lt;&gt;"",COUNTIF('SOW caps'!$N$7:$N$36,A386&amp;"|"&amp;K386)=1),"Mapped","Needs allocation"))))</x:f>
      </x:c>
      <x:c r="N386" s="8" t="str">
        <x:f>IF(B386="","",IF(M386="Mapped",_xlfn.XLOOKUP(A386&amp;"|"&amp;K386,'SOW caps'!$N$7:$N$36,'SOW caps'!$E$7:$E$36,""),IF(ISNUMBER('SOW caps'!$B$3),'SOW caps'!$B$3,"")))</x:f>
      </x:c>
      <x:c r="O386" s="8" t="str">
        <x:f>IF(AND(ISNUMBER(X386),ISNUMBER(N386),N386&gt;=0),X386*N386,"")</x:f>
      </x:c>
      <x:c r="P386" s="3"/>
      <x:c r="Q386" s="3"/>
      <x:c r="R386" s="3"/>
      <x:c r="S386" s="3"/>
      <x:c r="T386" s="3"/>
      <x:c r="U386" s="8" t="str">
        <x:f>IF(M386="Mapped",IF(OR(_xlfn.XLOOKUP(A386&amp;"|"&amp;K386,'SOW caps'!$N$7:$N$36,'SOW caps'!$M$7:$M$36,"")="Ready",_xlfn.XLOOKUP(A386&amp;"|"&amp;K386,'SOW caps'!$N$7:$N$36,'SOW caps'!$M$7:$M$36,"")="No hours"),_xlfn.XLOOKUP(A386&amp;"|"&amp;K386,'SOW caps'!$N$7:$N$36,'SOW caps'!$O$7:$O$36,""),""),"")</x:f>
      </x:c>
      <x:c r="V386" s="8" t="str">
        <x:f>IF(AND(ISNUMBER(U386),ISNUMBER(X386)),ROUND(SUMIFS($X$7:X386,$A$7:A386,A386,$K$7:K386,K386,$M$7:M386,"Mapped")*U386,2)-ROUND((SUMIFS($X$7:X386,$A$7:A386,A386,$K$7:K386,K386,$M$7:M386,"Mapped")-X386)*U386,2),"")</x:f>
      </x:c>
      <x:c r="W386" s="1" t="str">
        <x:f>IF(B386="","",IF(OR(NOT(ISNUMBER(I386)),I386&lt;0),"Invalid hours",IF(NOT(ISNUMBER(R386)),"Manual hours",IF(ROUND(I386*3600000,0)=R386,"Source hours","Adjusted hours"))))</x:f>
      </x:c>
      <x:c r="X386" s="10" t="str">
        <x:f>IF(B386="","",IF(AND(ISNUMBER(I386),I386&gt;=0,Q386="In period"),I386,""))</x:f>
      </x:c>
    </x:row>
    <x:row r="387" ht="23" customHeight="1">
      <x:c r="A387" s="3"/>
      <x:c r="B387" s="3"/>
      <x:c r="C387" s="3"/>
      <x:c r="D387" s="3"/>
      <x:c r="E387" s="3"/>
      <x:c r="F387" s="3"/>
      <x:c r="G387" s="3"/>
      <x:c r="H387" s="3"/>
      <x:c r="I387" s="9"/>
      <x:c r="J387" s="3"/>
      <x:c r="K387" s="3"/>
      <x:c r="L387" s="3"/>
      <x:c r="M387" s="1" t="str">
        <x:f>IF(B387="","",IF(W387="Invalid hours","Invalid hours",IF(NOT(ISNUMBER(X387)),"Excluded",IF(AND(J387&lt;&gt;"",K387&lt;&gt;"",L387&lt;&gt;"",COUNTIF('SOW caps'!$N$7:$N$36,A387&amp;"|"&amp;K387)=1),"Mapped","Needs allocation"))))</x:f>
      </x:c>
      <x:c r="N387" s="8" t="str">
        <x:f>IF(B387="","",IF(M387="Mapped",_xlfn.XLOOKUP(A387&amp;"|"&amp;K387,'SOW caps'!$N$7:$N$36,'SOW caps'!$E$7:$E$36,""),IF(ISNUMBER('SOW caps'!$B$3),'SOW caps'!$B$3,"")))</x:f>
      </x:c>
      <x:c r="O387" s="8" t="str">
        <x:f>IF(AND(ISNUMBER(X387),ISNUMBER(N387),N387&gt;=0),X387*N387,"")</x:f>
      </x:c>
      <x:c r="P387" s="3"/>
      <x:c r="Q387" s="3"/>
      <x:c r="R387" s="3"/>
      <x:c r="S387" s="3"/>
      <x:c r="T387" s="3"/>
      <x:c r="U387" s="8" t="str">
        <x:f>IF(M387="Mapped",IF(OR(_xlfn.XLOOKUP(A387&amp;"|"&amp;K387,'SOW caps'!$N$7:$N$36,'SOW caps'!$M$7:$M$36,"")="Ready",_xlfn.XLOOKUP(A387&amp;"|"&amp;K387,'SOW caps'!$N$7:$N$36,'SOW caps'!$M$7:$M$36,"")="No hours"),_xlfn.XLOOKUP(A387&amp;"|"&amp;K387,'SOW caps'!$N$7:$N$36,'SOW caps'!$O$7:$O$36,""),""),"")</x:f>
      </x:c>
      <x:c r="V387" s="8" t="str">
        <x:f>IF(AND(ISNUMBER(U387),ISNUMBER(X387)),ROUND(SUMIFS($X$7:X387,$A$7:A387,A387,$K$7:K387,K387,$M$7:M387,"Mapped")*U387,2)-ROUND((SUMIFS($X$7:X387,$A$7:A387,A387,$K$7:K387,K387,$M$7:M387,"Mapped")-X387)*U387,2),"")</x:f>
      </x:c>
      <x:c r="W387" s="1" t="str">
        <x:f>IF(B387="","",IF(OR(NOT(ISNUMBER(I387)),I387&lt;0),"Invalid hours",IF(NOT(ISNUMBER(R387)),"Manual hours",IF(ROUND(I387*3600000,0)=R387,"Source hours","Adjusted hours"))))</x:f>
      </x:c>
      <x:c r="X387" s="10" t="str">
        <x:f>IF(B387="","",IF(AND(ISNUMBER(I387),I387&gt;=0,Q387="In period"),I387,""))</x:f>
      </x:c>
    </x:row>
    <x:row r="388" ht="23" customHeight="1">
      <x:c r="A388" s="3"/>
      <x:c r="B388" s="3"/>
      <x:c r="C388" s="3"/>
      <x:c r="D388" s="3"/>
      <x:c r="E388" s="3"/>
      <x:c r="F388" s="3"/>
      <x:c r="G388" s="3"/>
      <x:c r="H388" s="3"/>
      <x:c r="I388" s="9"/>
      <x:c r="J388" s="3"/>
      <x:c r="K388" s="3"/>
      <x:c r="L388" s="3"/>
      <x:c r="M388" s="1" t="str">
        <x:f>IF(B388="","",IF(W388="Invalid hours","Invalid hours",IF(NOT(ISNUMBER(X388)),"Excluded",IF(AND(J388&lt;&gt;"",K388&lt;&gt;"",L388&lt;&gt;"",COUNTIF('SOW caps'!$N$7:$N$36,A388&amp;"|"&amp;K388)=1),"Mapped","Needs allocation"))))</x:f>
      </x:c>
      <x:c r="N388" s="8" t="str">
        <x:f>IF(B388="","",IF(M388="Mapped",_xlfn.XLOOKUP(A388&amp;"|"&amp;K388,'SOW caps'!$N$7:$N$36,'SOW caps'!$E$7:$E$36,""),IF(ISNUMBER('SOW caps'!$B$3),'SOW caps'!$B$3,"")))</x:f>
      </x:c>
      <x:c r="O388" s="8" t="str">
        <x:f>IF(AND(ISNUMBER(X388),ISNUMBER(N388),N388&gt;=0),X388*N388,"")</x:f>
      </x:c>
      <x:c r="P388" s="3"/>
      <x:c r="Q388" s="3"/>
      <x:c r="R388" s="3"/>
      <x:c r="S388" s="3"/>
      <x:c r="T388" s="3"/>
      <x:c r="U388" s="8" t="str">
        <x:f>IF(M388="Mapped",IF(OR(_xlfn.XLOOKUP(A388&amp;"|"&amp;K388,'SOW caps'!$N$7:$N$36,'SOW caps'!$M$7:$M$36,"")="Ready",_xlfn.XLOOKUP(A388&amp;"|"&amp;K388,'SOW caps'!$N$7:$N$36,'SOW caps'!$M$7:$M$36,"")="No hours"),_xlfn.XLOOKUP(A388&amp;"|"&amp;K388,'SOW caps'!$N$7:$N$36,'SOW caps'!$O$7:$O$36,""),""),"")</x:f>
      </x:c>
      <x:c r="V388" s="8" t="str">
        <x:f>IF(AND(ISNUMBER(U388),ISNUMBER(X388)),ROUND(SUMIFS($X$7:X388,$A$7:A388,A388,$K$7:K388,K388,$M$7:M388,"Mapped")*U388,2)-ROUND((SUMIFS($X$7:X388,$A$7:A388,A388,$K$7:K388,K388,$M$7:M388,"Mapped")-X388)*U388,2),"")</x:f>
      </x:c>
      <x:c r="W388" s="1" t="str">
        <x:f>IF(B388="","",IF(OR(NOT(ISNUMBER(I388)),I388&lt;0),"Invalid hours",IF(NOT(ISNUMBER(R388)),"Manual hours",IF(ROUND(I388*3600000,0)=R388,"Source hours","Adjusted hours"))))</x:f>
      </x:c>
      <x:c r="X388" s="10" t="str">
        <x:f>IF(B388="","",IF(AND(ISNUMBER(I388),I388&gt;=0,Q388="In period"),I388,""))</x:f>
      </x:c>
    </x:row>
    <x:row r="389" ht="23" customHeight="1">
      <x:c r="A389" s="3"/>
      <x:c r="B389" s="3"/>
      <x:c r="C389" s="3"/>
      <x:c r="D389" s="3"/>
      <x:c r="E389" s="3"/>
      <x:c r="F389" s="3"/>
      <x:c r="G389" s="3"/>
      <x:c r="H389" s="3"/>
      <x:c r="I389" s="9"/>
      <x:c r="J389" s="3"/>
      <x:c r="K389" s="3"/>
      <x:c r="L389" s="3"/>
      <x:c r="M389" s="1" t="str">
        <x:f>IF(B389="","",IF(W389="Invalid hours","Invalid hours",IF(NOT(ISNUMBER(X389)),"Excluded",IF(AND(J389&lt;&gt;"",K389&lt;&gt;"",L389&lt;&gt;"",COUNTIF('SOW caps'!$N$7:$N$36,A389&amp;"|"&amp;K389)=1),"Mapped","Needs allocation"))))</x:f>
      </x:c>
      <x:c r="N389" s="8" t="str">
        <x:f>IF(B389="","",IF(M389="Mapped",_xlfn.XLOOKUP(A389&amp;"|"&amp;K389,'SOW caps'!$N$7:$N$36,'SOW caps'!$E$7:$E$36,""),IF(ISNUMBER('SOW caps'!$B$3),'SOW caps'!$B$3,"")))</x:f>
      </x:c>
      <x:c r="O389" s="8" t="str">
        <x:f>IF(AND(ISNUMBER(X389),ISNUMBER(N389),N389&gt;=0),X389*N389,"")</x:f>
      </x:c>
      <x:c r="P389" s="3"/>
      <x:c r="Q389" s="3"/>
      <x:c r="R389" s="3"/>
      <x:c r="S389" s="3"/>
      <x:c r="T389" s="3"/>
      <x:c r="U389" s="8" t="str">
        <x:f>IF(M389="Mapped",IF(OR(_xlfn.XLOOKUP(A389&amp;"|"&amp;K389,'SOW caps'!$N$7:$N$36,'SOW caps'!$M$7:$M$36,"")="Ready",_xlfn.XLOOKUP(A389&amp;"|"&amp;K389,'SOW caps'!$N$7:$N$36,'SOW caps'!$M$7:$M$36,"")="No hours"),_xlfn.XLOOKUP(A389&amp;"|"&amp;K389,'SOW caps'!$N$7:$N$36,'SOW caps'!$O$7:$O$36,""),""),"")</x:f>
      </x:c>
      <x:c r="V389" s="8" t="str">
        <x:f>IF(AND(ISNUMBER(U389),ISNUMBER(X389)),ROUND(SUMIFS($X$7:X389,$A$7:A389,A389,$K$7:K389,K389,$M$7:M389,"Mapped")*U389,2)-ROUND((SUMIFS($X$7:X389,$A$7:A389,A389,$K$7:K389,K389,$M$7:M389,"Mapped")-X389)*U389,2),"")</x:f>
      </x:c>
      <x:c r="W389" s="1" t="str">
        <x:f>IF(B389="","",IF(OR(NOT(ISNUMBER(I389)),I389&lt;0),"Invalid hours",IF(NOT(ISNUMBER(R389)),"Manual hours",IF(ROUND(I389*3600000,0)=R389,"Source hours","Adjusted hours"))))</x:f>
      </x:c>
      <x:c r="X389" s="10" t="str">
        <x:f>IF(B389="","",IF(AND(ISNUMBER(I389),I389&gt;=0,Q389="In period"),I389,""))</x:f>
      </x:c>
    </x:row>
    <x:row r="390" ht="23" customHeight="1">
      <x:c r="A390" s="3"/>
      <x:c r="B390" s="3"/>
      <x:c r="C390" s="3"/>
      <x:c r="D390" s="3"/>
      <x:c r="E390" s="3"/>
      <x:c r="F390" s="3"/>
      <x:c r="G390" s="3"/>
      <x:c r="H390" s="3"/>
      <x:c r="I390" s="9"/>
      <x:c r="J390" s="3"/>
      <x:c r="K390" s="3"/>
      <x:c r="L390" s="3"/>
      <x:c r="M390" s="1" t="str">
        <x:f>IF(B390="","",IF(W390="Invalid hours","Invalid hours",IF(NOT(ISNUMBER(X390)),"Excluded",IF(AND(J390&lt;&gt;"",K390&lt;&gt;"",L390&lt;&gt;"",COUNTIF('SOW caps'!$N$7:$N$36,A390&amp;"|"&amp;K390)=1),"Mapped","Needs allocation"))))</x:f>
      </x:c>
      <x:c r="N390" s="8" t="str">
        <x:f>IF(B390="","",IF(M390="Mapped",_xlfn.XLOOKUP(A390&amp;"|"&amp;K390,'SOW caps'!$N$7:$N$36,'SOW caps'!$E$7:$E$36,""),IF(ISNUMBER('SOW caps'!$B$3),'SOW caps'!$B$3,"")))</x:f>
      </x:c>
      <x:c r="O390" s="8" t="str">
        <x:f>IF(AND(ISNUMBER(X390),ISNUMBER(N390),N390&gt;=0),X390*N390,"")</x:f>
      </x:c>
      <x:c r="P390" s="3"/>
      <x:c r="Q390" s="3"/>
      <x:c r="R390" s="3"/>
      <x:c r="S390" s="3"/>
      <x:c r="T390" s="3"/>
      <x:c r="U390" s="8" t="str">
        <x:f>IF(M390="Mapped",IF(OR(_xlfn.XLOOKUP(A390&amp;"|"&amp;K390,'SOW caps'!$N$7:$N$36,'SOW caps'!$M$7:$M$36,"")="Ready",_xlfn.XLOOKUP(A390&amp;"|"&amp;K390,'SOW caps'!$N$7:$N$36,'SOW caps'!$M$7:$M$36,"")="No hours"),_xlfn.XLOOKUP(A390&amp;"|"&amp;K390,'SOW caps'!$N$7:$N$36,'SOW caps'!$O$7:$O$36,""),""),"")</x:f>
      </x:c>
      <x:c r="V390" s="8" t="str">
        <x:f>IF(AND(ISNUMBER(U390),ISNUMBER(X390)),ROUND(SUMIFS($X$7:X390,$A$7:A390,A390,$K$7:K390,K390,$M$7:M390,"Mapped")*U390,2)-ROUND((SUMIFS($X$7:X390,$A$7:A390,A390,$K$7:K390,K390,$M$7:M390,"Mapped")-X390)*U390,2),"")</x:f>
      </x:c>
      <x:c r="W390" s="1" t="str">
        <x:f>IF(B390="","",IF(OR(NOT(ISNUMBER(I390)),I390&lt;0),"Invalid hours",IF(NOT(ISNUMBER(R390)),"Manual hours",IF(ROUND(I390*3600000,0)=R390,"Source hours","Adjusted hours"))))</x:f>
      </x:c>
      <x:c r="X390" s="10" t="str">
        <x:f>IF(B390="","",IF(AND(ISNUMBER(I390),I390&gt;=0,Q390="In period"),I390,""))</x:f>
      </x:c>
    </x:row>
    <x:row r="391" ht="23" customHeight="1">
      <x:c r="A391" s="3"/>
      <x:c r="B391" s="3"/>
      <x:c r="C391" s="3"/>
      <x:c r="D391" s="3"/>
      <x:c r="E391" s="3"/>
      <x:c r="F391" s="3"/>
      <x:c r="G391" s="3"/>
      <x:c r="H391" s="3"/>
      <x:c r="I391" s="9"/>
      <x:c r="J391" s="3"/>
      <x:c r="K391" s="3"/>
      <x:c r="L391" s="3"/>
      <x:c r="M391" s="1" t="str">
        <x:f>IF(B391="","",IF(W391="Invalid hours","Invalid hours",IF(NOT(ISNUMBER(X391)),"Excluded",IF(AND(J391&lt;&gt;"",K391&lt;&gt;"",L391&lt;&gt;"",COUNTIF('SOW caps'!$N$7:$N$36,A391&amp;"|"&amp;K391)=1),"Mapped","Needs allocation"))))</x:f>
      </x:c>
      <x:c r="N391" s="8" t="str">
        <x:f>IF(B391="","",IF(M391="Mapped",_xlfn.XLOOKUP(A391&amp;"|"&amp;K391,'SOW caps'!$N$7:$N$36,'SOW caps'!$E$7:$E$36,""),IF(ISNUMBER('SOW caps'!$B$3),'SOW caps'!$B$3,"")))</x:f>
      </x:c>
      <x:c r="O391" s="8" t="str">
        <x:f>IF(AND(ISNUMBER(X391),ISNUMBER(N391),N391&gt;=0),X391*N391,"")</x:f>
      </x:c>
      <x:c r="P391" s="3"/>
      <x:c r="Q391" s="3"/>
      <x:c r="R391" s="3"/>
      <x:c r="S391" s="3"/>
      <x:c r="T391" s="3"/>
      <x:c r="U391" s="8" t="str">
        <x:f>IF(M391="Mapped",IF(OR(_xlfn.XLOOKUP(A391&amp;"|"&amp;K391,'SOW caps'!$N$7:$N$36,'SOW caps'!$M$7:$M$36,"")="Ready",_xlfn.XLOOKUP(A391&amp;"|"&amp;K391,'SOW caps'!$N$7:$N$36,'SOW caps'!$M$7:$M$36,"")="No hours"),_xlfn.XLOOKUP(A391&amp;"|"&amp;K391,'SOW caps'!$N$7:$N$36,'SOW caps'!$O$7:$O$36,""),""),"")</x:f>
      </x:c>
      <x:c r="V391" s="8" t="str">
        <x:f>IF(AND(ISNUMBER(U391),ISNUMBER(X391)),ROUND(SUMIFS($X$7:X391,$A$7:A391,A391,$K$7:K391,K391,$M$7:M391,"Mapped")*U391,2)-ROUND((SUMIFS($X$7:X391,$A$7:A391,A391,$K$7:K391,K391,$M$7:M391,"Mapped")-X391)*U391,2),"")</x:f>
      </x:c>
      <x:c r="W391" s="1" t="str">
        <x:f>IF(B391="","",IF(OR(NOT(ISNUMBER(I391)),I391&lt;0),"Invalid hours",IF(NOT(ISNUMBER(R391)),"Manual hours",IF(ROUND(I391*3600000,0)=R391,"Source hours","Adjusted hours"))))</x:f>
      </x:c>
      <x:c r="X391" s="10" t="str">
        <x:f>IF(B391="","",IF(AND(ISNUMBER(I391),I391&gt;=0,Q391="In period"),I391,""))</x:f>
      </x:c>
    </x:row>
    <x:row r="392" ht="23" customHeight="1">
      <x:c r="A392" s="3"/>
      <x:c r="B392" s="3"/>
      <x:c r="C392" s="3"/>
      <x:c r="D392" s="3"/>
      <x:c r="E392" s="3"/>
      <x:c r="F392" s="3"/>
      <x:c r="G392" s="3"/>
      <x:c r="H392" s="3"/>
      <x:c r="I392" s="9"/>
      <x:c r="J392" s="3"/>
      <x:c r="K392" s="3"/>
      <x:c r="L392" s="3"/>
      <x:c r="M392" s="1" t="str">
        <x:f>IF(B392="","",IF(W392="Invalid hours","Invalid hours",IF(NOT(ISNUMBER(X392)),"Excluded",IF(AND(J392&lt;&gt;"",K392&lt;&gt;"",L392&lt;&gt;"",COUNTIF('SOW caps'!$N$7:$N$36,A392&amp;"|"&amp;K392)=1),"Mapped","Needs allocation"))))</x:f>
      </x:c>
      <x:c r="N392" s="8" t="str">
        <x:f>IF(B392="","",IF(M392="Mapped",_xlfn.XLOOKUP(A392&amp;"|"&amp;K392,'SOW caps'!$N$7:$N$36,'SOW caps'!$E$7:$E$36,""),IF(ISNUMBER('SOW caps'!$B$3),'SOW caps'!$B$3,"")))</x:f>
      </x:c>
      <x:c r="O392" s="8" t="str">
        <x:f>IF(AND(ISNUMBER(X392),ISNUMBER(N392),N392&gt;=0),X392*N392,"")</x:f>
      </x:c>
      <x:c r="P392" s="3"/>
      <x:c r="Q392" s="3"/>
      <x:c r="R392" s="3"/>
      <x:c r="S392" s="3"/>
      <x:c r="T392" s="3"/>
      <x:c r="U392" s="8" t="str">
        <x:f>IF(M392="Mapped",IF(OR(_xlfn.XLOOKUP(A392&amp;"|"&amp;K392,'SOW caps'!$N$7:$N$36,'SOW caps'!$M$7:$M$36,"")="Ready",_xlfn.XLOOKUP(A392&amp;"|"&amp;K392,'SOW caps'!$N$7:$N$36,'SOW caps'!$M$7:$M$36,"")="No hours"),_xlfn.XLOOKUP(A392&amp;"|"&amp;K392,'SOW caps'!$N$7:$N$36,'SOW caps'!$O$7:$O$36,""),""),"")</x:f>
      </x:c>
      <x:c r="V392" s="8" t="str">
        <x:f>IF(AND(ISNUMBER(U392),ISNUMBER(X392)),ROUND(SUMIFS($X$7:X392,$A$7:A392,A392,$K$7:K392,K392,$M$7:M392,"Mapped")*U392,2)-ROUND((SUMIFS($X$7:X392,$A$7:A392,A392,$K$7:K392,K392,$M$7:M392,"Mapped")-X392)*U392,2),"")</x:f>
      </x:c>
      <x:c r="W392" s="1" t="str">
        <x:f>IF(B392="","",IF(OR(NOT(ISNUMBER(I392)),I392&lt;0),"Invalid hours",IF(NOT(ISNUMBER(R392)),"Manual hours",IF(ROUND(I392*3600000,0)=R392,"Source hours","Adjusted hours"))))</x:f>
      </x:c>
      <x:c r="X392" s="10" t="str">
        <x:f>IF(B392="","",IF(AND(ISNUMBER(I392),I392&gt;=0,Q392="In period"),I392,""))</x:f>
      </x:c>
    </x:row>
    <x:row r="393" ht="23" customHeight="1">
      <x:c r="A393" s="3"/>
      <x:c r="B393" s="3"/>
      <x:c r="C393" s="3"/>
      <x:c r="D393" s="3"/>
      <x:c r="E393" s="3"/>
      <x:c r="F393" s="3"/>
      <x:c r="G393" s="3"/>
      <x:c r="H393" s="3"/>
      <x:c r="I393" s="9"/>
      <x:c r="J393" s="3"/>
      <x:c r="K393" s="3"/>
      <x:c r="L393" s="3"/>
      <x:c r="M393" s="1" t="str">
        <x:f>IF(B393="","",IF(W393="Invalid hours","Invalid hours",IF(NOT(ISNUMBER(X393)),"Excluded",IF(AND(J393&lt;&gt;"",K393&lt;&gt;"",L393&lt;&gt;"",COUNTIF('SOW caps'!$N$7:$N$36,A393&amp;"|"&amp;K393)=1),"Mapped","Needs allocation"))))</x:f>
      </x:c>
      <x:c r="N393" s="8" t="str">
        <x:f>IF(B393="","",IF(M393="Mapped",_xlfn.XLOOKUP(A393&amp;"|"&amp;K393,'SOW caps'!$N$7:$N$36,'SOW caps'!$E$7:$E$36,""),IF(ISNUMBER('SOW caps'!$B$3),'SOW caps'!$B$3,"")))</x:f>
      </x:c>
      <x:c r="O393" s="8" t="str">
        <x:f>IF(AND(ISNUMBER(X393),ISNUMBER(N393),N393&gt;=0),X393*N393,"")</x:f>
      </x:c>
      <x:c r="P393" s="3"/>
      <x:c r="Q393" s="3"/>
      <x:c r="R393" s="3"/>
      <x:c r="S393" s="3"/>
      <x:c r="T393" s="3"/>
      <x:c r="U393" s="8" t="str">
        <x:f>IF(M393="Mapped",IF(OR(_xlfn.XLOOKUP(A393&amp;"|"&amp;K393,'SOW caps'!$N$7:$N$36,'SOW caps'!$M$7:$M$36,"")="Ready",_xlfn.XLOOKUP(A393&amp;"|"&amp;K393,'SOW caps'!$N$7:$N$36,'SOW caps'!$M$7:$M$36,"")="No hours"),_xlfn.XLOOKUP(A393&amp;"|"&amp;K393,'SOW caps'!$N$7:$N$36,'SOW caps'!$O$7:$O$36,""),""),"")</x:f>
      </x:c>
      <x:c r="V393" s="8" t="str">
        <x:f>IF(AND(ISNUMBER(U393),ISNUMBER(X393)),ROUND(SUMIFS($X$7:X393,$A$7:A393,A393,$K$7:K393,K393,$M$7:M393,"Mapped")*U393,2)-ROUND((SUMIFS($X$7:X393,$A$7:A393,A393,$K$7:K393,K393,$M$7:M393,"Mapped")-X393)*U393,2),"")</x:f>
      </x:c>
      <x:c r="W393" s="1" t="str">
        <x:f>IF(B393="","",IF(OR(NOT(ISNUMBER(I393)),I393&lt;0),"Invalid hours",IF(NOT(ISNUMBER(R393)),"Manual hours",IF(ROUND(I393*3600000,0)=R393,"Source hours","Adjusted hours"))))</x:f>
      </x:c>
      <x:c r="X393" s="10" t="str">
        <x:f>IF(B393="","",IF(AND(ISNUMBER(I393),I393&gt;=0,Q393="In period"),I393,""))</x:f>
      </x:c>
    </x:row>
    <x:row r="394" ht="23" customHeight="1">
      <x:c r="A394" s="3"/>
      <x:c r="B394" s="3"/>
      <x:c r="C394" s="3"/>
      <x:c r="D394" s="3"/>
      <x:c r="E394" s="3"/>
      <x:c r="F394" s="3"/>
      <x:c r="G394" s="3"/>
      <x:c r="H394" s="3"/>
      <x:c r="I394" s="9"/>
      <x:c r="J394" s="3"/>
      <x:c r="K394" s="3"/>
      <x:c r="L394" s="3"/>
      <x:c r="M394" s="1" t="str">
        <x:f>IF(B394="","",IF(W394="Invalid hours","Invalid hours",IF(NOT(ISNUMBER(X394)),"Excluded",IF(AND(J394&lt;&gt;"",K394&lt;&gt;"",L394&lt;&gt;"",COUNTIF('SOW caps'!$N$7:$N$36,A394&amp;"|"&amp;K394)=1),"Mapped","Needs allocation"))))</x:f>
      </x:c>
      <x:c r="N394" s="8" t="str">
        <x:f>IF(B394="","",IF(M394="Mapped",_xlfn.XLOOKUP(A394&amp;"|"&amp;K394,'SOW caps'!$N$7:$N$36,'SOW caps'!$E$7:$E$36,""),IF(ISNUMBER('SOW caps'!$B$3),'SOW caps'!$B$3,"")))</x:f>
      </x:c>
      <x:c r="O394" s="8" t="str">
        <x:f>IF(AND(ISNUMBER(X394),ISNUMBER(N394),N394&gt;=0),X394*N394,"")</x:f>
      </x:c>
      <x:c r="P394" s="3"/>
      <x:c r="Q394" s="3"/>
      <x:c r="R394" s="3"/>
      <x:c r="S394" s="3"/>
      <x:c r="T394" s="3"/>
      <x:c r="U394" s="8" t="str">
        <x:f>IF(M394="Mapped",IF(OR(_xlfn.XLOOKUP(A394&amp;"|"&amp;K394,'SOW caps'!$N$7:$N$36,'SOW caps'!$M$7:$M$36,"")="Ready",_xlfn.XLOOKUP(A394&amp;"|"&amp;K394,'SOW caps'!$N$7:$N$36,'SOW caps'!$M$7:$M$36,"")="No hours"),_xlfn.XLOOKUP(A394&amp;"|"&amp;K394,'SOW caps'!$N$7:$N$36,'SOW caps'!$O$7:$O$36,""),""),"")</x:f>
      </x:c>
      <x:c r="V394" s="8" t="str">
        <x:f>IF(AND(ISNUMBER(U394),ISNUMBER(X394)),ROUND(SUMIFS($X$7:X394,$A$7:A394,A394,$K$7:K394,K394,$M$7:M394,"Mapped")*U394,2)-ROUND((SUMIFS($X$7:X394,$A$7:A394,A394,$K$7:K394,K394,$M$7:M394,"Mapped")-X394)*U394,2),"")</x:f>
      </x:c>
      <x:c r="W394" s="1" t="str">
        <x:f>IF(B394="","",IF(OR(NOT(ISNUMBER(I394)),I394&lt;0),"Invalid hours",IF(NOT(ISNUMBER(R394)),"Manual hours",IF(ROUND(I394*3600000,0)=R394,"Source hours","Adjusted hours"))))</x:f>
      </x:c>
      <x:c r="X394" s="10" t="str">
        <x:f>IF(B394="","",IF(AND(ISNUMBER(I394),I394&gt;=0,Q394="In period"),I394,""))</x:f>
      </x:c>
    </x:row>
    <x:row r="395" ht="23" customHeight="1">
      <x:c r="A395" s="3"/>
      <x:c r="B395" s="3"/>
      <x:c r="C395" s="3"/>
      <x:c r="D395" s="3"/>
      <x:c r="E395" s="3"/>
      <x:c r="F395" s="3"/>
      <x:c r="G395" s="3"/>
      <x:c r="H395" s="3"/>
      <x:c r="I395" s="9"/>
      <x:c r="J395" s="3"/>
      <x:c r="K395" s="3"/>
      <x:c r="L395" s="3"/>
      <x:c r="M395" s="1" t="str">
        <x:f>IF(B395="","",IF(W395="Invalid hours","Invalid hours",IF(NOT(ISNUMBER(X395)),"Excluded",IF(AND(J395&lt;&gt;"",K395&lt;&gt;"",L395&lt;&gt;"",COUNTIF('SOW caps'!$N$7:$N$36,A395&amp;"|"&amp;K395)=1),"Mapped","Needs allocation"))))</x:f>
      </x:c>
      <x:c r="N395" s="8" t="str">
        <x:f>IF(B395="","",IF(M395="Mapped",_xlfn.XLOOKUP(A395&amp;"|"&amp;K395,'SOW caps'!$N$7:$N$36,'SOW caps'!$E$7:$E$36,""),IF(ISNUMBER('SOW caps'!$B$3),'SOW caps'!$B$3,"")))</x:f>
      </x:c>
      <x:c r="O395" s="8" t="str">
        <x:f>IF(AND(ISNUMBER(X395),ISNUMBER(N395),N395&gt;=0),X395*N395,"")</x:f>
      </x:c>
      <x:c r="P395" s="3"/>
      <x:c r="Q395" s="3"/>
      <x:c r="R395" s="3"/>
      <x:c r="S395" s="3"/>
      <x:c r="T395" s="3"/>
      <x:c r="U395" s="8" t="str">
        <x:f>IF(M395="Mapped",IF(OR(_xlfn.XLOOKUP(A395&amp;"|"&amp;K395,'SOW caps'!$N$7:$N$36,'SOW caps'!$M$7:$M$36,"")="Ready",_xlfn.XLOOKUP(A395&amp;"|"&amp;K395,'SOW caps'!$N$7:$N$36,'SOW caps'!$M$7:$M$36,"")="No hours"),_xlfn.XLOOKUP(A395&amp;"|"&amp;K395,'SOW caps'!$N$7:$N$36,'SOW caps'!$O$7:$O$36,""),""),"")</x:f>
      </x:c>
      <x:c r="V395" s="8" t="str">
        <x:f>IF(AND(ISNUMBER(U395),ISNUMBER(X395)),ROUND(SUMIFS($X$7:X395,$A$7:A395,A395,$K$7:K395,K395,$M$7:M395,"Mapped")*U395,2)-ROUND((SUMIFS($X$7:X395,$A$7:A395,A395,$K$7:K395,K395,$M$7:M395,"Mapped")-X395)*U395,2),"")</x:f>
      </x:c>
      <x:c r="W395" s="1" t="str">
        <x:f>IF(B395="","",IF(OR(NOT(ISNUMBER(I395)),I395&lt;0),"Invalid hours",IF(NOT(ISNUMBER(R395)),"Manual hours",IF(ROUND(I395*3600000,0)=R395,"Source hours","Adjusted hours"))))</x:f>
      </x:c>
      <x:c r="X395" s="10" t="str">
        <x:f>IF(B395="","",IF(AND(ISNUMBER(I395),I395&gt;=0,Q395="In period"),I395,""))</x:f>
      </x:c>
    </x:row>
    <x:row r="396" ht="23" customHeight="1">
      <x:c r="A396" s="3"/>
      <x:c r="B396" s="3"/>
      <x:c r="C396" s="3"/>
      <x:c r="D396" s="3"/>
      <x:c r="E396" s="3"/>
      <x:c r="F396" s="3"/>
      <x:c r="G396" s="3"/>
      <x:c r="H396" s="3"/>
      <x:c r="I396" s="9"/>
      <x:c r="J396" s="3"/>
      <x:c r="K396" s="3"/>
      <x:c r="L396" s="3"/>
      <x:c r="M396" s="1" t="str">
        <x:f>IF(B396="","",IF(W396="Invalid hours","Invalid hours",IF(NOT(ISNUMBER(X396)),"Excluded",IF(AND(J396&lt;&gt;"",K396&lt;&gt;"",L396&lt;&gt;"",COUNTIF('SOW caps'!$N$7:$N$36,A396&amp;"|"&amp;K396)=1),"Mapped","Needs allocation"))))</x:f>
      </x:c>
      <x:c r="N396" s="8" t="str">
        <x:f>IF(B396="","",IF(M396="Mapped",_xlfn.XLOOKUP(A396&amp;"|"&amp;K396,'SOW caps'!$N$7:$N$36,'SOW caps'!$E$7:$E$36,""),IF(ISNUMBER('SOW caps'!$B$3),'SOW caps'!$B$3,"")))</x:f>
      </x:c>
      <x:c r="O396" s="8" t="str">
        <x:f>IF(AND(ISNUMBER(X396),ISNUMBER(N396),N396&gt;=0),X396*N396,"")</x:f>
      </x:c>
      <x:c r="P396" s="3"/>
      <x:c r="Q396" s="3"/>
      <x:c r="R396" s="3"/>
      <x:c r="S396" s="3"/>
      <x:c r="T396" s="3"/>
      <x:c r="U396" s="8" t="str">
        <x:f>IF(M396="Mapped",IF(OR(_xlfn.XLOOKUP(A396&amp;"|"&amp;K396,'SOW caps'!$N$7:$N$36,'SOW caps'!$M$7:$M$36,"")="Ready",_xlfn.XLOOKUP(A396&amp;"|"&amp;K396,'SOW caps'!$N$7:$N$36,'SOW caps'!$M$7:$M$36,"")="No hours"),_xlfn.XLOOKUP(A396&amp;"|"&amp;K396,'SOW caps'!$N$7:$N$36,'SOW caps'!$O$7:$O$36,""),""),"")</x:f>
      </x:c>
      <x:c r="V396" s="8" t="str">
        <x:f>IF(AND(ISNUMBER(U396),ISNUMBER(X396)),ROUND(SUMIFS($X$7:X396,$A$7:A396,A396,$K$7:K396,K396,$M$7:M396,"Mapped")*U396,2)-ROUND((SUMIFS($X$7:X396,$A$7:A396,A396,$K$7:K396,K396,$M$7:M396,"Mapped")-X396)*U396,2),"")</x:f>
      </x:c>
      <x:c r="W396" s="1" t="str">
        <x:f>IF(B396="","",IF(OR(NOT(ISNUMBER(I396)),I396&lt;0),"Invalid hours",IF(NOT(ISNUMBER(R396)),"Manual hours",IF(ROUND(I396*3600000,0)=R396,"Source hours","Adjusted hours"))))</x:f>
      </x:c>
      <x:c r="X396" s="10" t="str">
        <x:f>IF(B396="","",IF(AND(ISNUMBER(I396),I396&gt;=0,Q396="In period"),I396,""))</x:f>
      </x:c>
    </x:row>
    <x:row r="397" ht="23" customHeight="1">
      <x:c r="A397" s="3"/>
      <x:c r="B397" s="3"/>
      <x:c r="C397" s="3"/>
      <x:c r="D397" s="3"/>
      <x:c r="E397" s="3"/>
      <x:c r="F397" s="3"/>
      <x:c r="G397" s="3"/>
      <x:c r="H397" s="3"/>
      <x:c r="I397" s="9"/>
      <x:c r="J397" s="3"/>
      <x:c r="K397" s="3"/>
      <x:c r="L397" s="3"/>
      <x:c r="M397" s="1" t="str">
        <x:f>IF(B397="","",IF(W397="Invalid hours","Invalid hours",IF(NOT(ISNUMBER(X397)),"Excluded",IF(AND(J397&lt;&gt;"",K397&lt;&gt;"",L397&lt;&gt;"",COUNTIF('SOW caps'!$N$7:$N$36,A397&amp;"|"&amp;K397)=1),"Mapped","Needs allocation"))))</x:f>
      </x:c>
      <x:c r="N397" s="8" t="str">
        <x:f>IF(B397="","",IF(M397="Mapped",_xlfn.XLOOKUP(A397&amp;"|"&amp;K397,'SOW caps'!$N$7:$N$36,'SOW caps'!$E$7:$E$36,""),IF(ISNUMBER('SOW caps'!$B$3),'SOW caps'!$B$3,"")))</x:f>
      </x:c>
      <x:c r="O397" s="8" t="str">
        <x:f>IF(AND(ISNUMBER(X397),ISNUMBER(N397),N397&gt;=0),X397*N397,"")</x:f>
      </x:c>
      <x:c r="P397" s="3"/>
      <x:c r="Q397" s="3"/>
      <x:c r="R397" s="3"/>
      <x:c r="S397" s="3"/>
      <x:c r="T397" s="3"/>
      <x:c r="U397" s="8" t="str">
        <x:f>IF(M397="Mapped",IF(OR(_xlfn.XLOOKUP(A397&amp;"|"&amp;K397,'SOW caps'!$N$7:$N$36,'SOW caps'!$M$7:$M$36,"")="Ready",_xlfn.XLOOKUP(A397&amp;"|"&amp;K397,'SOW caps'!$N$7:$N$36,'SOW caps'!$M$7:$M$36,"")="No hours"),_xlfn.XLOOKUP(A397&amp;"|"&amp;K397,'SOW caps'!$N$7:$N$36,'SOW caps'!$O$7:$O$36,""),""),"")</x:f>
      </x:c>
      <x:c r="V397" s="8" t="str">
        <x:f>IF(AND(ISNUMBER(U397),ISNUMBER(X397)),ROUND(SUMIFS($X$7:X397,$A$7:A397,A397,$K$7:K397,K397,$M$7:M397,"Mapped")*U397,2)-ROUND((SUMIFS($X$7:X397,$A$7:A397,A397,$K$7:K397,K397,$M$7:M397,"Mapped")-X397)*U397,2),"")</x:f>
      </x:c>
      <x:c r="W397" s="1" t="str">
        <x:f>IF(B397="","",IF(OR(NOT(ISNUMBER(I397)),I397&lt;0),"Invalid hours",IF(NOT(ISNUMBER(R397)),"Manual hours",IF(ROUND(I397*3600000,0)=R397,"Source hours","Adjusted hours"))))</x:f>
      </x:c>
      <x:c r="X397" s="10" t="str">
        <x:f>IF(B397="","",IF(AND(ISNUMBER(I397),I397&gt;=0,Q397="In period"),I397,""))</x:f>
      </x:c>
    </x:row>
    <x:row r="398" ht="23" customHeight="1">
      <x:c r="A398" s="3"/>
      <x:c r="B398" s="3"/>
      <x:c r="C398" s="3"/>
      <x:c r="D398" s="3"/>
      <x:c r="E398" s="3"/>
      <x:c r="F398" s="3"/>
      <x:c r="G398" s="3"/>
      <x:c r="H398" s="3"/>
      <x:c r="I398" s="9"/>
      <x:c r="J398" s="3"/>
      <x:c r="K398" s="3"/>
      <x:c r="L398" s="3"/>
      <x:c r="M398" s="1" t="str">
        <x:f>IF(B398="","",IF(W398="Invalid hours","Invalid hours",IF(NOT(ISNUMBER(X398)),"Excluded",IF(AND(J398&lt;&gt;"",K398&lt;&gt;"",L398&lt;&gt;"",COUNTIF('SOW caps'!$N$7:$N$36,A398&amp;"|"&amp;K398)=1),"Mapped","Needs allocation"))))</x:f>
      </x:c>
      <x:c r="N398" s="8" t="str">
        <x:f>IF(B398="","",IF(M398="Mapped",_xlfn.XLOOKUP(A398&amp;"|"&amp;K398,'SOW caps'!$N$7:$N$36,'SOW caps'!$E$7:$E$36,""),IF(ISNUMBER('SOW caps'!$B$3),'SOW caps'!$B$3,"")))</x:f>
      </x:c>
      <x:c r="O398" s="8" t="str">
        <x:f>IF(AND(ISNUMBER(X398),ISNUMBER(N398),N398&gt;=0),X398*N398,"")</x:f>
      </x:c>
      <x:c r="P398" s="3"/>
      <x:c r="Q398" s="3"/>
      <x:c r="R398" s="3"/>
      <x:c r="S398" s="3"/>
      <x:c r="T398" s="3"/>
      <x:c r="U398" s="8" t="str">
        <x:f>IF(M398="Mapped",IF(OR(_xlfn.XLOOKUP(A398&amp;"|"&amp;K398,'SOW caps'!$N$7:$N$36,'SOW caps'!$M$7:$M$36,"")="Ready",_xlfn.XLOOKUP(A398&amp;"|"&amp;K398,'SOW caps'!$N$7:$N$36,'SOW caps'!$M$7:$M$36,"")="No hours"),_xlfn.XLOOKUP(A398&amp;"|"&amp;K398,'SOW caps'!$N$7:$N$36,'SOW caps'!$O$7:$O$36,""),""),"")</x:f>
      </x:c>
      <x:c r="V398" s="8" t="str">
        <x:f>IF(AND(ISNUMBER(U398),ISNUMBER(X398)),ROUND(SUMIFS($X$7:X398,$A$7:A398,A398,$K$7:K398,K398,$M$7:M398,"Mapped")*U398,2)-ROUND((SUMIFS($X$7:X398,$A$7:A398,A398,$K$7:K398,K398,$M$7:M398,"Mapped")-X398)*U398,2),"")</x:f>
      </x:c>
      <x:c r="W398" s="1" t="str">
        <x:f>IF(B398="","",IF(OR(NOT(ISNUMBER(I398)),I398&lt;0),"Invalid hours",IF(NOT(ISNUMBER(R398)),"Manual hours",IF(ROUND(I398*3600000,0)=R398,"Source hours","Adjusted hours"))))</x:f>
      </x:c>
      <x:c r="X398" s="10" t="str">
        <x:f>IF(B398="","",IF(AND(ISNUMBER(I398),I398&gt;=0,Q398="In period"),I398,""))</x:f>
      </x:c>
    </x:row>
    <x:row r="399" ht="23" customHeight="1">
      <x:c r="A399" s="3"/>
      <x:c r="B399" s="3"/>
      <x:c r="C399" s="3"/>
      <x:c r="D399" s="3"/>
      <x:c r="E399" s="3"/>
      <x:c r="F399" s="3"/>
      <x:c r="G399" s="3"/>
      <x:c r="H399" s="3"/>
      <x:c r="I399" s="9"/>
      <x:c r="J399" s="3"/>
      <x:c r="K399" s="3"/>
      <x:c r="L399" s="3"/>
      <x:c r="M399" s="1" t="str">
        <x:f>IF(B399="","",IF(W399="Invalid hours","Invalid hours",IF(NOT(ISNUMBER(X399)),"Excluded",IF(AND(J399&lt;&gt;"",K399&lt;&gt;"",L399&lt;&gt;"",COUNTIF('SOW caps'!$N$7:$N$36,A399&amp;"|"&amp;K399)=1),"Mapped","Needs allocation"))))</x:f>
      </x:c>
      <x:c r="N399" s="8" t="str">
        <x:f>IF(B399="","",IF(M399="Mapped",_xlfn.XLOOKUP(A399&amp;"|"&amp;K399,'SOW caps'!$N$7:$N$36,'SOW caps'!$E$7:$E$36,""),IF(ISNUMBER('SOW caps'!$B$3),'SOW caps'!$B$3,"")))</x:f>
      </x:c>
      <x:c r="O399" s="8" t="str">
        <x:f>IF(AND(ISNUMBER(X399),ISNUMBER(N399),N399&gt;=0),X399*N399,"")</x:f>
      </x:c>
      <x:c r="P399" s="3"/>
      <x:c r="Q399" s="3"/>
      <x:c r="R399" s="3"/>
      <x:c r="S399" s="3"/>
      <x:c r="T399" s="3"/>
      <x:c r="U399" s="8" t="str">
        <x:f>IF(M399="Mapped",IF(OR(_xlfn.XLOOKUP(A399&amp;"|"&amp;K399,'SOW caps'!$N$7:$N$36,'SOW caps'!$M$7:$M$36,"")="Ready",_xlfn.XLOOKUP(A399&amp;"|"&amp;K399,'SOW caps'!$N$7:$N$36,'SOW caps'!$M$7:$M$36,"")="No hours"),_xlfn.XLOOKUP(A399&amp;"|"&amp;K399,'SOW caps'!$N$7:$N$36,'SOW caps'!$O$7:$O$36,""),""),"")</x:f>
      </x:c>
      <x:c r="V399" s="8" t="str">
        <x:f>IF(AND(ISNUMBER(U399),ISNUMBER(X399)),ROUND(SUMIFS($X$7:X399,$A$7:A399,A399,$K$7:K399,K399,$M$7:M399,"Mapped")*U399,2)-ROUND((SUMIFS($X$7:X399,$A$7:A399,A399,$K$7:K399,K399,$M$7:M399,"Mapped")-X399)*U399,2),"")</x:f>
      </x:c>
      <x:c r="W399" s="1" t="str">
        <x:f>IF(B399="","",IF(OR(NOT(ISNUMBER(I399)),I399&lt;0),"Invalid hours",IF(NOT(ISNUMBER(R399)),"Manual hours",IF(ROUND(I399*3600000,0)=R399,"Source hours","Adjusted hours"))))</x:f>
      </x:c>
      <x:c r="X399" s="10" t="str">
        <x:f>IF(B399="","",IF(AND(ISNUMBER(I399),I399&gt;=0,Q399="In period"),I399,""))</x:f>
      </x:c>
    </x:row>
    <x:row r="400" ht="23" customHeight="1">
      <x:c r="A400" s="3"/>
      <x:c r="B400" s="3"/>
      <x:c r="C400" s="3"/>
      <x:c r="D400" s="3"/>
      <x:c r="E400" s="3"/>
      <x:c r="F400" s="3"/>
      <x:c r="G400" s="3"/>
      <x:c r="H400" s="3"/>
      <x:c r="I400" s="9"/>
      <x:c r="J400" s="3"/>
      <x:c r="K400" s="3"/>
      <x:c r="L400" s="3"/>
      <x:c r="M400" s="1" t="str">
        <x:f>IF(B400="","",IF(W400="Invalid hours","Invalid hours",IF(NOT(ISNUMBER(X400)),"Excluded",IF(AND(J400&lt;&gt;"",K400&lt;&gt;"",L400&lt;&gt;"",COUNTIF('SOW caps'!$N$7:$N$36,A400&amp;"|"&amp;K400)=1),"Mapped","Needs allocation"))))</x:f>
      </x:c>
      <x:c r="N400" s="8" t="str">
        <x:f>IF(B400="","",IF(M400="Mapped",_xlfn.XLOOKUP(A400&amp;"|"&amp;K400,'SOW caps'!$N$7:$N$36,'SOW caps'!$E$7:$E$36,""),IF(ISNUMBER('SOW caps'!$B$3),'SOW caps'!$B$3,"")))</x:f>
      </x:c>
      <x:c r="O400" s="8" t="str">
        <x:f>IF(AND(ISNUMBER(X400),ISNUMBER(N400),N400&gt;=0),X400*N400,"")</x:f>
      </x:c>
      <x:c r="P400" s="3"/>
      <x:c r="Q400" s="3"/>
      <x:c r="R400" s="3"/>
      <x:c r="S400" s="3"/>
      <x:c r="T400" s="3"/>
      <x:c r="U400" s="8" t="str">
        <x:f>IF(M400="Mapped",IF(OR(_xlfn.XLOOKUP(A400&amp;"|"&amp;K400,'SOW caps'!$N$7:$N$36,'SOW caps'!$M$7:$M$36,"")="Ready",_xlfn.XLOOKUP(A400&amp;"|"&amp;K400,'SOW caps'!$N$7:$N$36,'SOW caps'!$M$7:$M$36,"")="No hours"),_xlfn.XLOOKUP(A400&amp;"|"&amp;K400,'SOW caps'!$N$7:$N$36,'SOW caps'!$O$7:$O$36,""),""),"")</x:f>
      </x:c>
      <x:c r="V400" s="8" t="str">
        <x:f>IF(AND(ISNUMBER(U400),ISNUMBER(X400)),ROUND(SUMIFS($X$7:X400,$A$7:A400,A400,$K$7:K400,K400,$M$7:M400,"Mapped")*U400,2)-ROUND((SUMIFS($X$7:X400,$A$7:A400,A400,$K$7:K400,K400,$M$7:M400,"Mapped")-X400)*U400,2),"")</x:f>
      </x:c>
      <x:c r="W400" s="1" t="str">
        <x:f>IF(B400="","",IF(OR(NOT(ISNUMBER(I400)),I400&lt;0),"Invalid hours",IF(NOT(ISNUMBER(R400)),"Manual hours",IF(ROUND(I400*3600000,0)=R400,"Source hours","Adjusted hours"))))</x:f>
      </x:c>
      <x:c r="X400" s="10" t="str">
        <x:f>IF(B400="","",IF(AND(ISNUMBER(I400),I400&gt;=0,Q400="In period"),I400,""))</x:f>
      </x:c>
    </x:row>
    <x:row r="401" ht="23" customHeight="1">
      <x:c r="A401" s="3"/>
      <x:c r="B401" s="3"/>
      <x:c r="C401" s="3"/>
      <x:c r="D401" s="3"/>
      <x:c r="E401" s="3"/>
      <x:c r="F401" s="3"/>
      <x:c r="G401" s="3"/>
      <x:c r="H401" s="3"/>
      <x:c r="I401" s="9"/>
      <x:c r="J401" s="3"/>
      <x:c r="K401" s="3"/>
      <x:c r="L401" s="3"/>
      <x:c r="M401" s="1" t="str">
        <x:f>IF(B401="","",IF(W401="Invalid hours","Invalid hours",IF(NOT(ISNUMBER(X401)),"Excluded",IF(AND(J401&lt;&gt;"",K401&lt;&gt;"",L401&lt;&gt;"",COUNTIF('SOW caps'!$N$7:$N$36,A401&amp;"|"&amp;K401)=1),"Mapped","Needs allocation"))))</x:f>
      </x:c>
      <x:c r="N401" s="8" t="str">
        <x:f>IF(B401="","",IF(M401="Mapped",_xlfn.XLOOKUP(A401&amp;"|"&amp;K401,'SOW caps'!$N$7:$N$36,'SOW caps'!$E$7:$E$36,""),IF(ISNUMBER('SOW caps'!$B$3),'SOW caps'!$B$3,"")))</x:f>
      </x:c>
      <x:c r="O401" s="8" t="str">
        <x:f>IF(AND(ISNUMBER(X401),ISNUMBER(N401),N401&gt;=0),X401*N401,"")</x:f>
      </x:c>
      <x:c r="P401" s="3"/>
      <x:c r="Q401" s="3"/>
      <x:c r="R401" s="3"/>
      <x:c r="S401" s="3"/>
      <x:c r="T401" s="3"/>
      <x:c r="U401" s="8" t="str">
        <x:f>IF(M401="Mapped",IF(OR(_xlfn.XLOOKUP(A401&amp;"|"&amp;K401,'SOW caps'!$N$7:$N$36,'SOW caps'!$M$7:$M$36,"")="Ready",_xlfn.XLOOKUP(A401&amp;"|"&amp;K401,'SOW caps'!$N$7:$N$36,'SOW caps'!$M$7:$M$36,"")="No hours"),_xlfn.XLOOKUP(A401&amp;"|"&amp;K401,'SOW caps'!$N$7:$N$36,'SOW caps'!$O$7:$O$36,""),""),"")</x:f>
      </x:c>
      <x:c r="V401" s="8" t="str">
        <x:f>IF(AND(ISNUMBER(U401),ISNUMBER(X401)),ROUND(SUMIFS($X$7:X401,$A$7:A401,A401,$K$7:K401,K401,$M$7:M401,"Mapped")*U401,2)-ROUND((SUMIFS($X$7:X401,$A$7:A401,A401,$K$7:K401,K401,$M$7:M401,"Mapped")-X401)*U401,2),"")</x:f>
      </x:c>
      <x:c r="W401" s="1" t="str">
        <x:f>IF(B401="","",IF(OR(NOT(ISNUMBER(I401)),I401&lt;0),"Invalid hours",IF(NOT(ISNUMBER(R401)),"Manual hours",IF(ROUND(I401*3600000,0)=R401,"Source hours","Adjusted hours"))))</x:f>
      </x:c>
      <x:c r="X401" s="10" t="str">
        <x:f>IF(B401="","",IF(AND(ISNUMBER(I401),I401&gt;=0,Q401="In period"),I401,""))</x:f>
      </x:c>
    </x:row>
    <x:row r="402" ht="23" customHeight="1">
      <x:c r="A402" s="3"/>
      <x:c r="B402" s="3"/>
      <x:c r="C402" s="3"/>
      <x:c r="D402" s="3"/>
      <x:c r="E402" s="3"/>
      <x:c r="F402" s="3"/>
      <x:c r="G402" s="3"/>
      <x:c r="H402" s="3"/>
      <x:c r="I402" s="9"/>
      <x:c r="J402" s="3"/>
      <x:c r="K402" s="3"/>
      <x:c r="L402" s="3"/>
      <x:c r="M402" s="1" t="str">
        <x:f>IF(B402="","",IF(W402="Invalid hours","Invalid hours",IF(NOT(ISNUMBER(X402)),"Excluded",IF(AND(J402&lt;&gt;"",K402&lt;&gt;"",L402&lt;&gt;"",COUNTIF('SOW caps'!$N$7:$N$36,A402&amp;"|"&amp;K402)=1),"Mapped","Needs allocation"))))</x:f>
      </x:c>
      <x:c r="N402" s="8" t="str">
        <x:f>IF(B402="","",IF(M402="Mapped",_xlfn.XLOOKUP(A402&amp;"|"&amp;K402,'SOW caps'!$N$7:$N$36,'SOW caps'!$E$7:$E$36,""),IF(ISNUMBER('SOW caps'!$B$3),'SOW caps'!$B$3,"")))</x:f>
      </x:c>
      <x:c r="O402" s="8" t="str">
        <x:f>IF(AND(ISNUMBER(X402),ISNUMBER(N402),N402&gt;=0),X402*N402,"")</x:f>
      </x:c>
      <x:c r="P402" s="3"/>
      <x:c r="Q402" s="3"/>
      <x:c r="R402" s="3"/>
      <x:c r="S402" s="3"/>
      <x:c r="T402" s="3"/>
      <x:c r="U402" s="8" t="str">
        <x:f>IF(M402="Mapped",IF(OR(_xlfn.XLOOKUP(A402&amp;"|"&amp;K402,'SOW caps'!$N$7:$N$36,'SOW caps'!$M$7:$M$36,"")="Ready",_xlfn.XLOOKUP(A402&amp;"|"&amp;K402,'SOW caps'!$N$7:$N$36,'SOW caps'!$M$7:$M$36,"")="No hours"),_xlfn.XLOOKUP(A402&amp;"|"&amp;K402,'SOW caps'!$N$7:$N$36,'SOW caps'!$O$7:$O$36,""),""),"")</x:f>
      </x:c>
      <x:c r="V402" s="8" t="str">
        <x:f>IF(AND(ISNUMBER(U402),ISNUMBER(X402)),ROUND(SUMIFS($X$7:X402,$A$7:A402,A402,$K$7:K402,K402,$M$7:M402,"Mapped")*U402,2)-ROUND((SUMIFS($X$7:X402,$A$7:A402,A402,$K$7:K402,K402,$M$7:M402,"Mapped")-X402)*U402,2),"")</x:f>
      </x:c>
      <x:c r="W402" s="1" t="str">
        <x:f>IF(B402="","",IF(OR(NOT(ISNUMBER(I402)),I402&lt;0),"Invalid hours",IF(NOT(ISNUMBER(R402)),"Manual hours",IF(ROUND(I402*3600000,0)=R402,"Source hours","Adjusted hours"))))</x:f>
      </x:c>
      <x:c r="X402" s="10" t="str">
        <x:f>IF(B402="","",IF(AND(ISNUMBER(I402),I402&gt;=0,Q402="In period"),I402,""))</x:f>
      </x:c>
    </x:row>
    <x:row r="403" ht="23" customHeight="1">
      <x:c r="A403" s="3"/>
      <x:c r="B403" s="3"/>
      <x:c r="C403" s="3"/>
      <x:c r="D403" s="3"/>
      <x:c r="E403" s="3"/>
      <x:c r="F403" s="3"/>
      <x:c r="G403" s="3"/>
      <x:c r="H403" s="3"/>
      <x:c r="I403" s="9"/>
      <x:c r="J403" s="3"/>
      <x:c r="K403" s="3"/>
      <x:c r="L403" s="3"/>
      <x:c r="M403" s="1" t="str">
        <x:f>IF(B403="","",IF(W403="Invalid hours","Invalid hours",IF(NOT(ISNUMBER(X403)),"Excluded",IF(AND(J403&lt;&gt;"",K403&lt;&gt;"",L403&lt;&gt;"",COUNTIF('SOW caps'!$N$7:$N$36,A403&amp;"|"&amp;K403)=1),"Mapped","Needs allocation"))))</x:f>
      </x:c>
      <x:c r="N403" s="8" t="str">
        <x:f>IF(B403="","",IF(M403="Mapped",_xlfn.XLOOKUP(A403&amp;"|"&amp;K403,'SOW caps'!$N$7:$N$36,'SOW caps'!$E$7:$E$36,""),IF(ISNUMBER('SOW caps'!$B$3),'SOW caps'!$B$3,"")))</x:f>
      </x:c>
      <x:c r="O403" s="8" t="str">
        <x:f>IF(AND(ISNUMBER(X403),ISNUMBER(N403),N403&gt;=0),X403*N403,"")</x:f>
      </x:c>
      <x:c r="P403" s="3"/>
      <x:c r="Q403" s="3"/>
      <x:c r="R403" s="3"/>
      <x:c r="S403" s="3"/>
      <x:c r="T403" s="3"/>
      <x:c r="U403" s="8" t="str">
        <x:f>IF(M403="Mapped",IF(OR(_xlfn.XLOOKUP(A403&amp;"|"&amp;K403,'SOW caps'!$N$7:$N$36,'SOW caps'!$M$7:$M$36,"")="Ready",_xlfn.XLOOKUP(A403&amp;"|"&amp;K403,'SOW caps'!$N$7:$N$36,'SOW caps'!$M$7:$M$36,"")="No hours"),_xlfn.XLOOKUP(A403&amp;"|"&amp;K403,'SOW caps'!$N$7:$N$36,'SOW caps'!$O$7:$O$36,""),""),"")</x:f>
      </x:c>
      <x:c r="V403" s="8" t="str">
        <x:f>IF(AND(ISNUMBER(U403),ISNUMBER(X403)),ROUND(SUMIFS($X$7:X403,$A$7:A403,A403,$K$7:K403,K403,$M$7:M403,"Mapped")*U403,2)-ROUND((SUMIFS($X$7:X403,$A$7:A403,A403,$K$7:K403,K403,$M$7:M403,"Mapped")-X403)*U403,2),"")</x:f>
      </x:c>
      <x:c r="W403" s="1" t="str">
        <x:f>IF(B403="","",IF(OR(NOT(ISNUMBER(I403)),I403&lt;0),"Invalid hours",IF(NOT(ISNUMBER(R403)),"Manual hours",IF(ROUND(I403*3600000,0)=R403,"Source hours","Adjusted hours"))))</x:f>
      </x:c>
      <x:c r="X403" s="10" t="str">
        <x:f>IF(B403="","",IF(AND(ISNUMBER(I403),I403&gt;=0,Q403="In period"),I403,""))</x:f>
      </x:c>
    </x:row>
    <x:row r="404" ht="23" customHeight="1">
      <x:c r="A404" s="3"/>
      <x:c r="B404" s="3"/>
      <x:c r="C404" s="3"/>
      <x:c r="D404" s="3"/>
      <x:c r="E404" s="3"/>
      <x:c r="F404" s="3"/>
      <x:c r="G404" s="3"/>
      <x:c r="H404" s="3"/>
      <x:c r="I404" s="9"/>
      <x:c r="J404" s="3"/>
      <x:c r="K404" s="3"/>
      <x:c r="L404" s="3"/>
      <x:c r="M404" s="1" t="str">
        <x:f>IF(B404="","",IF(W404="Invalid hours","Invalid hours",IF(NOT(ISNUMBER(X404)),"Excluded",IF(AND(J404&lt;&gt;"",K404&lt;&gt;"",L404&lt;&gt;"",COUNTIF('SOW caps'!$N$7:$N$36,A404&amp;"|"&amp;K404)=1),"Mapped","Needs allocation"))))</x:f>
      </x:c>
      <x:c r="N404" s="8" t="str">
        <x:f>IF(B404="","",IF(M404="Mapped",_xlfn.XLOOKUP(A404&amp;"|"&amp;K404,'SOW caps'!$N$7:$N$36,'SOW caps'!$E$7:$E$36,""),IF(ISNUMBER('SOW caps'!$B$3),'SOW caps'!$B$3,"")))</x:f>
      </x:c>
      <x:c r="O404" s="8" t="str">
        <x:f>IF(AND(ISNUMBER(X404),ISNUMBER(N404),N404&gt;=0),X404*N404,"")</x:f>
      </x:c>
      <x:c r="P404" s="3"/>
      <x:c r="Q404" s="3"/>
      <x:c r="R404" s="3"/>
      <x:c r="S404" s="3"/>
      <x:c r="T404" s="3"/>
      <x:c r="U404" s="8" t="str">
        <x:f>IF(M404="Mapped",IF(OR(_xlfn.XLOOKUP(A404&amp;"|"&amp;K404,'SOW caps'!$N$7:$N$36,'SOW caps'!$M$7:$M$36,"")="Ready",_xlfn.XLOOKUP(A404&amp;"|"&amp;K404,'SOW caps'!$N$7:$N$36,'SOW caps'!$M$7:$M$36,"")="No hours"),_xlfn.XLOOKUP(A404&amp;"|"&amp;K404,'SOW caps'!$N$7:$N$36,'SOW caps'!$O$7:$O$36,""),""),"")</x:f>
      </x:c>
      <x:c r="V404" s="8" t="str">
        <x:f>IF(AND(ISNUMBER(U404),ISNUMBER(X404)),ROUND(SUMIFS($X$7:X404,$A$7:A404,A404,$K$7:K404,K404,$M$7:M404,"Mapped")*U404,2)-ROUND((SUMIFS($X$7:X404,$A$7:A404,A404,$K$7:K404,K404,$M$7:M404,"Mapped")-X404)*U404,2),"")</x:f>
      </x:c>
      <x:c r="W404" s="1" t="str">
        <x:f>IF(B404="","",IF(OR(NOT(ISNUMBER(I404)),I404&lt;0),"Invalid hours",IF(NOT(ISNUMBER(R404)),"Manual hours",IF(ROUND(I404*3600000,0)=R404,"Source hours","Adjusted hours"))))</x:f>
      </x:c>
      <x:c r="X404" s="10" t="str">
        <x:f>IF(B404="","",IF(AND(ISNUMBER(I404),I404&gt;=0,Q404="In period"),I404,""))</x:f>
      </x:c>
    </x:row>
    <x:row r="405" ht="23" customHeight="1">
      <x:c r="A405" s="3"/>
      <x:c r="B405" s="3"/>
      <x:c r="C405" s="3"/>
      <x:c r="D405" s="3"/>
      <x:c r="E405" s="3"/>
      <x:c r="F405" s="3"/>
      <x:c r="G405" s="3"/>
      <x:c r="H405" s="3"/>
      <x:c r="I405" s="9"/>
      <x:c r="J405" s="3"/>
      <x:c r="K405" s="3"/>
      <x:c r="L405" s="3"/>
      <x:c r="M405" s="1" t="str">
        <x:f>IF(B405="","",IF(W405="Invalid hours","Invalid hours",IF(NOT(ISNUMBER(X405)),"Excluded",IF(AND(J405&lt;&gt;"",K405&lt;&gt;"",L405&lt;&gt;"",COUNTIF('SOW caps'!$N$7:$N$36,A405&amp;"|"&amp;K405)=1),"Mapped","Needs allocation"))))</x:f>
      </x:c>
      <x:c r="N405" s="8" t="str">
        <x:f>IF(B405="","",IF(M405="Mapped",_xlfn.XLOOKUP(A405&amp;"|"&amp;K405,'SOW caps'!$N$7:$N$36,'SOW caps'!$E$7:$E$36,""),IF(ISNUMBER('SOW caps'!$B$3),'SOW caps'!$B$3,"")))</x:f>
      </x:c>
      <x:c r="O405" s="8" t="str">
        <x:f>IF(AND(ISNUMBER(X405),ISNUMBER(N405),N405&gt;=0),X405*N405,"")</x:f>
      </x:c>
      <x:c r="P405" s="3"/>
      <x:c r="Q405" s="3"/>
      <x:c r="R405" s="3"/>
      <x:c r="S405" s="3"/>
      <x:c r="T405" s="3"/>
      <x:c r="U405" s="8" t="str">
        <x:f>IF(M405="Mapped",IF(OR(_xlfn.XLOOKUP(A405&amp;"|"&amp;K405,'SOW caps'!$N$7:$N$36,'SOW caps'!$M$7:$M$36,"")="Ready",_xlfn.XLOOKUP(A405&amp;"|"&amp;K405,'SOW caps'!$N$7:$N$36,'SOW caps'!$M$7:$M$36,"")="No hours"),_xlfn.XLOOKUP(A405&amp;"|"&amp;K405,'SOW caps'!$N$7:$N$36,'SOW caps'!$O$7:$O$36,""),""),"")</x:f>
      </x:c>
      <x:c r="V405" s="8" t="str">
        <x:f>IF(AND(ISNUMBER(U405),ISNUMBER(X405)),ROUND(SUMIFS($X$7:X405,$A$7:A405,A405,$K$7:K405,K405,$M$7:M405,"Mapped")*U405,2)-ROUND((SUMIFS($X$7:X405,$A$7:A405,A405,$K$7:K405,K405,$M$7:M405,"Mapped")-X405)*U405,2),"")</x:f>
      </x:c>
      <x:c r="W405" s="1" t="str">
        <x:f>IF(B405="","",IF(OR(NOT(ISNUMBER(I405)),I405&lt;0),"Invalid hours",IF(NOT(ISNUMBER(R405)),"Manual hours",IF(ROUND(I405*3600000,0)=R405,"Source hours","Adjusted hours"))))</x:f>
      </x:c>
      <x:c r="X405" s="10" t="str">
        <x:f>IF(B405="","",IF(AND(ISNUMBER(I405),I405&gt;=0,Q405="In period"),I405,""))</x:f>
      </x:c>
    </x:row>
    <x:row r="406" ht="23" customHeight="1">
      <x:c r="A406" s="3"/>
      <x:c r="B406" s="3"/>
      <x:c r="C406" s="3"/>
      <x:c r="D406" s="3"/>
      <x:c r="E406" s="3"/>
      <x:c r="F406" s="3"/>
      <x:c r="G406" s="3"/>
      <x:c r="H406" s="3"/>
      <x:c r="I406" s="9"/>
      <x:c r="J406" s="3"/>
      <x:c r="K406" s="3"/>
      <x:c r="L406" s="3"/>
      <x:c r="M406" s="1" t="str">
        <x:f>IF(B406="","",IF(W406="Invalid hours","Invalid hours",IF(NOT(ISNUMBER(X406)),"Excluded",IF(AND(J406&lt;&gt;"",K406&lt;&gt;"",L406&lt;&gt;"",COUNTIF('SOW caps'!$N$7:$N$36,A406&amp;"|"&amp;K406)=1),"Mapped","Needs allocation"))))</x:f>
      </x:c>
      <x:c r="N406" s="8" t="str">
        <x:f>IF(B406="","",IF(M406="Mapped",_xlfn.XLOOKUP(A406&amp;"|"&amp;K406,'SOW caps'!$N$7:$N$36,'SOW caps'!$E$7:$E$36,""),IF(ISNUMBER('SOW caps'!$B$3),'SOW caps'!$B$3,"")))</x:f>
      </x:c>
      <x:c r="O406" s="8" t="str">
        <x:f>IF(AND(ISNUMBER(X406),ISNUMBER(N406),N406&gt;=0),X406*N406,"")</x:f>
      </x:c>
      <x:c r="P406" s="3"/>
      <x:c r="Q406" s="3"/>
      <x:c r="R406" s="3"/>
      <x:c r="S406" s="3"/>
      <x:c r="T406" s="3"/>
      <x:c r="U406" s="8" t="str">
        <x:f>IF(M406="Mapped",IF(OR(_xlfn.XLOOKUP(A406&amp;"|"&amp;K406,'SOW caps'!$N$7:$N$36,'SOW caps'!$M$7:$M$36,"")="Ready",_xlfn.XLOOKUP(A406&amp;"|"&amp;K406,'SOW caps'!$N$7:$N$36,'SOW caps'!$M$7:$M$36,"")="No hours"),_xlfn.XLOOKUP(A406&amp;"|"&amp;K406,'SOW caps'!$N$7:$N$36,'SOW caps'!$O$7:$O$36,""),""),"")</x:f>
      </x:c>
      <x:c r="V406" s="8" t="str">
        <x:f>IF(AND(ISNUMBER(U406),ISNUMBER(X406)),ROUND(SUMIFS($X$7:X406,$A$7:A406,A406,$K$7:K406,K406,$M$7:M406,"Mapped")*U406,2)-ROUND((SUMIFS($X$7:X406,$A$7:A406,A406,$K$7:K406,K406,$M$7:M406,"Mapped")-X406)*U406,2),"")</x:f>
      </x:c>
      <x:c r="W406" s="1" t="str">
        <x:f>IF(B406="","",IF(OR(NOT(ISNUMBER(I406)),I406&lt;0),"Invalid hours",IF(NOT(ISNUMBER(R406)),"Manual hours",IF(ROUND(I406*3600000,0)=R406,"Source hours","Adjusted hours"))))</x:f>
      </x:c>
      <x:c r="X406" s="10" t="str">
        <x:f>IF(B406="","",IF(AND(ISNUMBER(I406),I406&gt;=0,Q406="In period"),I406,""))</x:f>
      </x:c>
    </x:row>
    <x:row r="407" ht="23" customHeight="1">
      <x:c r="A407" s="3"/>
      <x:c r="B407" s="3"/>
      <x:c r="C407" s="3"/>
      <x:c r="D407" s="3"/>
      <x:c r="E407" s="3"/>
      <x:c r="F407" s="3"/>
      <x:c r="G407" s="3"/>
      <x:c r="H407" s="3"/>
      <x:c r="I407" s="9"/>
      <x:c r="J407" s="3"/>
      <x:c r="K407" s="3"/>
      <x:c r="L407" s="3"/>
      <x:c r="M407" s="1" t="str">
        <x:f>IF(B407="","",IF(W407="Invalid hours","Invalid hours",IF(NOT(ISNUMBER(X407)),"Excluded",IF(AND(J407&lt;&gt;"",K407&lt;&gt;"",L407&lt;&gt;"",COUNTIF('SOW caps'!$N$7:$N$36,A407&amp;"|"&amp;K407)=1),"Mapped","Needs allocation"))))</x:f>
      </x:c>
      <x:c r="N407" s="8" t="str">
        <x:f>IF(B407="","",IF(M407="Mapped",_xlfn.XLOOKUP(A407&amp;"|"&amp;K407,'SOW caps'!$N$7:$N$36,'SOW caps'!$E$7:$E$36,""),IF(ISNUMBER('SOW caps'!$B$3),'SOW caps'!$B$3,"")))</x:f>
      </x:c>
      <x:c r="O407" s="8" t="str">
        <x:f>IF(AND(ISNUMBER(X407),ISNUMBER(N407),N407&gt;=0),X407*N407,"")</x:f>
      </x:c>
      <x:c r="P407" s="3"/>
      <x:c r="Q407" s="3"/>
      <x:c r="R407" s="3"/>
      <x:c r="S407" s="3"/>
      <x:c r="T407" s="3"/>
      <x:c r="U407" s="8" t="str">
        <x:f>IF(M407="Mapped",IF(OR(_xlfn.XLOOKUP(A407&amp;"|"&amp;K407,'SOW caps'!$N$7:$N$36,'SOW caps'!$M$7:$M$36,"")="Ready",_xlfn.XLOOKUP(A407&amp;"|"&amp;K407,'SOW caps'!$N$7:$N$36,'SOW caps'!$M$7:$M$36,"")="No hours"),_xlfn.XLOOKUP(A407&amp;"|"&amp;K407,'SOW caps'!$N$7:$N$36,'SOW caps'!$O$7:$O$36,""),""),"")</x:f>
      </x:c>
      <x:c r="V407" s="8" t="str">
        <x:f>IF(AND(ISNUMBER(U407),ISNUMBER(X407)),ROUND(SUMIFS($X$7:X407,$A$7:A407,A407,$K$7:K407,K407,$M$7:M407,"Mapped")*U407,2)-ROUND((SUMIFS($X$7:X407,$A$7:A407,A407,$K$7:K407,K407,$M$7:M407,"Mapped")-X407)*U407,2),"")</x:f>
      </x:c>
      <x:c r="W407" s="1" t="str">
        <x:f>IF(B407="","",IF(OR(NOT(ISNUMBER(I407)),I407&lt;0),"Invalid hours",IF(NOT(ISNUMBER(R407)),"Manual hours",IF(ROUND(I407*3600000,0)=R407,"Source hours","Adjusted hours"))))</x:f>
      </x:c>
      <x:c r="X407" s="10" t="str">
        <x:f>IF(B407="","",IF(AND(ISNUMBER(I407),I407&gt;=0,Q407="In period"),I407,""))</x:f>
      </x:c>
    </x:row>
    <x:row r="408" ht="23" customHeight="1">
      <x:c r="A408" s="3"/>
      <x:c r="B408" s="3"/>
      <x:c r="C408" s="3"/>
      <x:c r="D408" s="3"/>
      <x:c r="E408" s="3"/>
      <x:c r="F408" s="3"/>
      <x:c r="G408" s="3"/>
      <x:c r="H408" s="3"/>
      <x:c r="I408" s="9"/>
      <x:c r="J408" s="3"/>
      <x:c r="K408" s="3"/>
      <x:c r="L408" s="3"/>
      <x:c r="M408" s="1" t="str">
        <x:f>IF(B408="","",IF(W408="Invalid hours","Invalid hours",IF(NOT(ISNUMBER(X408)),"Excluded",IF(AND(J408&lt;&gt;"",K408&lt;&gt;"",L408&lt;&gt;"",COUNTIF('SOW caps'!$N$7:$N$36,A408&amp;"|"&amp;K408)=1),"Mapped","Needs allocation"))))</x:f>
      </x:c>
      <x:c r="N408" s="8" t="str">
        <x:f>IF(B408="","",IF(M408="Mapped",_xlfn.XLOOKUP(A408&amp;"|"&amp;K408,'SOW caps'!$N$7:$N$36,'SOW caps'!$E$7:$E$36,""),IF(ISNUMBER('SOW caps'!$B$3),'SOW caps'!$B$3,"")))</x:f>
      </x:c>
      <x:c r="O408" s="8" t="str">
        <x:f>IF(AND(ISNUMBER(X408),ISNUMBER(N408),N408&gt;=0),X408*N408,"")</x:f>
      </x:c>
      <x:c r="P408" s="3"/>
      <x:c r="Q408" s="3"/>
      <x:c r="R408" s="3"/>
      <x:c r="S408" s="3"/>
      <x:c r="T408" s="3"/>
      <x:c r="U408" s="8" t="str">
        <x:f>IF(M408="Mapped",IF(OR(_xlfn.XLOOKUP(A408&amp;"|"&amp;K408,'SOW caps'!$N$7:$N$36,'SOW caps'!$M$7:$M$36,"")="Ready",_xlfn.XLOOKUP(A408&amp;"|"&amp;K408,'SOW caps'!$N$7:$N$36,'SOW caps'!$M$7:$M$36,"")="No hours"),_xlfn.XLOOKUP(A408&amp;"|"&amp;K408,'SOW caps'!$N$7:$N$36,'SOW caps'!$O$7:$O$36,""),""),"")</x:f>
      </x:c>
      <x:c r="V408" s="8" t="str">
        <x:f>IF(AND(ISNUMBER(U408),ISNUMBER(X408)),ROUND(SUMIFS($X$7:X408,$A$7:A408,A408,$K$7:K408,K408,$M$7:M408,"Mapped")*U408,2)-ROUND((SUMIFS($X$7:X408,$A$7:A408,A408,$K$7:K408,K408,$M$7:M408,"Mapped")-X408)*U408,2),"")</x:f>
      </x:c>
      <x:c r="W408" s="1" t="str">
        <x:f>IF(B408="","",IF(OR(NOT(ISNUMBER(I408)),I408&lt;0),"Invalid hours",IF(NOT(ISNUMBER(R408)),"Manual hours",IF(ROUND(I408*3600000,0)=R408,"Source hours","Adjusted hours"))))</x:f>
      </x:c>
      <x:c r="X408" s="10" t="str">
        <x:f>IF(B408="","",IF(AND(ISNUMBER(I408),I408&gt;=0,Q408="In period"),I408,""))</x:f>
      </x:c>
    </x:row>
    <x:row r="409" ht="23" customHeight="1">
      <x:c r="A409" s="3"/>
      <x:c r="B409" s="3"/>
      <x:c r="C409" s="3"/>
      <x:c r="D409" s="3"/>
      <x:c r="E409" s="3"/>
      <x:c r="F409" s="3"/>
      <x:c r="G409" s="3"/>
      <x:c r="H409" s="3"/>
      <x:c r="I409" s="9"/>
      <x:c r="J409" s="3"/>
      <x:c r="K409" s="3"/>
      <x:c r="L409" s="3"/>
      <x:c r="M409" s="1" t="str">
        <x:f>IF(B409="","",IF(W409="Invalid hours","Invalid hours",IF(NOT(ISNUMBER(X409)),"Excluded",IF(AND(J409&lt;&gt;"",K409&lt;&gt;"",L409&lt;&gt;"",COUNTIF('SOW caps'!$N$7:$N$36,A409&amp;"|"&amp;K409)=1),"Mapped","Needs allocation"))))</x:f>
      </x:c>
      <x:c r="N409" s="8" t="str">
        <x:f>IF(B409="","",IF(M409="Mapped",_xlfn.XLOOKUP(A409&amp;"|"&amp;K409,'SOW caps'!$N$7:$N$36,'SOW caps'!$E$7:$E$36,""),IF(ISNUMBER('SOW caps'!$B$3),'SOW caps'!$B$3,"")))</x:f>
      </x:c>
      <x:c r="O409" s="8" t="str">
        <x:f>IF(AND(ISNUMBER(X409),ISNUMBER(N409),N409&gt;=0),X409*N409,"")</x:f>
      </x:c>
      <x:c r="P409" s="3"/>
      <x:c r="Q409" s="3"/>
      <x:c r="R409" s="3"/>
      <x:c r="S409" s="3"/>
      <x:c r="T409" s="3"/>
      <x:c r="U409" s="8" t="str">
        <x:f>IF(M409="Mapped",IF(OR(_xlfn.XLOOKUP(A409&amp;"|"&amp;K409,'SOW caps'!$N$7:$N$36,'SOW caps'!$M$7:$M$36,"")="Ready",_xlfn.XLOOKUP(A409&amp;"|"&amp;K409,'SOW caps'!$N$7:$N$36,'SOW caps'!$M$7:$M$36,"")="No hours"),_xlfn.XLOOKUP(A409&amp;"|"&amp;K409,'SOW caps'!$N$7:$N$36,'SOW caps'!$O$7:$O$36,""),""),"")</x:f>
      </x:c>
      <x:c r="V409" s="8" t="str">
        <x:f>IF(AND(ISNUMBER(U409),ISNUMBER(X409)),ROUND(SUMIFS($X$7:X409,$A$7:A409,A409,$K$7:K409,K409,$M$7:M409,"Mapped")*U409,2)-ROUND((SUMIFS($X$7:X409,$A$7:A409,A409,$K$7:K409,K409,$M$7:M409,"Mapped")-X409)*U409,2),"")</x:f>
      </x:c>
      <x:c r="W409" s="1" t="str">
        <x:f>IF(B409="","",IF(OR(NOT(ISNUMBER(I409)),I409&lt;0),"Invalid hours",IF(NOT(ISNUMBER(R409)),"Manual hours",IF(ROUND(I409*3600000,0)=R409,"Source hours","Adjusted hours"))))</x:f>
      </x:c>
      <x:c r="X409" s="10" t="str">
        <x:f>IF(B409="","",IF(AND(ISNUMBER(I409),I409&gt;=0,Q409="In period"),I409,""))</x:f>
      </x:c>
    </x:row>
    <x:row r="410" ht="23" customHeight="1">
      <x:c r="A410" s="3"/>
      <x:c r="B410" s="3"/>
      <x:c r="C410" s="3"/>
      <x:c r="D410" s="3"/>
      <x:c r="E410" s="3"/>
      <x:c r="F410" s="3"/>
      <x:c r="G410" s="3"/>
      <x:c r="H410" s="3"/>
      <x:c r="I410" s="9"/>
      <x:c r="J410" s="3"/>
      <x:c r="K410" s="3"/>
      <x:c r="L410" s="3"/>
      <x:c r="M410" s="1" t="str">
        <x:f>IF(B410="","",IF(W410="Invalid hours","Invalid hours",IF(NOT(ISNUMBER(X410)),"Excluded",IF(AND(J410&lt;&gt;"",K410&lt;&gt;"",L410&lt;&gt;"",COUNTIF('SOW caps'!$N$7:$N$36,A410&amp;"|"&amp;K410)=1),"Mapped","Needs allocation"))))</x:f>
      </x:c>
      <x:c r="N410" s="8" t="str">
        <x:f>IF(B410="","",IF(M410="Mapped",_xlfn.XLOOKUP(A410&amp;"|"&amp;K410,'SOW caps'!$N$7:$N$36,'SOW caps'!$E$7:$E$36,""),IF(ISNUMBER('SOW caps'!$B$3),'SOW caps'!$B$3,"")))</x:f>
      </x:c>
      <x:c r="O410" s="8" t="str">
        <x:f>IF(AND(ISNUMBER(X410),ISNUMBER(N410),N410&gt;=0),X410*N410,"")</x:f>
      </x:c>
      <x:c r="P410" s="3"/>
      <x:c r="Q410" s="3"/>
      <x:c r="R410" s="3"/>
      <x:c r="S410" s="3"/>
      <x:c r="T410" s="3"/>
      <x:c r="U410" s="8" t="str">
        <x:f>IF(M410="Mapped",IF(OR(_xlfn.XLOOKUP(A410&amp;"|"&amp;K410,'SOW caps'!$N$7:$N$36,'SOW caps'!$M$7:$M$36,"")="Ready",_xlfn.XLOOKUP(A410&amp;"|"&amp;K410,'SOW caps'!$N$7:$N$36,'SOW caps'!$M$7:$M$36,"")="No hours"),_xlfn.XLOOKUP(A410&amp;"|"&amp;K410,'SOW caps'!$N$7:$N$36,'SOW caps'!$O$7:$O$36,""),""),"")</x:f>
      </x:c>
      <x:c r="V410" s="8" t="str">
        <x:f>IF(AND(ISNUMBER(U410),ISNUMBER(X410)),ROUND(SUMIFS($X$7:X410,$A$7:A410,A410,$K$7:K410,K410,$M$7:M410,"Mapped")*U410,2)-ROUND((SUMIFS($X$7:X410,$A$7:A410,A410,$K$7:K410,K410,$M$7:M410,"Mapped")-X410)*U410,2),"")</x:f>
      </x:c>
      <x:c r="W410" s="1" t="str">
        <x:f>IF(B410="","",IF(OR(NOT(ISNUMBER(I410)),I410&lt;0),"Invalid hours",IF(NOT(ISNUMBER(R410)),"Manual hours",IF(ROUND(I410*3600000,0)=R410,"Source hours","Adjusted hours"))))</x:f>
      </x:c>
      <x:c r="X410" s="10" t="str">
        <x:f>IF(B410="","",IF(AND(ISNUMBER(I410),I410&gt;=0,Q410="In period"),I410,""))</x:f>
      </x:c>
    </x:row>
    <x:row r="411" ht="23" customHeight="1">
      <x:c r="A411" s="3"/>
      <x:c r="B411" s="3"/>
      <x:c r="C411" s="3"/>
      <x:c r="D411" s="3"/>
      <x:c r="E411" s="3"/>
      <x:c r="F411" s="3"/>
      <x:c r="G411" s="3"/>
      <x:c r="H411" s="3"/>
      <x:c r="I411" s="9"/>
      <x:c r="J411" s="3"/>
      <x:c r="K411" s="3"/>
      <x:c r="L411" s="3"/>
      <x:c r="M411" s="1" t="str">
        <x:f>IF(B411="","",IF(W411="Invalid hours","Invalid hours",IF(NOT(ISNUMBER(X411)),"Excluded",IF(AND(J411&lt;&gt;"",K411&lt;&gt;"",L411&lt;&gt;"",COUNTIF('SOW caps'!$N$7:$N$36,A411&amp;"|"&amp;K411)=1),"Mapped","Needs allocation"))))</x:f>
      </x:c>
      <x:c r="N411" s="8" t="str">
        <x:f>IF(B411="","",IF(M411="Mapped",_xlfn.XLOOKUP(A411&amp;"|"&amp;K411,'SOW caps'!$N$7:$N$36,'SOW caps'!$E$7:$E$36,""),IF(ISNUMBER('SOW caps'!$B$3),'SOW caps'!$B$3,"")))</x:f>
      </x:c>
      <x:c r="O411" s="8" t="str">
        <x:f>IF(AND(ISNUMBER(X411),ISNUMBER(N411),N411&gt;=0),X411*N411,"")</x:f>
      </x:c>
      <x:c r="P411" s="3"/>
      <x:c r="Q411" s="3"/>
      <x:c r="R411" s="3"/>
      <x:c r="S411" s="3"/>
      <x:c r="T411" s="3"/>
      <x:c r="U411" s="8" t="str">
        <x:f>IF(M411="Mapped",IF(OR(_xlfn.XLOOKUP(A411&amp;"|"&amp;K411,'SOW caps'!$N$7:$N$36,'SOW caps'!$M$7:$M$36,"")="Ready",_xlfn.XLOOKUP(A411&amp;"|"&amp;K411,'SOW caps'!$N$7:$N$36,'SOW caps'!$M$7:$M$36,"")="No hours"),_xlfn.XLOOKUP(A411&amp;"|"&amp;K411,'SOW caps'!$N$7:$N$36,'SOW caps'!$O$7:$O$36,""),""),"")</x:f>
      </x:c>
      <x:c r="V411" s="8" t="str">
        <x:f>IF(AND(ISNUMBER(U411),ISNUMBER(X411)),ROUND(SUMIFS($X$7:X411,$A$7:A411,A411,$K$7:K411,K411,$M$7:M411,"Mapped")*U411,2)-ROUND((SUMIFS($X$7:X411,$A$7:A411,A411,$K$7:K411,K411,$M$7:M411,"Mapped")-X411)*U411,2),"")</x:f>
      </x:c>
      <x:c r="W411" s="1" t="str">
        <x:f>IF(B411="","",IF(OR(NOT(ISNUMBER(I411)),I411&lt;0),"Invalid hours",IF(NOT(ISNUMBER(R411)),"Manual hours",IF(ROUND(I411*3600000,0)=R411,"Source hours","Adjusted hours"))))</x:f>
      </x:c>
      <x:c r="X411" s="10" t="str">
        <x:f>IF(B411="","",IF(AND(ISNUMBER(I411),I411&gt;=0,Q411="In period"),I411,""))</x:f>
      </x:c>
    </x:row>
    <x:row r="412" ht="23" customHeight="1">
      <x:c r="A412" s="3"/>
      <x:c r="B412" s="3"/>
      <x:c r="C412" s="3"/>
      <x:c r="D412" s="3"/>
      <x:c r="E412" s="3"/>
      <x:c r="F412" s="3"/>
      <x:c r="G412" s="3"/>
      <x:c r="H412" s="3"/>
      <x:c r="I412" s="9"/>
      <x:c r="J412" s="3"/>
      <x:c r="K412" s="3"/>
      <x:c r="L412" s="3"/>
      <x:c r="M412" s="1" t="str">
        <x:f>IF(B412="","",IF(W412="Invalid hours","Invalid hours",IF(NOT(ISNUMBER(X412)),"Excluded",IF(AND(J412&lt;&gt;"",K412&lt;&gt;"",L412&lt;&gt;"",COUNTIF('SOW caps'!$N$7:$N$36,A412&amp;"|"&amp;K412)=1),"Mapped","Needs allocation"))))</x:f>
      </x:c>
      <x:c r="N412" s="8" t="str">
        <x:f>IF(B412="","",IF(M412="Mapped",_xlfn.XLOOKUP(A412&amp;"|"&amp;K412,'SOW caps'!$N$7:$N$36,'SOW caps'!$E$7:$E$36,""),IF(ISNUMBER('SOW caps'!$B$3),'SOW caps'!$B$3,"")))</x:f>
      </x:c>
      <x:c r="O412" s="8" t="str">
        <x:f>IF(AND(ISNUMBER(X412),ISNUMBER(N412),N412&gt;=0),X412*N412,"")</x:f>
      </x:c>
      <x:c r="P412" s="3"/>
      <x:c r="Q412" s="3"/>
      <x:c r="R412" s="3"/>
      <x:c r="S412" s="3"/>
      <x:c r="T412" s="3"/>
      <x:c r="U412" s="8" t="str">
        <x:f>IF(M412="Mapped",IF(OR(_xlfn.XLOOKUP(A412&amp;"|"&amp;K412,'SOW caps'!$N$7:$N$36,'SOW caps'!$M$7:$M$36,"")="Ready",_xlfn.XLOOKUP(A412&amp;"|"&amp;K412,'SOW caps'!$N$7:$N$36,'SOW caps'!$M$7:$M$36,"")="No hours"),_xlfn.XLOOKUP(A412&amp;"|"&amp;K412,'SOW caps'!$N$7:$N$36,'SOW caps'!$O$7:$O$36,""),""),"")</x:f>
      </x:c>
      <x:c r="V412" s="8" t="str">
        <x:f>IF(AND(ISNUMBER(U412),ISNUMBER(X412)),ROUND(SUMIFS($X$7:X412,$A$7:A412,A412,$K$7:K412,K412,$M$7:M412,"Mapped")*U412,2)-ROUND((SUMIFS($X$7:X412,$A$7:A412,A412,$K$7:K412,K412,$M$7:M412,"Mapped")-X412)*U412,2),"")</x:f>
      </x:c>
      <x:c r="W412" s="1" t="str">
        <x:f>IF(B412="","",IF(OR(NOT(ISNUMBER(I412)),I412&lt;0),"Invalid hours",IF(NOT(ISNUMBER(R412)),"Manual hours",IF(ROUND(I412*3600000,0)=R412,"Source hours","Adjusted hours"))))</x:f>
      </x:c>
      <x:c r="X412" s="10" t="str">
        <x:f>IF(B412="","",IF(AND(ISNUMBER(I412),I412&gt;=0,Q412="In period"),I412,""))</x:f>
      </x:c>
    </x:row>
    <x:row r="413" ht="23" customHeight="1">
      <x:c r="A413" s="3"/>
      <x:c r="B413" s="3"/>
      <x:c r="C413" s="3"/>
      <x:c r="D413" s="3"/>
      <x:c r="E413" s="3"/>
      <x:c r="F413" s="3"/>
      <x:c r="G413" s="3"/>
      <x:c r="H413" s="3"/>
      <x:c r="I413" s="9"/>
      <x:c r="J413" s="3"/>
      <x:c r="K413" s="3"/>
      <x:c r="L413" s="3"/>
      <x:c r="M413" s="1" t="str">
        <x:f>IF(B413="","",IF(W413="Invalid hours","Invalid hours",IF(NOT(ISNUMBER(X413)),"Excluded",IF(AND(J413&lt;&gt;"",K413&lt;&gt;"",L413&lt;&gt;"",COUNTIF('SOW caps'!$N$7:$N$36,A413&amp;"|"&amp;K413)=1),"Mapped","Needs allocation"))))</x:f>
      </x:c>
      <x:c r="N413" s="8" t="str">
        <x:f>IF(B413="","",IF(M413="Mapped",_xlfn.XLOOKUP(A413&amp;"|"&amp;K413,'SOW caps'!$N$7:$N$36,'SOW caps'!$E$7:$E$36,""),IF(ISNUMBER('SOW caps'!$B$3),'SOW caps'!$B$3,"")))</x:f>
      </x:c>
      <x:c r="O413" s="8" t="str">
        <x:f>IF(AND(ISNUMBER(X413),ISNUMBER(N413),N413&gt;=0),X413*N413,"")</x:f>
      </x:c>
      <x:c r="P413" s="3"/>
      <x:c r="Q413" s="3"/>
      <x:c r="R413" s="3"/>
      <x:c r="S413" s="3"/>
      <x:c r="T413" s="3"/>
      <x:c r="U413" s="8" t="str">
        <x:f>IF(M413="Mapped",IF(OR(_xlfn.XLOOKUP(A413&amp;"|"&amp;K413,'SOW caps'!$N$7:$N$36,'SOW caps'!$M$7:$M$36,"")="Ready",_xlfn.XLOOKUP(A413&amp;"|"&amp;K413,'SOW caps'!$N$7:$N$36,'SOW caps'!$M$7:$M$36,"")="No hours"),_xlfn.XLOOKUP(A413&amp;"|"&amp;K413,'SOW caps'!$N$7:$N$36,'SOW caps'!$O$7:$O$36,""),""),"")</x:f>
      </x:c>
      <x:c r="V413" s="8" t="str">
        <x:f>IF(AND(ISNUMBER(U413),ISNUMBER(X413)),ROUND(SUMIFS($X$7:X413,$A$7:A413,A413,$K$7:K413,K413,$M$7:M413,"Mapped")*U413,2)-ROUND((SUMIFS($X$7:X413,$A$7:A413,A413,$K$7:K413,K413,$M$7:M413,"Mapped")-X413)*U413,2),"")</x:f>
      </x:c>
      <x:c r="W413" s="1" t="str">
        <x:f>IF(B413="","",IF(OR(NOT(ISNUMBER(I413)),I413&lt;0),"Invalid hours",IF(NOT(ISNUMBER(R413)),"Manual hours",IF(ROUND(I413*3600000,0)=R413,"Source hours","Adjusted hours"))))</x:f>
      </x:c>
      <x:c r="X413" s="10" t="str">
        <x:f>IF(B413="","",IF(AND(ISNUMBER(I413),I413&gt;=0,Q413="In period"),I413,""))</x:f>
      </x:c>
    </x:row>
    <x:row r="414" ht="23" customHeight="1">
      <x:c r="A414" s="3"/>
      <x:c r="B414" s="3"/>
      <x:c r="C414" s="3"/>
      <x:c r="D414" s="3"/>
      <x:c r="E414" s="3"/>
      <x:c r="F414" s="3"/>
      <x:c r="G414" s="3"/>
      <x:c r="H414" s="3"/>
      <x:c r="I414" s="9"/>
      <x:c r="J414" s="3"/>
      <x:c r="K414" s="3"/>
      <x:c r="L414" s="3"/>
      <x:c r="M414" s="1" t="str">
        <x:f>IF(B414="","",IF(W414="Invalid hours","Invalid hours",IF(NOT(ISNUMBER(X414)),"Excluded",IF(AND(J414&lt;&gt;"",K414&lt;&gt;"",L414&lt;&gt;"",COUNTIF('SOW caps'!$N$7:$N$36,A414&amp;"|"&amp;K414)=1),"Mapped","Needs allocation"))))</x:f>
      </x:c>
      <x:c r="N414" s="8" t="str">
        <x:f>IF(B414="","",IF(M414="Mapped",_xlfn.XLOOKUP(A414&amp;"|"&amp;K414,'SOW caps'!$N$7:$N$36,'SOW caps'!$E$7:$E$36,""),IF(ISNUMBER('SOW caps'!$B$3),'SOW caps'!$B$3,"")))</x:f>
      </x:c>
      <x:c r="O414" s="8" t="str">
        <x:f>IF(AND(ISNUMBER(X414),ISNUMBER(N414),N414&gt;=0),X414*N414,"")</x:f>
      </x:c>
      <x:c r="P414" s="3"/>
      <x:c r="Q414" s="3"/>
      <x:c r="R414" s="3"/>
      <x:c r="S414" s="3"/>
      <x:c r="T414" s="3"/>
      <x:c r="U414" s="8" t="str">
        <x:f>IF(M414="Mapped",IF(OR(_xlfn.XLOOKUP(A414&amp;"|"&amp;K414,'SOW caps'!$N$7:$N$36,'SOW caps'!$M$7:$M$36,"")="Ready",_xlfn.XLOOKUP(A414&amp;"|"&amp;K414,'SOW caps'!$N$7:$N$36,'SOW caps'!$M$7:$M$36,"")="No hours"),_xlfn.XLOOKUP(A414&amp;"|"&amp;K414,'SOW caps'!$N$7:$N$36,'SOW caps'!$O$7:$O$36,""),""),"")</x:f>
      </x:c>
      <x:c r="V414" s="8" t="str">
        <x:f>IF(AND(ISNUMBER(U414),ISNUMBER(X414)),ROUND(SUMIFS($X$7:X414,$A$7:A414,A414,$K$7:K414,K414,$M$7:M414,"Mapped")*U414,2)-ROUND((SUMIFS($X$7:X414,$A$7:A414,A414,$K$7:K414,K414,$M$7:M414,"Mapped")-X414)*U414,2),"")</x:f>
      </x:c>
      <x:c r="W414" s="1" t="str">
        <x:f>IF(B414="","",IF(OR(NOT(ISNUMBER(I414)),I414&lt;0),"Invalid hours",IF(NOT(ISNUMBER(R414)),"Manual hours",IF(ROUND(I414*3600000,0)=R414,"Source hours","Adjusted hours"))))</x:f>
      </x:c>
      <x:c r="X414" s="10" t="str">
        <x:f>IF(B414="","",IF(AND(ISNUMBER(I414),I414&gt;=0,Q414="In period"),I414,""))</x:f>
      </x:c>
    </x:row>
    <x:row r="415" ht="23" customHeight="1">
      <x:c r="A415" s="3"/>
      <x:c r="B415" s="3"/>
      <x:c r="C415" s="3"/>
      <x:c r="D415" s="3"/>
      <x:c r="E415" s="3"/>
      <x:c r="F415" s="3"/>
      <x:c r="G415" s="3"/>
      <x:c r="H415" s="3"/>
      <x:c r="I415" s="9"/>
      <x:c r="J415" s="3"/>
      <x:c r="K415" s="3"/>
      <x:c r="L415" s="3"/>
      <x:c r="M415" s="1" t="str">
        <x:f>IF(B415="","",IF(W415="Invalid hours","Invalid hours",IF(NOT(ISNUMBER(X415)),"Excluded",IF(AND(J415&lt;&gt;"",K415&lt;&gt;"",L415&lt;&gt;"",COUNTIF('SOW caps'!$N$7:$N$36,A415&amp;"|"&amp;K415)=1),"Mapped","Needs allocation"))))</x:f>
      </x:c>
      <x:c r="N415" s="8" t="str">
        <x:f>IF(B415="","",IF(M415="Mapped",_xlfn.XLOOKUP(A415&amp;"|"&amp;K415,'SOW caps'!$N$7:$N$36,'SOW caps'!$E$7:$E$36,""),IF(ISNUMBER('SOW caps'!$B$3),'SOW caps'!$B$3,"")))</x:f>
      </x:c>
      <x:c r="O415" s="8" t="str">
        <x:f>IF(AND(ISNUMBER(X415),ISNUMBER(N415),N415&gt;=0),X415*N415,"")</x:f>
      </x:c>
      <x:c r="P415" s="3"/>
      <x:c r="Q415" s="3"/>
      <x:c r="R415" s="3"/>
      <x:c r="S415" s="3"/>
      <x:c r="T415" s="3"/>
      <x:c r="U415" s="8" t="str">
        <x:f>IF(M415="Mapped",IF(OR(_xlfn.XLOOKUP(A415&amp;"|"&amp;K415,'SOW caps'!$N$7:$N$36,'SOW caps'!$M$7:$M$36,"")="Ready",_xlfn.XLOOKUP(A415&amp;"|"&amp;K415,'SOW caps'!$N$7:$N$36,'SOW caps'!$M$7:$M$36,"")="No hours"),_xlfn.XLOOKUP(A415&amp;"|"&amp;K415,'SOW caps'!$N$7:$N$36,'SOW caps'!$O$7:$O$36,""),""),"")</x:f>
      </x:c>
      <x:c r="V415" s="8" t="str">
        <x:f>IF(AND(ISNUMBER(U415),ISNUMBER(X415)),ROUND(SUMIFS($X$7:X415,$A$7:A415,A415,$K$7:K415,K415,$M$7:M415,"Mapped")*U415,2)-ROUND((SUMIFS($X$7:X415,$A$7:A415,A415,$K$7:K415,K415,$M$7:M415,"Mapped")-X415)*U415,2),"")</x:f>
      </x:c>
      <x:c r="W415" s="1" t="str">
        <x:f>IF(B415="","",IF(OR(NOT(ISNUMBER(I415)),I415&lt;0),"Invalid hours",IF(NOT(ISNUMBER(R415)),"Manual hours",IF(ROUND(I415*3600000,0)=R415,"Source hours","Adjusted hours"))))</x:f>
      </x:c>
      <x:c r="X415" s="10" t="str">
        <x:f>IF(B415="","",IF(AND(ISNUMBER(I415),I415&gt;=0,Q415="In period"),I415,""))</x:f>
      </x:c>
    </x:row>
    <x:row r="416" ht="23" customHeight="1">
      <x:c r="A416" s="3"/>
      <x:c r="B416" s="3"/>
      <x:c r="C416" s="3"/>
      <x:c r="D416" s="3"/>
      <x:c r="E416" s="3"/>
      <x:c r="F416" s="3"/>
      <x:c r="G416" s="3"/>
      <x:c r="H416" s="3"/>
      <x:c r="I416" s="9"/>
      <x:c r="J416" s="3"/>
      <x:c r="K416" s="3"/>
      <x:c r="L416" s="3"/>
      <x:c r="M416" s="1" t="str">
        <x:f>IF(B416="","",IF(W416="Invalid hours","Invalid hours",IF(NOT(ISNUMBER(X416)),"Excluded",IF(AND(J416&lt;&gt;"",K416&lt;&gt;"",L416&lt;&gt;"",COUNTIF('SOW caps'!$N$7:$N$36,A416&amp;"|"&amp;K416)=1),"Mapped","Needs allocation"))))</x:f>
      </x:c>
      <x:c r="N416" s="8" t="str">
        <x:f>IF(B416="","",IF(M416="Mapped",_xlfn.XLOOKUP(A416&amp;"|"&amp;K416,'SOW caps'!$N$7:$N$36,'SOW caps'!$E$7:$E$36,""),IF(ISNUMBER('SOW caps'!$B$3),'SOW caps'!$B$3,"")))</x:f>
      </x:c>
      <x:c r="O416" s="8" t="str">
        <x:f>IF(AND(ISNUMBER(X416),ISNUMBER(N416),N416&gt;=0),X416*N416,"")</x:f>
      </x:c>
      <x:c r="P416" s="3"/>
      <x:c r="Q416" s="3"/>
      <x:c r="R416" s="3"/>
      <x:c r="S416" s="3"/>
      <x:c r="T416" s="3"/>
      <x:c r="U416" s="8" t="str">
        <x:f>IF(M416="Mapped",IF(OR(_xlfn.XLOOKUP(A416&amp;"|"&amp;K416,'SOW caps'!$N$7:$N$36,'SOW caps'!$M$7:$M$36,"")="Ready",_xlfn.XLOOKUP(A416&amp;"|"&amp;K416,'SOW caps'!$N$7:$N$36,'SOW caps'!$M$7:$M$36,"")="No hours"),_xlfn.XLOOKUP(A416&amp;"|"&amp;K416,'SOW caps'!$N$7:$N$36,'SOW caps'!$O$7:$O$36,""),""),"")</x:f>
      </x:c>
      <x:c r="V416" s="8" t="str">
        <x:f>IF(AND(ISNUMBER(U416),ISNUMBER(X416)),ROUND(SUMIFS($X$7:X416,$A$7:A416,A416,$K$7:K416,K416,$M$7:M416,"Mapped")*U416,2)-ROUND((SUMIFS($X$7:X416,$A$7:A416,A416,$K$7:K416,K416,$M$7:M416,"Mapped")-X416)*U416,2),"")</x:f>
      </x:c>
      <x:c r="W416" s="1" t="str">
        <x:f>IF(B416="","",IF(OR(NOT(ISNUMBER(I416)),I416&lt;0),"Invalid hours",IF(NOT(ISNUMBER(R416)),"Manual hours",IF(ROUND(I416*3600000,0)=R416,"Source hours","Adjusted hours"))))</x:f>
      </x:c>
      <x:c r="X416" s="10" t="str">
        <x:f>IF(B416="","",IF(AND(ISNUMBER(I416),I416&gt;=0,Q416="In period"),I416,""))</x:f>
      </x:c>
    </x:row>
    <x:row r="417" ht="23" customHeight="1">
      <x:c r="A417" s="3"/>
      <x:c r="B417" s="3"/>
      <x:c r="C417" s="3"/>
      <x:c r="D417" s="3"/>
      <x:c r="E417" s="3"/>
      <x:c r="F417" s="3"/>
      <x:c r="G417" s="3"/>
      <x:c r="H417" s="3"/>
      <x:c r="I417" s="9"/>
      <x:c r="J417" s="3"/>
      <x:c r="K417" s="3"/>
      <x:c r="L417" s="3"/>
      <x:c r="M417" s="1" t="str">
        <x:f>IF(B417="","",IF(W417="Invalid hours","Invalid hours",IF(NOT(ISNUMBER(X417)),"Excluded",IF(AND(J417&lt;&gt;"",K417&lt;&gt;"",L417&lt;&gt;"",COUNTIF('SOW caps'!$N$7:$N$36,A417&amp;"|"&amp;K417)=1),"Mapped","Needs allocation"))))</x:f>
      </x:c>
      <x:c r="N417" s="8" t="str">
        <x:f>IF(B417="","",IF(M417="Mapped",_xlfn.XLOOKUP(A417&amp;"|"&amp;K417,'SOW caps'!$N$7:$N$36,'SOW caps'!$E$7:$E$36,""),IF(ISNUMBER('SOW caps'!$B$3),'SOW caps'!$B$3,"")))</x:f>
      </x:c>
      <x:c r="O417" s="8" t="str">
        <x:f>IF(AND(ISNUMBER(X417),ISNUMBER(N417),N417&gt;=0),X417*N417,"")</x:f>
      </x:c>
      <x:c r="P417" s="3"/>
      <x:c r="Q417" s="3"/>
      <x:c r="R417" s="3"/>
      <x:c r="S417" s="3"/>
      <x:c r="T417" s="3"/>
      <x:c r="U417" s="8" t="str">
        <x:f>IF(M417="Mapped",IF(OR(_xlfn.XLOOKUP(A417&amp;"|"&amp;K417,'SOW caps'!$N$7:$N$36,'SOW caps'!$M$7:$M$36,"")="Ready",_xlfn.XLOOKUP(A417&amp;"|"&amp;K417,'SOW caps'!$N$7:$N$36,'SOW caps'!$M$7:$M$36,"")="No hours"),_xlfn.XLOOKUP(A417&amp;"|"&amp;K417,'SOW caps'!$N$7:$N$36,'SOW caps'!$O$7:$O$36,""),""),"")</x:f>
      </x:c>
      <x:c r="V417" s="8" t="str">
        <x:f>IF(AND(ISNUMBER(U417),ISNUMBER(X417)),ROUND(SUMIFS($X$7:X417,$A$7:A417,A417,$K$7:K417,K417,$M$7:M417,"Mapped")*U417,2)-ROUND((SUMIFS($X$7:X417,$A$7:A417,A417,$K$7:K417,K417,$M$7:M417,"Mapped")-X417)*U417,2),"")</x:f>
      </x:c>
      <x:c r="W417" s="1" t="str">
        <x:f>IF(B417="","",IF(OR(NOT(ISNUMBER(I417)),I417&lt;0),"Invalid hours",IF(NOT(ISNUMBER(R417)),"Manual hours",IF(ROUND(I417*3600000,0)=R417,"Source hours","Adjusted hours"))))</x:f>
      </x:c>
      <x:c r="X417" s="10" t="str">
        <x:f>IF(B417="","",IF(AND(ISNUMBER(I417),I417&gt;=0,Q417="In period"),I417,""))</x:f>
      </x:c>
    </x:row>
    <x:row r="418" ht="23" customHeight="1">
      <x:c r="A418" s="3"/>
      <x:c r="B418" s="3"/>
      <x:c r="C418" s="3"/>
      <x:c r="D418" s="3"/>
      <x:c r="E418" s="3"/>
      <x:c r="F418" s="3"/>
      <x:c r="G418" s="3"/>
      <x:c r="H418" s="3"/>
      <x:c r="I418" s="9"/>
      <x:c r="J418" s="3"/>
      <x:c r="K418" s="3"/>
      <x:c r="L418" s="3"/>
      <x:c r="M418" s="1" t="str">
        <x:f>IF(B418="","",IF(W418="Invalid hours","Invalid hours",IF(NOT(ISNUMBER(X418)),"Excluded",IF(AND(J418&lt;&gt;"",K418&lt;&gt;"",L418&lt;&gt;"",COUNTIF('SOW caps'!$N$7:$N$36,A418&amp;"|"&amp;K418)=1),"Mapped","Needs allocation"))))</x:f>
      </x:c>
      <x:c r="N418" s="8" t="str">
        <x:f>IF(B418="","",IF(M418="Mapped",_xlfn.XLOOKUP(A418&amp;"|"&amp;K418,'SOW caps'!$N$7:$N$36,'SOW caps'!$E$7:$E$36,""),IF(ISNUMBER('SOW caps'!$B$3),'SOW caps'!$B$3,"")))</x:f>
      </x:c>
      <x:c r="O418" s="8" t="str">
        <x:f>IF(AND(ISNUMBER(X418),ISNUMBER(N418),N418&gt;=0),X418*N418,"")</x:f>
      </x:c>
      <x:c r="P418" s="3"/>
      <x:c r="Q418" s="3"/>
      <x:c r="R418" s="3"/>
      <x:c r="S418" s="3"/>
      <x:c r="T418" s="3"/>
      <x:c r="U418" s="8" t="str">
        <x:f>IF(M418="Mapped",IF(OR(_xlfn.XLOOKUP(A418&amp;"|"&amp;K418,'SOW caps'!$N$7:$N$36,'SOW caps'!$M$7:$M$36,"")="Ready",_xlfn.XLOOKUP(A418&amp;"|"&amp;K418,'SOW caps'!$N$7:$N$36,'SOW caps'!$M$7:$M$36,"")="No hours"),_xlfn.XLOOKUP(A418&amp;"|"&amp;K418,'SOW caps'!$N$7:$N$36,'SOW caps'!$O$7:$O$36,""),""),"")</x:f>
      </x:c>
      <x:c r="V418" s="8" t="str">
        <x:f>IF(AND(ISNUMBER(U418),ISNUMBER(X418)),ROUND(SUMIFS($X$7:X418,$A$7:A418,A418,$K$7:K418,K418,$M$7:M418,"Mapped")*U418,2)-ROUND((SUMIFS($X$7:X418,$A$7:A418,A418,$K$7:K418,K418,$M$7:M418,"Mapped")-X418)*U418,2),"")</x:f>
      </x:c>
      <x:c r="W418" s="1" t="str">
        <x:f>IF(B418="","",IF(OR(NOT(ISNUMBER(I418)),I418&lt;0),"Invalid hours",IF(NOT(ISNUMBER(R418)),"Manual hours",IF(ROUND(I418*3600000,0)=R418,"Source hours","Adjusted hours"))))</x:f>
      </x:c>
      <x:c r="X418" s="10" t="str">
        <x:f>IF(B418="","",IF(AND(ISNUMBER(I418),I418&gt;=0,Q418="In period"),I418,""))</x:f>
      </x:c>
    </x:row>
    <x:row r="419" ht="23" customHeight="1">
      <x:c r="A419" s="3"/>
      <x:c r="B419" s="3"/>
      <x:c r="C419" s="3"/>
      <x:c r="D419" s="3"/>
      <x:c r="E419" s="3"/>
      <x:c r="F419" s="3"/>
      <x:c r="G419" s="3"/>
      <x:c r="H419" s="3"/>
      <x:c r="I419" s="9"/>
      <x:c r="J419" s="3"/>
      <x:c r="K419" s="3"/>
      <x:c r="L419" s="3"/>
      <x:c r="M419" s="1" t="str">
        <x:f>IF(B419="","",IF(W419="Invalid hours","Invalid hours",IF(NOT(ISNUMBER(X419)),"Excluded",IF(AND(J419&lt;&gt;"",K419&lt;&gt;"",L419&lt;&gt;"",COUNTIF('SOW caps'!$N$7:$N$36,A419&amp;"|"&amp;K419)=1),"Mapped","Needs allocation"))))</x:f>
      </x:c>
      <x:c r="N419" s="8" t="str">
        <x:f>IF(B419="","",IF(M419="Mapped",_xlfn.XLOOKUP(A419&amp;"|"&amp;K419,'SOW caps'!$N$7:$N$36,'SOW caps'!$E$7:$E$36,""),IF(ISNUMBER('SOW caps'!$B$3),'SOW caps'!$B$3,"")))</x:f>
      </x:c>
      <x:c r="O419" s="8" t="str">
        <x:f>IF(AND(ISNUMBER(X419),ISNUMBER(N419),N419&gt;=0),X419*N419,"")</x:f>
      </x:c>
      <x:c r="P419" s="3"/>
      <x:c r="Q419" s="3"/>
      <x:c r="R419" s="3"/>
      <x:c r="S419" s="3"/>
      <x:c r="T419" s="3"/>
      <x:c r="U419" s="8" t="str">
        <x:f>IF(M419="Mapped",IF(OR(_xlfn.XLOOKUP(A419&amp;"|"&amp;K419,'SOW caps'!$N$7:$N$36,'SOW caps'!$M$7:$M$36,"")="Ready",_xlfn.XLOOKUP(A419&amp;"|"&amp;K419,'SOW caps'!$N$7:$N$36,'SOW caps'!$M$7:$M$36,"")="No hours"),_xlfn.XLOOKUP(A419&amp;"|"&amp;K419,'SOW caps'!$N$7:$N$36,'SOW caps'!$O$7:$O$36,""),""),"")</x:f>
      </x:c>
      <x:c r="V419" s="8" t="str">
        <x:f>IF(AND(ISNUMBER(U419),ISNUMBER(X419)),ROUND(SUMIFS($X$7:X419,$A$7:A419,A419,$K$7:K419,K419,$M$7:M419,"Mapped")*U419,2)-ROUND((SUMIFS($X$7:X419,$A$7:A419,A419,$K$7:K419,K419,$M$7:M419,"Mapped")-X419)*U419,2),"")</x:f>
      </x:c>
      <x:c r="W419" s="1" t="str">
        <x:f>IF(B419="","",IF(OR(NOT(ISNUMBER(I419)),I419&lt;0),"Invalid hours",IF(NOT(ISNUMBER(R419)),"Manual hours",IF(ROUND(I419*3600000,0)=R419,"Source hours","Adjusted hours"))))</x:f>
      </x:c>
      <x:c r="X419" s="10" t="str">
        <x:f>IF(B419="","",IF(AND(ISNUMBER(I419),I419&gt;=0,Q419="In period"),I419,""))</x:f>
      </x:c>
    </x:row>
    <x:row r="420" ht="23" customHeight="1">
      <x:c r="A420" s="3"/>
      <x:c r="B420" s="3"/>
      <x:c r="C420" s="3"/>
      <x:c r="D420" s="3"/>
      <x:c r="E420" s="3"/>
      <x:c r="F420" s="3"/>
      <x:c r="G420" s="3"/>
      <x:c r="H420" s="3"/>
      <x:c r="I420" s="9"/>
      <x:c r="J420" s="3"/>
      <x:c r="K420" s="3"/>
      <x:c r="L420" s="3"/>
      <x:c r="M420" s="1" t="str">
        <x:f>IF(B420="","",IF(W420="Invalid hours","Invalid hours",IF(NOT(ISNUMBER(X420)),"Excluded",IF(AND(J420&lt;&gt;"",K420&lt;&gt;"",L420&lt;&gt;"",COUNTIF('SOW caps'!$N$7:$N$36,A420&amp;"|"&amp;K420)=1),"Mapped","Needs allocation"))))</x:f>
      </x:c>
      <x:c r="N420" s="8" t="str">
        <x:f>IF(B420="","",IF(M420="Mapped",_xlfn.XLOOKUP(A420&amp;"|"&amp;K420,'SOW caps'!$N$7:$N$36,'SOW caps'!$E$7:$E$36,""),IF(ISNUMBER('SOW caps'!$B$3),'SOW caps'!$B$3,"")))</x:f>
      </x:c>
      <x:c r="O420" s="8" t="str">
        <x:f>IF(AND(ISNUMBER(X420),ISNUMBER(N420),N420&gt;=0),X420*N420,"")</x:f>
      </x:c>
      <x:c r="P420" s="3"/>
      <x:c r="Q420" s="3"/>
      <x:c r="R420" s="3"/>
      <x:c r="S420" s="3"/>
      <x:c r="T420" s="3"/>
      <x:c r="U420" s="8" t="str">
        <x:f>IF(M420="Mapped",IF(OR(_xlfn.XLOOKUP(A420&amp;"|"&amp;K420,'SOW caps'!$N$7:$N$36,'SOW caps'!$M$7:$M$36,"")="Ready",_xlfn.XLOOKUP(A420&amp;"|"&amp;K420,'SOW caps'!$N$7:$N$36,'SOW caps'!$M$7:$M$36,"")="No hours"),_xlfn.XLOOKUP(A420&amp;"|"&amp;K420,'SOW caps'!$N$7:$N$36,'SOW caps'!$O$7:$O$36,""),""),"")</x:f>
      </x:c>
      <x:c r="V420" s="8" t="str">
        <x:f>IF(AND(ISNUMBER(U420),ISNUMBER(X420)),ROUND(SUMIFS($X$7:X420,$A$7:A420,A420,$K$7:K420,K420,$M$7:M420,"Mapped")*U420,2)-ROUND((SUMIFS($X$7:X420,$A$7:A420,A420,$K$7:K420,K420,$M$7:M420,"Mapped")-X420)*U420,2),"")</x:f>
      </x:c>
      <x:c r="W420" s="1" t="str">
        <x:f>IF(B420="","",IF(OR(NOT(ISNUMBER(I420)),I420&lt;0),"Invalid hours",IF(NOT(ISNUMBER(R420)),"Manual hours",IF(ROUND(I420*3600000,0)=R420,"Source hours","Adjusted hours"))))</x:f>
      </x:c>
      <x:c r="X420" s="10" t="str">
        <x:f>IF(B420="","",IF(AND(ISNUMBER(I420),I420&gt;=0,Q420="In period"),I420,""))</x:f>
      </x:c>
    </x:row>
    <x:row r="421" ht="23" customHeight="1">
      <x:c r="A421" s="3"/>
      <x:c r="B421" s="3"/>
      <x:c r="C421" s="3"/>
      <x:c r="D421" s="3"/>
      <x:c r="E421" s="3"/>
      <x:c r="F421" s="3"/>
      <x:c r="G421" s="3"/>
      <x:c r="H421" s="3"/>
      <x:c r="I421" s="9"/>
      <x:c r="J421" s="3"/>
      <x:c r="K421" s="3"/>
      <x:c r="L421" s="3"/>
      <x:c r="M421" s="1" t="str">
        <x:f>IF(B421="","",IF(W421="Invalid hours","Invalid hours",IF(NOT(ISNUMBER(X421)),"Excluded",IF(AND(J421&lt;&gt;"",K421&lt;&gt;"",L421&lt;&gt;"",COUNTIF('SOW caps'!$N$7:$N$36,A421&amp;"|"&amp;K421)=1),"Mapped","Needs allocation"))))</x:f>
      </x:c>
      <x:c r="N421" s="8" t="str">
        <x:f>IF(B421="","",IF(M421="Mapped",_xlfn.XLOOKUP(A421&amp;"|"&amp;K421,'SOW caps'!$N$7:$N$36,'SOW caps'!$E$7:$E$36,""),IF(ISNUMBER('SOW caps'!$B$3),'SOW caps'!$B$3,"")))</x:f>
      </x:c>
      <x:c r="O421" s="8" t="str">
        <x:f>IF(AND(ISNUMBER(X421),ISNUMBER(N421),N421&gt;=0),X421*N421,"")</x:f>
      </x:c>
      <x:c r="P421" s="3"/>
      <x:c r="Q421" s="3"/>
      <x:c r="R421" s="3"/>
      <x:c r="S421" s="3"/>
      <x:c r="T421" s="3"/>
      <x:c r="U421" s="8" t="str">
        <x:f>IF(M421="Mapped",IF(OR(_xlfn.XLOOKUP(A421&amp;"|"&amp;K421,'SOW caps'!$N$7:$N$36,'SOW caps'!$M$7:$M$36,"")="Ready",_xlfn.XLOOKUP(A421&amp;"|"&amp;K421,'SOW caps'!$N$7:$N$36,'SOW caps'!$M$7:$M$36,"")="No hours"),_xlfn.XLOOKUP(A421&amp;"|"&amp;K421,'SOW caps'!$N$7:$N$36,'SOW caps'!$O$7:$O$36,""),""),"")</x:f>
      </x:c>
      <x:c r="V421" s="8" t="str">
        <x:f>IF(AND(ISNUMBER(U421),ISNUMBER(X421)),ROUND(SUMIFS($X$7:X421,$A$7:A421,A421,$K$7:K421,K421,$M$7:M421,"Mapped")*U421,2)-ROUND((SUMIFS($X$7:X421,$A$7:A421,A421,$K$7:K421,K421,$M$7:M421,"Mapped")-X421)*U421,2),"")</x:f>
      </x:c>
      <x:c r="W421" s="1" t="str">
        <x:f>IF(B421="","",IF(OR(NOT(ISNUMBER(I421)),I421&lt;0),"Invalid hours",IF(NOT(ISNUMBER(R421)),"Manual hours",IF(ROUND(I421*3600000,0)=R421,"Source hours","Adjusted hours"))))</x:f>
      </x:c>
      <x:c r="X421" s="10" t="str">
        <x:f>IF(B421="","",IF(AND(ISNUMBER(I421),I421&gt;=0,Q421="In period"),I421,""))</x:f>
      </x:c>
    </x:row>
    <x:row r="422" ht="23" customHeight="1">
      <x:c r="A422" s="3"/>
      <x:c r="B422" s="3"/>
      <x:c r="C422" s="3"/>
      <x:c r="D422" s="3"/>
      <x:c r="E422" s="3"/>
      <x:c r="F422" s="3"/>
      <x:c r="G422" s="3"/>
      <x:c r="H422" s="3"/>
      <x:c r="I422" s="9"/>
      <x:c r="J422" s="3"/>
      <x:c r="K422" s="3"/>
      <x:c r="L422" s="3"/>
      <x:c r="M422" s="1" t="str">
        <x:f>IF(B422="","",IF(W422="Invalid hours","Invalid hours",IF(NOT(ISNUMBER(X422)),"Excluded",IF(AND(J422&lt;&gt;"",K422&lt;&gt;"",L422&lt;&gt;"",COUNTIF('SOW caps'!$N$7:$N$36,A422&amp;"|"&amp;K422)=1),"Mapped","Needs allocation"))))</x:f>
      </x:c>
      <x:c r="N422" s="8" t="str">
        <x:f>IF(B422="","",IF(M422="Mapped",_xlfn.XLOOKUP(A422&amp;"|"&amp;K422,'SOW caps'!$N$7:$N$36,'SOW caps'!$E$7:$E$36,""),IF(ISNUMBER('SOW caps'!$B$3),'SOW caps'!$B$3,"")))</x:f>
      </x:c>
      <x:c r="O422" s="8" t="str">
        <x:f>IF(AND(ISNUMBER(X422),ISNUMBER(N422),N422&gt;=0),X422*N422,"")</x:f>
      </x:c>
      <x:c r="P422" s="3"/>
      <x:c r="Q422" s="3"/>
      <x:c r="R422" s="3"/>
      <x:c r="S422" s="3"/>
      <x:c r="T422" s="3"/>
      <x:c r="U422" s="8" t="str">
        <x:f>IF(M422="Mapped",IF(OR(_xlfn.XLOOKUP(A422&amp;"|"&amp;K422,'SOW caps'!$N$7:$N$36,'SOW caps'!$M$7:$M$36,"")="Ready",_xlfn.XLOOKUP(A422&amp;"|"&amp;K422,'SOW caps'!$N$7:$N$36,'SOW caps'!$M$7:$M$36,"")="No hours"),_xlfn.XLOOKUP(A422&amp;"|"&amp;K422,'SOW caps'!$N$7:$N$36,'SOW caps'!$O$7:$O$36,""),""),"")</x:f>
      </x:c>
      <x:c r="V422" s="8" t="str">
        <x:f>IF(AND(ISNUMBER(U422),ISNUMBER(X422)),ROUND(SUMIFS($X$7:X422,$A$7:A422,A422,$K$7:K422,K422,$M$7:M422,"Mapped")*U422,2)-ROUND((SUMIFS($X$7:X422,$A$7:A422,A422,$K$7:K422,K422,$M$7:M422,"Mapped")-X422)*U422,2),"")</x:f>
      </x:c>
      <x:c r="W422" s="1" t="str">
        <x:f>IF(B422="","",IF(OR(NOT(ISNUMBER(I422)),I422&lt;0),"Invalid hours",IF(NOT(ISNUMBER(R422)),"Manual hours",IF(ROUND(I422*3600000,0)=R422,"Source hours","Adjusted hours"))))</x:f>
      </x:c>
      <x:c r="X422" s="10" t="str">
        <x:f>IF(B422="","",IF(AND(ISNUMBER(I422),I422&gt;=0,Q422="In period"),I422,""))</x:f>
      </x:c>
    </x:row>
    <x:row r="423" ht="23" customHeight="1">
      <x:c r="A423" s="3"/>
      <x:c r="B423" s="3"/>
      <x:c r="C423" s="3"/>
      <x:c r="D423" s="3"/>
      <x:c r="E423" s="3"/>
      <x:c r="F423" s="3"/>
      <x:c r="G423" s="3"/>
      <x:c r="H423" s="3"/>
      <x:c r="I423" s="9"/>
      <x:c r="J423" s="3"/>
      <x:c r="K423" s="3"/>
      <x:c r="L423" s="3"/>
      <x:c r="M423" s="1" t="str">
        <x:f>IF(B423="","",IF(W423="Invalid hours","Invalid hours",IF(NOT(ISNUMBER(X423)),"Excluded",IF(AND(J423&lt;&gt;"",K423&lt;&gt;"",L423&lt;&gt;"",COUNTIF('SOW caps'!$N$7:$N$36,A423&amp;"|"&amp;K423)=1),"Mapped","Needs allocation"))))</x:f>
      </x:c>
      <x:c r="N423" s="8" t="str">
        <x:f>IF(B423="","",IF(M423="Mapped",_xlfn.XLOOKUP(A423&amp;"|"&amp;K423,'SOW caps'!$N$7:$N$36,'SOW caps'!$E$7:$E$36,""),IF(ISNUMBER('SOW caps'!$B$3),'SOW caps'!$B$3,"")))</x:f>
      </x:c>
      <x:c r="O423" s="8" t="str">
        <x:f>IF(AND(ISNUMBER(X423),ISNUMBER(N423),N423&gt;=0),X423*N423,"")</x:f>
      </x:c>
      <x:c r="P423" s="3"/>
      <x:c r="Q423" s="3"/>
      <x:c r="R423" s="3"/>
      <x:c r="S423" s="3"/>
      <x:c r="T423" s="3"/>
      <x:c r="U423" s="8" t="str">
        <x:f>IF(M423="Mapped",IF(OR(_xlfn.XLOOKUP(A423&amp;"|"&amp;K423,'SOW caps'!$N$7:$N$36,'SOW caps'!$M$7:$M$36,"")="Ready",_xlfn.XLOOKUP(A423&amp;"|"&amp;K423,'SOW caps'!$N$7:$N$36,'SOW caps'!$M$7:$M$36,"")="No hours"),_xlfn.XLOOKUP(A423&amp;"|"&amp;K423,'SOW caps'!$N$7:$N$36,'SOW caps'!$O$7:$O$36,""),""),"")</x:f>
      </x:c>
      <x:c r="V423" s="8" t="str">
        <x:f>IF(AND(ISNUMBER(U423),ISNUMBER(X423)),ROUND(SUMIFS($X$7:X423,$A$7:A423,A423,$K$7:K423,K423,$M$7:M423,"Mapped")*U423,2)-ROUND((SUMIFS($X$7:X423,$A$7:A423,A423,$K$7:K423,K423,$M$7:M423,"Mapped")-X423)*U423,2),"")</x:f>
      </x:c>
      <x:c r="W423" s="1" t="str">
        <x:f>IF(B423="","",IF(OR(NOT(ISNUMBER(I423)),I423&lt;0),"Invalid hours",IF(NOT(ISNUMBER(R423)),"Manual hours",IF(ROUND(I423*3600000,0)=R423,"Source hours","Adjusted hours"))))</x:f>
      </x:c>
      <x:c r="X423" s="10" t="str">
        <x:f>IF(B423="","",IF(AND(ISNUMBER(I423),I423&gt;=0,Q423="In period"),I423,""))</x:f>
      </x:c>
    </x:row>
    <x:row r="424" ht="23" customHeight="1">
      <x:c r="A424" s="3"/>
      <x:c r="B424" s="3"/>
      <x:c r="C424" s="3"/>
      <x:c r="D424" s="3"/>
      <x:c r="E424" s="3"/>
      <x:c r="F424" s="3"/>
      <x:c r="G424" s="3"/>
      <x:c r="H424" s="3"/>
      <x:c r="I424" s="9"/>
      <x:c r="J424" s="3"/>
      <x:c r="K424" s="3"/>
      <x:c r="L424" s="3"/>
      <x:c r="M424" s="1" t="str">
        <x:f>IF(B424="","",IF(W424="Invalid hours","Invalid hours",IF(NOT(ISNUMBER(X424)),"Excluded",IF(AND(J424&lt;&gt;"",K424&lt;&gt;"",L424&lt;&gt;"",COUNTIF('SOW caps'!$N$7:$N$36,A424&amp;"|"&amp;K424)=1),"Mapped","Needs allocation"))))</x:f>
      </x:c>
      <x:c r="N424" s="8" t="str">
        <x:f>IF(B424="","",IF(M424="Mapped",_xlfn.XLOOKUP(A424&amp;"|"&amp;K424,'SOW caps'!$N$7:$N$36,'SOW caps'!$E$7:$E$36,""),IF(ISNUMBER('SOW caps'!$B$3),'SOW caps'!$B$3,"")))</x:f>
      </x:c>
      <x:c r="O424" s="8" t="str">
        <x:f>IF(AND(ISNUMBER(X424),ISNUMBER(N424),N424&gt;=0),X424*N424,"")</x:f>
      </x:c>
      <x:c r="P424" s="3"/>
      <x:c r="Q424" s="3"/>
      <x:c r="R424" s="3"/>
      <x:c r="S424" s="3"/>
      <x:c r="T424" s="3"/>
      <x:c r="U424" s="8" t="str">
        <x:f>IF(M424="Mapped",IF(OR(_xlfn.XLOOKUP(A424&amp;"|"&amp;K424,'SOW caps'!$N$7:$N$36,'SOW caps'!$M$7:$M$36,"")="Ready",_xlfn.XLOOKUP(A424&amp;"|"&amp;K424,'SOW caps'!$N$7:$N$36,'SOW caps'!$M$7:$M$36,"")="No hours"),_xlfn.XLOOKUP(A424&amp;"|"&amp;K424,'SOW caps'!$N$7:$N$36,'SOW caps'!$O$7:$O$36,""),""),"")</x:f>
      </x:c>
      <x:c r="V424" s="8" t="str">
        <x:f>IF(AND(ISNUMBER(U424),ISNUMBER(X424)),ROUND(SUMIFS($X$7:X424,$A$7:A424,A424,$K$7:K424,K424,$M$7:M424,"Mapped")*U424,2)-ROUND((SUMIFS($X$7:X424,$A$7:A424,A424,$K$7:K424,K424,$M$7:M424,"Mapped")-X424)*U424,2),"")</x:f>
      </x:c>
      <x:c r="W424" s="1" t="str">
        <x:f>IF(B424="","",IF(OR(NOT(ISNUMBER(I424)),I424&lt;0),"Invalid hours",IF(NOT(ISNUMBER(R424)),"Manual hours",IF(ROUND(I424*3600000,0)=R424,"Source hours","Adjusted hours"))))</x:f>
      </x:c>
      <x:c r="X424" s="10" t="str">
        <x:f>IF(B424="","",IF(AND(ISNUMBER(I424),I424&gt;=0,Q424="In period"),I424,""))</x:f>
      </x:c>
    </x:row>
    <x:row r="425" ht="23" customHeight="1">
      <x:c r="A425" s="3"/>
      <x:c r="B425" s="3"/>
      <x:c r="C425" s="3"/>
      <x:c r="D425" s="3"/>
      <x:c r="E425" s="3"/>
      <x:c r="F425" s="3"/>
      <x:c r="G425" s="3"/>
      <x:c r="H425" s="3"/>
      <x:c r="I425" s="9"/>
      <x:c r="J425" s="3"/>
      <x:c r="K425" s="3"/>
      <x:c r="L425" s="3"/>
      <x:c r="M425" s="1" t="str">
        <x:f>IF(B425="","",IF(W425="Invalid hours","Invalid hours",IF(NOT(ISNUMBER(X425)),"Excluded",IF(AND(J425&lt;&gt;"",K425&lt;&gt;"",L425&lt;&gt;"",COUNTIF('SOW caps'!$N$7:$N$36,A425&amp;"|"&amp;K425)=1),"Mapped","Needs allocation"))))</x:f>
      </x:c>
      <x:c r="N425" s="8" t="str">
        <x:f>IF(B425="","",IF(M425="Mapped",_xlfn.XLOOKUP(A425&amp;"|"&amp;K425,'SOW caps'!$N$7:$N$36,'SOW caps'!$E$7:$E$36,""),IF(ISNUMBER('SOW caps'!$B$3),'SOW caps'!$B$3,"")))</x:f>
      </x:c>
      <x:c r="O425" s="8" t="str">
        <x:f>IF(AND(ISNUMBER(X425),ISNUMBER(N425),N425&gt;=0),X425*N425,"")</x:f>
      </x:c>
      <x:c r="P425" s="3"/>
      <x:c r="Q425" s="3"/>
      <x:c r="R425" s="3"/>
      <x:c r="S425" s="3"/>
      <x:c r="T425" s="3"/>
      <x:c r="U425" s="8" t="str">
        <x:f>IF(M425="Mapped",IF(OR(_xlfn.XLOOKUP(A425&amp;"|"&amp;K425,'SOW caps'!$N$7:$N$36,'SOW caps'!$M$7:$M$36,"")="Ready",_xlfn.XLOOKUP(A425&amp;"|"&amp;K425,'SOW caps'!$N$7:$N$36,'SOW caps'!$M$7:$M$36,"")="No hours"),_xlfn.XLOOKUP(A425&amp;"|"&amp;K425,'SOW caps'!$N$7:$N$36,'SOW caps'!$O$7:$O$36,""),""),"")</x:f>
      </x:c>
      <x:c r="V425" s="8" t="str">
        <x:f>IF(AND(ISNUMBER(U425),ISNUMBER(X425)),ROUND(SUMIFS($X$7:X425,$A$7:A425,A425,$K$7:K425,K425,$M$7:M425,"Mapped")*U425,2)-ROUND((SUMIFS($X$7:X425,$A$7:A425,A425,$K$7:K425,K425,$M$7:M425,"Mapped")-X425)*U425,2),"")</x:f>
      </x:c>
      <x:c r="W425" s="1" t="str">
        <x:f>IF(B425="","",IF(OR(NOT(ISNUMBER(I425)),I425&lt;0),"Invalid hours",IF(NOT(ISNUMBER(R425)),"Manual hours",IF(ROUND(I425*3600000,0)=R425,"Source hours","Adjusted hours"))))</x:f>
      </x:c>
      <x:c r="X425" s="10" t="str">
        <x:f>IF(B425="","",IF(AND(ISNUMBER(I425),I425&gt;=0,Q425="In period"),I425,""))</x:f>
      </x:c>
    </x:row>
    <x:row r="426" ht="23" customHeight="1">
      <x:c r="A426" s="3"/>
      <x:c r="B426" s="3"/>
      <x:c r="C426" s="3"/>
      <x:c r="D426" s="3"/>
      <x:c r="E426" s="3"/>
      <x:c r="F426" s="3"/>
      <x:c r="G426" s="3"/>
      <x:c r="H426" s="3"/>
      <x:c r="I426" s="9"/>
      <x:c r="J426" s="3"/>
      <x:c r="K426" s="3"/>
      <x:c r="L426" s="3"/>
      <x:c r="M426" s="1" t="str">
        <x:f>IF(B426="","",IF(W426="Invalid hours","Invalid hours",IF(NOT(ISNUMBER(X426)),"Excluded",IF(AND(J426&lt;&gt;"",K426&lt;&gt;"",L426&lt;&gt;"",COUNTIF('SOW caps'!$N$7:$N$36,A426&amp;"|"&amp;K426)=1),"Mapped","Needs allocation"))))</x:f>
      </x:c>
      <x:c r="N426" s="8" t="str">
        <x:f>IF(B426="","",IF(M426="Mapped",_xlfn.XLOOKUP(A426&amp;"|"&amp;K426,'SOW caps'!$N$7:$N$36,'SOW caps'!$E$7:$E$36,""),IF(ISNUMBER('SOW caps'!$B$3),'SOW caps'!$B$3,"")))</x:f>
      </x:c>
      <x:c r="O426" s="8" t="str">
        <x:f>IF(AND(ISNUMBER(X426),ISNUMBER(N426),N426&gt;=0),X426*N426,"")</x:f>
      </x:c>
      <x:c r="P426" s="3"/>
      <x:c r="Q426" s="3"/>
      <x:c r="R426" s="3"/>
      <x:c r="S426" s="3"/>
      <x:c r="T426" s="3"/>
      <x:c r="U426" s="8" t="str">
        <x:f>IF(M426="Mapped",IF(OR(_xlfn.XLOOKUP(A426&amp;"|"&amp;K426,'SOW caps'!$N$7:$N$36,'SOW caps'!$M$7:$M$36,"")="Ready",_xlfn.XLOOKUP(A426&amp;"|"&amp;K426,'SOW caps'!$N$7:$N$36,'SOW caps'!$M$7:$M$36,"")="No hours"),_xlfn.XLOOKUP(A426&amp;"|"&amp;K426,'SOW caps'!$N$7:$N$36,'SOW caps'!$O$7:$O$36,""),""),"")</x:f>
      </x:c>
      <x:c r="V426" s="8" t="str">
        <x:f>IF(AND(ISNUMBER(U426),ISNUMBER(X426)),ROUND(SUMIFS($X$7:X426,$A$7:A426,A426,$K$7:K426,K426,$M$7:M426,"Mapped")*U426,2)-ROUND((SUMIFS($X$7:X426,$A$7:A426,A426,$K$7:K426,K426,$M$7:M426,"Mapped")-X426)*U426,2),"")</x:f>
      </x:c>
      <x:c r="W426" s="1" t="str">
        <x:f>IF(B426="","",IF(OR(NOT(ISNUMBER(I426)),I426&lt;0),"Invalid hours",IF(NOT(ISNUMBER(R426)),"Manual hours",IF(ROUND(I426*3600000,0)=R426,"Source hours","Adjusted hours"))))</x:f>
      </x:c>
      <x:c r="X426" s="10" t="str">
        <x:f>IF(B426="","",IF(AND(ISNUMBER(I426),I426&gt;=0,Q426="In period"),I426,""))</x:f>
      </x:c>
    </x:row>
    <x:row r="427" ht="23" customHeight="1">
      <x:c r="A427" s="3"/>
      <x:c r="B427" s="3"/>
      <x:c r="C427" s="3"/>
      <x:c r="D427" s="3"/>
      <x:c r="E427" s="3"/>
      <x:c r="F427" s="3"/>
      <x:c r="G427" s="3"/>
      <x:c r="H427" s="3"/>
      <x:c r="I427" s="9"/>
      <x:c r="J427" s="3"/>
      <x:c r="K427" s="3"/>
      <x:c r="L427" s="3"/>
      <x:c r="M427" s="1" t="str">
        <x:f>IF(B427="","",IF(W427="Invalid hours","Invalid hours",IF(NOT(ISNUMBER(X427)),"Excluded",IF(AND(J427&lt;&gt;"",K427&lt;&gt;"",L427&lt;&gt;"",COUNTIF('SOW caps'!$N$7:$N$36,A427&amp;"|"&amp;K427)=1),"Mapped","Needs allocation"))))</x:f>
      </x:c>
      <x:c r="N427" s="8" t="str">
        <x:f>IF(B427="","",IF(M427="Mapped",_xlfn.XLOOKUP(A427&amp;"|"&amp;K427,'SOW caps'!$N$7:$N$36,'SOW caps'!$E$7:$E$36,""),IF(ISNUMBER('SOW caps'!$B$3),'SOW caps'!$B$3,"")))</x:f>
      </x:c>
      <x:c r="O427" s="8" t="str">
        <x:f>IF(AND(ISNUMBER(X427),ISNUMBER(N427),N427&gt;=0),X427*N427,"")</x:f>
      </x:c>
      <x:c r="P427" s="3"/>
      <x:c r="Q427" s="3"/>
      <x:c r="R427" s="3"/>
      <x:c r="S427" s="3"/>
      <x:c r="T427" s="3"/>
      <x:c r="U427" s="8" t="str">
        <x:f>IF(M427="Mapped",IF(OR(_xlfn.XLOOKUP(A427&amp;"|"&amp;K427,'SOW caps'!$N$7:$N$36,'SOW caps'!$M$7:$M$36,"")="Ready",_xlfn.XLOOKUP(A427&amp;"|"&amp;K427,'SOW caps'!$N$7:$N$36,'SOW caps'!$M$7:$M$36,"")="No hours"),_xlfn.XLOOKUP(A427&amp;"|"&amp;K427,'SOW caps'!$N$7:$N$36,'SOW caps'!$O$7:$O$36,""),""),"")</x:f>
      </x:c>
      <x:c r="V427" s="8" t="str">
        <x:f>IF(AND(ISNUMBER(U427),ISNUMBER(X427)),ROUND(SUMIFS($X$7:X427,$A$7:A427,A427,$K$7:K427,K427,$M$7:M427,"Mapped")*U427,2)-ROUND((SUMIFS($X$7:X427,$A$7:A427,A427,$K$7:K427,K427,$M$7:M427,"Mapped")-X427)*U427,2),"")</x:f>
      </x:c>
      <x:c r="W427" s="1" t="str">
        <x:f>IF(B427="","",IF(OR(NOT(ISNUMBER(I427)),I427&lt;0),"Invalid hours",IF(NOT(ISNUMBER(R427)),"Manual hours",IF(ROUND(I427*3600000,0)=R427,"Source hours","Adjusted hours"))))</x:f>
      </x:c>
      <x:c r="X427" s="10" t="str">
        <x:f>IF(B427="","",IF(AND(ISNUMBER(I427),I427&gt;=0,Q427="In period"),I427,""))</x:f>
      </x:c>
    </x:row>
    <x:row r="428" ht="23" customHeight="1">
      <x:c r="A428" s="3"/>
      <x:c r="B428" s="3"/>
      <x:c r="C428" s="3"/>
      <x:c r="D428" s="3"/>
      <x:c r="E428" s="3"/>
      <x:c r="F428" s="3"/>
      <x:c r="G428" s="3"/>
      <x:c r="H428" s="3"/>
      <x:c r="I428" s="9"/>
      <x:c r="J428" s="3"/>
      <x:c r="K428" s="3"/>
      <x:c r="L428" s="3"/>
      <x:c r="M428" s="1" t="str">
        <x:f>IF(B428="","",IF(W428="Invalid hours","Invalid hours",IF(NOT(ISNUMBER(X428)),"Excluded",IF(AND(J428&lt;&gt;"",K428&lt;&gt;"",L428&lt;&gt;"",COUNTIF('SOW caps'!$N$7:$N$36,A428&amp;"|"&amp;K428)=1),"Mapped","Needs allocation"))))</x:f>
      </x:c>
      <x:c r="N428" s="8" t="str">
        <x:f>IF(B428="","",IF(M428="Mapped",_xlfn.XLOOKUP(A428&amp;"|"&amp;K428,'SOW caps'!$N$7:$N$36,'SOW caps'!$E$7:$E$36,""),IF(ISNUMBER('SOW caps'!$B$3),'SOW caps'!$B$3,"")))</x:f>
      </x:c>
      <x:c r="O428" s="8" t="str">
        <x:f>IF(AND(ISNUMBER(X428),ISNUMBER(N428),N428&gt;=0),X428*N428,"")</x:f>
      </x:c>
      <x:c r="P428" s="3"/>
      <x:c r="Q428" s="3"/>
      <x:c r="R428" s="3"/>
      <x:c r="S428" s="3"/>
      <x:c r="T428" s="3"/>
      <x:c r="U428" s="8" t="str">
        <x:f>IF(M428="Mapped",IF(OR(_xlfn.XLOOKUP(A428&amp;"|"&amp;K428,'SOW caps'!$N$7:$N$36,'SOW caps'!$M$7:$M$36,"")="Ready",_xlfn.XLOOKUP(A428&amp;"|"&amp;K428,'SOW caps'!$N$7:$N$36,'SOW caps'!$M$7:$M$36,"")="No hours"),_xlfn.XLOOKUP(A428&amp;"|"&amp;K428,'SOW caps'!$N$7:$N$36,'SOW caps'!$O$7:$O$36,""),""),"")</x:f>
      </x:c>
      <x:c r="V428" s="8" t="str">
        <x:f>IF(AND(ISNUMBER(U428),ISNUMBER(X428)),ROUND(SUMIFS($X$7:X428,$A$7:A428,A428,$K$7:K428,K428,$M$7:M428,"Mapped")*U428,2)-ROUND((SUMIFS($X$7:X428,$A$7:A428,A428,$K$7:K428,K428,$M$7:M428,"Mapped")-X428)*U428,2),"")</x:f>
      </x:c>
      <x:c r="W428" s="1" t="str">
        <x:f>IF(B428="","",IF(OR(NOT(ISNUMBER(I428)),I428&lt;0),"Invalid hours",IF(NOT(ISNUMBER(R428)),"Manual hours",IF(ROUND(I428*3600000,0)=R428,"Source hours","Adjusted hours"))))</x:f>
      </x:c>
      <x:c r="X428" s="10" t="str">
        <x:f>IF(B428="","",IF(AND(ISNUMBER(I428),I428&gt;=0,Q428="In period"),I428,""))</x:f>
      </x:c>
    </x:row>
    <x:row r="429" ht="23" customHeight="1">
      <x:c r="A429" s="3"/>
      <x:c r="B429" s="3"/>
      <x:c r="C429" s="3"/>
      <x:c r="D429" s="3"/>
      <x:c r="E429" s="3"/>
      <x:c r="F429" s="3"/>
      <x:c r="G429" s="3"/>
      <x:c r="H429" s="3"/>
      <x:c r="I429" s="9"/>
      <x:c r="J429" s="3"/>
      <x:c r="K429" s="3"/>
      <x:c r="L429" s="3"/>
      <x:c r="M429" s="1" t="str">
        <x:f>IF(B429="","",IF(W429="Invalid hours","Invalid hours",IF(NOT(ISNUMBER(X429)),"Excluded",IF(AND(J429&lt;&gt;"",K429&lt;&gt;"",L429&lt;&gt;"",COUNTIF('SOW caps'!$N$7:$N$36,A429&amp;"|"&amp;K429)=1),"Mapped","Needs allocation"))))</x:f>
      </x:c>
      <x:c r="N429" s="8" t="str">
        <x:f>IF(B429="","",IF(M429="Mapped",_xlfn.XLOOKUP(A429&amp;"|"&amp;K429,'SOW caps'!$N$7:$N$36,'SOW caps'!$E$7:$E$36,""),IF(ISNUMBER('SOW caps'!$B$3),'SOW caps'!$B$3,"")))</x:f>
      </x:c>
      <x:c r="O429" s="8" t="str">
        <x:f>IF(AND(ISNUMBER(X429),ISNUMBER(N429),N429&gt;=0),X429*N429,"")</x:f>
      </x:c>
      <x:c r="P429" s="3"/>
      <x:c r="Q429" s="3"/>
      <x:c r="R429" s="3"/>
      <x:c r="S429" s="3"/>
      <x:c r="T429" s="3"/>
      <x:c r="U429" s="8" t="str">
        <x:f>IF(M429="Mapped",IF(OR(_xlfn.XLOOKUP(A429&amp;"|"&amp;K429,'SOW caps'!$N$7:$N$36,'SOW caps'!$M$7:$M$36,"")="Ready",_xlfn.XLOOKUP(A429&amp;"|"&amp;K429,'SOW caps'!$N$7:$N$36,'SOW caps'!$M$7:$M$36,"")="No hours"),_xlfn.XLOOKUP(A429&amp;"|"&amp;K429,'SOW caps'!$N$7:$N$36,'SOW caps'!$O$7:$O$36,""),""),"")</x:f>
      </x:c>
      <x:c r="V429" s="8" t="str">
        <x:f>IF(AND(ISNUMBER(U429),ISNUMBER(X429)),ROUND(SUMIFS($X$7:X429,$A$7:A429,A429,$K$7:K429,K429,$M$7:M429,"Mapped")*U429,2)-ROUND((SUMIFS($X$7:X429,$A$7:A429,A429,$K$7:K429,K429,$M$7:M429,"Mapped")-X429)*U429,2),"")</x:f>
      </x:c>
      <x:c r="W429" s="1" t="str">
        <x:f>IF(B429="","",IF(OR(NOT(ISNUMBER(I429)),I429&lt;0),"Invalid hours",IF(NOT(ISNUMBER(R429)),"Manual hours",IF(ROUND(I429*3600000,0)=R429,"Source hours","Adjusted hours"))))</x:f>
      </x:c>
      <x:c r="X429" s="10" t="str">
        <x:f>IF(B429="","",IF(AND(ISNUMBER(I429),I429&gt;=0,Q429="In period"),I429,""))</x:f>
      </x:c>
    </x:row>
    <x:row r="430" ht="23" customHeight="1">
      <x:c r="A430" s="3"/>
      <x:c r="B430" s="3"/>
      <x:c r="C430" s="3"/>
      <x:c r="D430" s="3"/>
      <x:c r="E430" s="3"/>
      <x:c r="F430" s="3"/>
      <x:c r="G430" s="3"/>
      <x:c r="H430" s="3"/>
      <x:c r="I430" s="9"/>
      <x:c r="J430" s="3"/>
      <x:c r="K430" s="3"/>
      <x:c r="L430" s="3"/>
      <x:c r="M430" s="1" t="str">
        <x:f>IF(B430="","",IF(W430="Invalid hours","Invalid hours",IF(NOT(ISNUMBER(X430)),"Excluded",IF(AND(J430&lt;&gt;"",K430&lt;&gt;"",L430&lt;&gt;"",COUNTIF('SOW caps'!$N$7:$N$36,A430&amp;"|"&amp;K430)=1),"Mapped","Needs allocation"))))</x:f>
      </x:c>
      <x:c r="N430" s="8" t="str">
        <x:f>IF(B430="","",IF(M430="Mapped",_xlfn.XLOOKUP(A430&amp;"|"&amp;K430,'SOW caps'!$N$7:$N$36,'SOW caps'!$E$7:$E$36,""),IF(ISNUMBER('SOW caps'!$B$3),'SOW caps'!$B$3,"")))</x:f>
      </x:c>
      <x:c r="O430" s="8" t="str">
        <x:f>IF(AND(ISNUMBER(X430),ISNUMBER(N430),N430&gt;=0),X430*N430,"")</x:f>
      </x:c>
      <x:c r="P430" s="3"/>
      <x:c r="Q430" s="3"/>
      <x:c r="R430" s="3"/>
      <x:c r="S430" s="3"/>
      <x:c r="T430" s="3"/>
      <x:c r="U430" s="8" t="str">
        <x:f>IF(M430="Mapped",IF(OR(_xlfn.XLOOKUP(A430&amp;"|"&amp;K430,'SOW caps'!$N$7:$N$36,'SOW caps'!$M$7:$M$36,"")="Ready",_xlfn.XLOOKUP(A430&amp;"|"&amp;K430,'SOW caps'!$N$7:$N$36,'SOW caps'!$M$7:$M$36,"")="No hours"),_xlfn.XLOOKUP(A430&amp;"|"&amp;K430,'SOW caps'!$N$7:$N$36,'SOW caps'!$O$7:$O$36,""),""),"")</x:f>
      </x:c>
      <x:c r="V430" s="8" t="str">
        <x:f>IF(AND(ISNUMBER(U430),ISNUMBER(X430)),ROUND(SUMIFS($X$7:X430,$A$7:A430,A430,$K$7:K430,K430,$M$7:M430,"Mapped")*U430,2)-ROUND((SUMIFS($X$7:X430,$A$7:A430,A430,$K$7:K430,K430,$M$7:M430,"Mapped")-X430)*U430,2),"")</x:f>
      </x:c>
      <x:c r="W430" s="1" t="str">
        <x:f>IF(B430="","",IF(OR(NOT(ISNUMBER(I430)),I430&lt;0),"Invalid hours",IF(NOT(ISNUMBER(R430)),"Manual hours",IF(ROUND(I430*3600000,0)=R430,"Source hours","Adjusted hours"))))</x:f>
      </x:c>
      <x:c r="X430" s="10" t="str">
        <x:f>IF(B430="","",IF(AND(ISNUMBER(I430),I430&gt;=0,Q430="In period"),I430,""))</x:f>
      </x:c>
    </x:row>
    <x:row r="431" ht="23" customHeight="1">
      <x:c r="A431" s="3"/>
      <x:c r="B431" s="3"/>
      <x:c r="C431" s="3"/>
      <x:c r="D431" s="3"/>
      <x:c r="E431" s="3"/>
      <x:c r="F431" s="3"/>
      <x:c r="G431" s="3"/>
      <x:c r="H431" s="3"/>
      <x:c r="I431" s="9"/>
      <x:c r="J431" s="3"/>
      <x:c r="K431" s="3"/>
      <x:c r="L431" s="3"/>
      <x:c r="M431" s="1" t="str">
        <x:f>IF(B431="","",IF(W431="Invalid hours","Invalid hours",IF(NOT(ISNUMBER(X431)),"Excluded",IF(AND(J431&lt;&gt;"",K431&lt;&gt;"",L431&lt;&gt;"",COUNTIF('SOW caps'!$N$7:$N$36,A431&amp;"|"&amp;K431)=1),"Mapped","Needs allocation"))))</x:f>
      </x:c>
      <x:c r="N431" s="8" t="str">
        <x:f>IF(B431="","",IF(M431="Mapped",_xlfn.XLOOKUP(A431&amp;"|"&amp;K431,'SOW caps'!$N$7:$N$36,'SOW caps'!$E$7:$E$36,""),IF(ISNUMBER('SOW caps'!$B$3),'SOW caps'!$B$3,"")))</x:f>
      </x:c>
      <x:c r="O431" s="8" t="str">
        <x:f>IF(AND(ISNUMBER(X431),ISNUMBER(N431),N431&gt;=0),X431*N431,"")</x:f>
      </x:c>
      <x:c r="P431" s="3"/>
      <x:c r="Q431" s="3"/>
      <x:c r="R431" s="3"/>
      <x:c r="S431" s="3"/>
      <x:c r="T431" s="3"/>
      <x:c r="U431" s="8" t="str">
        <x:f>IF(M431="Mapped",IF(OR(_xlfn.XLOOKUP(A431&amp;"|"&amp;K431,'SOW caps'!$N$7:$N$36,'SOW caps'!$M$7:$M$36,"")="Ready",_xlfn.XLOOKUP(A431&amp;"|"&amp;K431,'SOW caps'!$N$7:$N$36,'SOW caps'!$M$7:$M$36,"")="No hours"),_xlfn.XLOOKUP(A431&amp;"|"&amp;K431,'SOW caps'!$N$7:$N$36,'SOW caps'!$O$7:$O$36,""),""),"")</x:f>
      </x:c>
      <x:c r="V431" s="8" t="str">
        <x:f>IF(AND(ISNUMBER(U431),ISNUMBER(X431)),ROUND(SUMIFS($X$7:X431,$A$7:A431,A431,$K$7:K431,K431,$M$7:M431,"Mapped")*U431,2)-ROUND((SUMIFS($X$7:X431,$A$7:A431,A431,$K$7:K431,K431,$M$7:M431,"Mapped")-X431)*U431,2),"")</x:f>
      </x:c>
      <x:c r="W431" s="1" t="str">
        <x:f>IF(B431="","",IF(OR(NOT(ISNUMBER(I431)),I431&lt;0),"Invalid hours",IF(NOT(ISNUMBER(R431)),"Manual hours",IF(ROUND(I431*3600000,0)=R431,"Source hours","Adjusted hours"))))</x:f>
      </x:c>
      <x:c r="X431" s="10" t="str">
        <x:f>IF(B431="","",IF(AND(ISNUMBER(I431),I431&gt;=0,Q431="In period"),I431,""))</x:f>
      </x:c>
    </x:row>
    <x:row r="432" ht="23" customHeight="1">
      <x:c r="A432" s="3"/>
      <x:c r="B432" s="3"/>
      <x:c r="C432" s="3"/>
      <x:c r="D432" s="3"/>
      <x:c r="E432" s="3"/>
      <x:c r="F432" s="3"/>
      <x:c r="G432" s="3"/>
      <x:c r="H432" s="3"/>
      <x:c r="I432" s="9"/>
      <x:c r="J432" s="3"/>
      <x:c r="K432" s="3"/>
      <x:c r="L432" s="3"/>
      <x:c r="M432" s="1" t="str">
        <x:f>IF(B432="","",IF(W432="Invalid hours","Invalid hours",IF(NOT(ISNUMBER(X432)),"Excluded",IF(AND(J432&lt;&gt;"",K432&lt;&gt;"",L432&lt;&gt;"",COUNTIF('SOW caps'!$N$7:$N$36,A432&amp;"|"&amp;K432)=1),"Mapped","Needs allocation"))))</x:f>
      </x:c>
      <x:c r="N432" s="8" t="str">
        <x:f>IF(B432="","",IF(M432="Mapped",_xlfn.XLOOKUP(A432&amp;"|"&amp;K432,'SOW caps'!$N$7:$N$36,'SOW caps'!$E$7:$E$36,""),IF(ISNUMBER('SOW caps'!$B$3),'SOW caps'!$B$3,"")))</x:f>
      </x:c>
      <x:c r="O432" s="8" t="str">
        <x:f>IF(AND(ISNUMBER(X432),ISNUMBER(N432),N432&gt;=0),X432*N432,"")</x:f>
      </x:c>
      <x:c r="P432" s="3"/>
      <x:c r="Q432" s="3"/>
      <x:c r="R432" s="3"/>
      <x:c r="S432" s="3"/>
      <x:c r="T432" s="3"/>
      <x:c r="U432" s="8" t="str">
        <x:f>IF(M432="Mapped",IF(OR(_xlfn.XLOOKUP(A432&amp;"|"&amp;K432,'SOW caps'!$N$7:$N$36,'SOW caps'!$M$7:$M$36,"")="Ready",_xlfn.XLOOKUP(A432&amp;"|"&amp;K432,'SOW caps'!$N$7:$N$36,'SOW caps'!$M$7:$M$36,"")="No hours"),_xlfn.XLOOKUP(A432&amp;"|"&amp;K432,'SOW caps'!$N$7:$N$36,'SOW caps'!$O$7:$O$36,""),""),"")</x:f>
      </x:c>
      <x:c r="V432" s="8" t="str">
        <x:f>IF(AND(ISNUMBER(U432),ISNUMBER(X432)),ROUND(SUMIFS($X$7:X432,$A$7:A432,A432,$K$7:K432,K432,$M$7:M432,"Mapped")*U432,2)-ROUND((SUMIFS($X$7:X432,$A$7:A432,A432,$K$7:K432,K432,$M$7:M432,"Mapped")-X432)*U432,2),"")</x:f>
      </x:c>
      <x:c r="W432" s="1" t="str">
        <x:f>IF(B432="","",IF(OR(NOT(ISNUMBER(I432)),I432&lt;0),"Invalid hours",IF(NOT(ISNUMBER(R432)),"Manual hours",IF(ROUND(I432*3600000,0)=R432,"Source hours","Adjusted hours"))))</x:f>
      </x:c>
      <x:c r="X432" s="10" t="str">
        <x:f>IF(B432="","",IF(AND(ISNUMBER(I432),I432&gt;=0,Q432="In period"),I432,""))</x:f>
      </x:c>
    </x:row>
    <x:row r="433" ht="23" customHeight="1">
      <x:c r="A433" s="3"/>
      <x:c r="B433" s="3"/>
      <x:c r="C433" s="3"/>
      <x:c r="D433" s="3"/>
      <x:c r="E433" s="3"/>
      <x:c r="F433" s="3"/>
      <x:c r="G433" s="3"/>
      <x:c r="H433" s="3"/>
      <x:c r="I433" s="9"/>
      <x:c r="J433" s="3"/>
      <x:c r="K433" s="3"/>
      <x:c r="L433" s="3"/>
      <x:c r="M433" s="1" t="str">
        <x:f>IF(B433="","",IF(W433="Invalid hours","Invalid hours",IF(NOT(ISNUMBER(X433)),"Excluded",IF(AND(J433&lt;&gt;"",K433&lt;&gt;"",L433&lt;&gt;"",COUNTIF('SOW caps'!$N$7:$N$36,A433&amp;"|"&amp;K433)=1),"Mapped","Needs allocation"))))</x:f>
      </x:c>
      <x:c r="N433" s="8" t="str">
        <x:f>IF(B433="","",IF(M433="Mapped",_xlfn.XLOOKUP(A433&amp;"|"&amp;K433,'SOW caps'!$N$7:$N$36,'SOW caps'!$E$7:$E$36,""),IF(ISNUMBER('SOW caps'!$B$3),'SOW caps'!$B$3,"")))</x:f>
      </x:c>
      <x:c r="O433" s="8" t="str">
        <x:f>IF(AND(ISNUMBER(X433),ISNUMBER(N433),N433&gt;=0),X433*N433,"")</x:f>
      </x:c>
      <x:c r="P433" s="3"/>
      <x:c r="Q433" s="3"/>
      <x:c r="R433" s="3"/>
      <x:c r="S433" s="3"/>
      <x:c r="T433" s="3"/>
      <x:c r="U433" s="8" t="str">
        <x:f>IF(M433="Mapped",IF(OR(_xlfn.XLOOKUP(A433&amp;"|"&amp;K433,'SOW caps'!$N$7:$N$36,'SOW caps'!$M$7:$M$36,"")="Ready",_xlfn.XLOOKUP(A433&amp;"|"&amp;K433,'SOW caps'!$N$7:$N$36,'SOW caps'!$M$7:$M$36,"")="No hours"),_xlfn.XLOOKUP(A433&amp;"|"&amp;K433,'SOW caps'!$N$7:$N$36,'SOW caps'!$O$7:$O$36,""),""),"")</x:f>
      </x:c>
      <x:c r="V433" s="8" t="str">
        <x:f>IF(AND(ISNUMBER(U433),ISNUMBER(X433)),ROUND(SUMIFS($X$7:X433,$A$7:A433,A433,$K$7:K433,K433,$M$7:M433,"Mapped")*U433,2)-ROUND((SUMIFS($X$7:X433,$A$7:A433,A433,$K$7:K433,K433,$M$7:M433,"Mapped")-X433)*U433,2),"")</x:f>
      </x:c>
      <x:c r="W433" s="1" t="str">
        <x:f>IF(B433="","",IF(OR(NOT(ISNUMBER(I433)),I433&lt;0),"Invalid hours",IF(NOT(ISNUMBER(R433)),"Manual hours",IF(ROUND(I433*3600000,0)=R433,"Source hours","Adjusted hours"))))</x:f>
      </x:c>
      <x:c r="X433" s="10" t="str">
        <x:f>IF(B433="","",IF(AND(ISNUMBER(I433),I433&gt;=0,Q433="In period"),I433,""))</x:f>
      </x:c>
    </x:row>
    <x:row r="434" ht="23" customHeight="1">
      <x:c r="A434" s="3"/>
      <x:c r="B434" s="3"/>
      <x:c r="C434" s="3"/>
      <x:c r="D434" s="3"/>
      <x:c r="E434" s="3"/>
      <x:c r="F434" s="3"/>
      <x:c r="G434" s="3"/>
      <x:c r="H434" s="3"/>
      <x:c r="I434" s="9"/>
      <x:c r="J434" s="3"/>
      <x:c r="K434" s="3"/>
      <x:c r="L434" s="3"/>
      <x:c r="M434" s="1" t="str">
        <x:f>IF(B434="","",IF(W434="Invalid hours","Invalid hours",IF(NOT(ISNUMBER(X434)),"Excluded",IF(AND(J434&lt;&gt;"",K434&lt;&gt;"",L434&lt;&gt;"",COUNTIF('SOW caps'!$N$7:$N$36,A434&amp;"|"&amp;K434)=1),"Mapped","Needs allocation"))))</x:f>
      </x:c>
      <x:c r="N434" s="8" t="str">
        <x:f>IF(B434="","",IF(M434="Mapped",_xlfn.XLOOKUP(A434&amp;"|"&amp;K434,'SOW caps'!$N$7:$N$36,'SOW caps'!$E$7:$E$36,""),IF(ISNUMBER('SOW caps'!$B$3),'SOW caps'!$B$3,"")))</x:f>
      </x:c>
      <x:c r="O434" s="8" t="str">
        <x:f>IF(AND(ISNUMBER(X434),ISNUMBER(N434),N434&gt;=0),X434*N434,"")</x:f>
      </x:c>
      <x:c r="P434" s="3"/>
      <x:c r="Q434" s="3"/>
      <x:c r="R434" s="3"/>
      <x:c r="S434" s="3"/>
      <x:c r="T434" s="3"/>
      <x:c r="U434" s="8" t="str">
        <x:f>IF(M434="Mapped",IF(OR(_xlfn.XLOOKUP(A434&amp;"|"&amp;K434,'SOW caps'!$N$7:$N$36,'SOW caps'!$M$7:$M$36,"")="Ready",_xlfn.XLOOKUP(A434&amp;"|"&amp;K434,'SOW caps'!$N$7:$N$36,'SOW caps'!$M$7:$M$36,"")="No hours"),_xlfn.XLOOKUP(A434&amp;"|"&amp;K434,'SOW caps'!$N$7:$N$36,'SOW caps'!$O$7:$O$36,""),""),"")</x:f>
      </x:c>
      <x:c r="V434" s="8" t="str">
        <x:f>IF(AND(ISNUMBER(U434),ISNUMBER(X434)),ROUND(SUMIFS($X$7:X434,$A$7:A434,A434,$K$7:K434,K434,$M$7:M434,"Mapped")*U434,2)-ROUND((SUMIFS($X$7:X434,$A$7:A434,A434,$K$7:K434,K434,$M$7:M434,"Mapped")-X434)*U434,2),"")</x:f>
      </x:c>
      <x:c r="W434" s="1" t="str">
        <x:f>IF(B434="","",IF(OR(NOT(ISNUMBER(I434)),I434&lt;0),"Invalid hours",IF(NOT(ISNUMBER(R434)),"Manual hours",IF(ROUND(I434*3600000,0)=R434,"Source hours","Adjusted hours"))))</x:f>
      </x:c>
      <x:c r="X434" s="10" t="str">
        <x:f>IF(B434="","",IF(AND(ISNUMBER(I434),I434&gt;=0,Q434="In period"),I434,""))</x:f>
      </x:c>
    </x:row>
    <x:row r="435" ht="23" customHeight="1">
      <x:c r="A435" s="3"/>
      <x:c r="B435" s="3"/>
      <x:c r="C435" s="3"/>
      <x:c r="D435" s="3"/>
      <x:c r="E435" s="3"/>
      <x:c r="F435" s="3"/>
      <x:c r="G435" s="3"/>
      <x:c r="H435" s="3"/>
      <x:c r="I435" s="9"/>
      <x:c r="J435" s="3"/>
      <x:c r="K435" s="3"/>
      <x:c r="L435" s="3"/>
      <x:c r="M435" s="1" t="str">
        <x:f>IF(B435="","",IF(W435="Invalid hours","Invalid hours",IF(NOT(ISNUMBER(X435)),"Excluded",IF(AND(J435&lt;&gt;"",K435&lt;&gt;"",L435&lt;&gt;"",COUNTIF('SOW caps'!$N$7:$N$36,A435&amp;"|"&amp;K435)=1),"Mapped","Needs allocation"))))</x:f>
      </x:c>
      <x:c r="N435" s="8" t="str">
        <x:f>IF(B435="","",IF(M435="Mapped",_xlfn.XLOOKUP(A435&amp;"|"&amp;K435,'SOW caps'!$N$7:$N$36,'SOW caps'!$E$7:$E$36,""),IF(ISNUMBER('SOW caps'!$B$3),'SOW caps'!$B$3,"")))</x:f>
      </x:c>
      <x:c r="O435" s="8" t="str">
        <x:f>IF(AND(ISNUMBER(X435),ISNUMBER(N435),N435&gt;=0),X435*N435,"")</x:f>
      </x:c>
      <x:c r="P435" s="3"/>
      <x:c r="Q435" s="3"/>
      <x:c r="R435" s="3"/>
      <x:c r="S435" s="3"/>
      <x:c r="T435" s="3"/>
      <x:c r="U435" s="8" t="str">
        <x:f>IF(M435="Mapped",IF(OR(_xlfn.XLOOKUP(A435&amp;"|"&amp;K435,'SOW caps'!$N$7:$N$36,'SOW caps'!$M$7:$M$36,"")="Ready",_xlfn.XLOOKUP(A435&amp;"|"&amp;K435,'SOW caps'!$N$7:$N$36,'SOW caps'!$M$7:$M$36,"")="No hours"),_xlfn.XLOOKUP(A435&amp;"|"&amp;K435,'SOW caps'!$N$7:$N$36,'SOW caps'!$O$7:$O$36,""),""),"")</x:f>
      </x:c>
      <x:c r="V435" s="8" t="str">
        <x:f>IF(AND(ISNUMBER(U435),ISNUMBER(X435)),ROUND(SUMIFS($X$7:X435,$A$7:A435,A435,$K$7:K435,K435,$M$7:M435,"Mapped")*U435,2)-ROUND((SUMIFS($X$7:X435,$A$7:A435,A435,$K$7:K435,K435,$M$7:M435,"Mapped")-X435)*U435,2),"")</x:f>
      </x:c>
      <x:c r="W435" s="1" t="str">
        <x:f>IF(B435="","",IF(OR(NOT(ISNUMBER(I435)),I435&lt;0),"Invalid hours",IF(NOT(ISNUMBER(R435)),"Manual hours",IF(ROUND(I435*3600000,0)=R435,"Source hours","Adjusted hours"))))</x:f>
      </x:c>
      <x:c r="X435" s="10" t="str">
        <x:f>IF(B435="","",IF(AND(ISNUMBER(I435),I435&gt;=0,Q435="In period"),I435,""))</x:f>
      </x:c>
    </x:row>
    <x:row r="436" ht="23" customHeight="1">
      <x:c r="A436" s="3"/>
      <x:c r="B436" s="3"/>
      <x:c r="C436" s="3"/>
      <x:c r="D436" s="3"/>
      <x:c r="E436" s="3"/>
      <x:c r="F436" s="3"/>
      <x:c r="G436" s="3"/>
      <x:c r="H436" s="3"/>
      <x:c r="I436" s="9"/>
      <x:c r="J436" s="3"/>
      <x:c r="K436" s="3"/>
      <x:c r="L436" s="3"/>
      <x:c r="M436" s="1" t="str">
        <x:f>IF(B436="","",IF(W436="Invalid hours","Invalid hours",IF(NOT(ISNUMBER(X436)),"Excluded",IF(AND(J436&lt;&gt;"",K436&lt;&gt;"",L436&lt;&gt;"",COUNTIF('SOW caps'!$N$7:$N$36,A436&amp;"|"&amp;K436)=1),"Mapped","Needs allocation"))))</x:f>
      </x:c>
      <x:c r="N436" s="8" t="str">
        <x:f>IF(B436="","",IF(M436="Mapped",_xlfn.XLOOKUP(A436&amp;"|"&amp;K436,'SOW caps'!$N$7:$N$36,'SOW caps'!$E$7:$E$36,""),IF(ISNUMBER('SOW caps'!$B$3),'SOW caps'!$B$3,"")))</x:f>
      </x:c>
      <x:c r="O436" s="8" t="str">
        <x:f>IF(AND(ISNUMBER(X436),ISNUMBER(N436),N436&gt;=0),X436*N436,"")</x:f>
      </x:c>
      <x:c r="P436" s="3"/>
      <x:c r="Q436" s="3"/>
      <x:c r="R436" s="3"/>
      <x:c r="S436" s="3"/>
      <x:c r="T436" s="3"/>
      <x:c r="U436" s="8" t="str">
        <x:f>IF(M436="Mapped",IF(OR(_xlfn.XLOOKUP(A436&amp;"|"&amp;K436,'SOW caps'!$N$7:$N$36,'SOW caps'!$M$7:$M$36,"")="Ready",_xlfn.XLOOKUP(A436&amp;"|"&amp;K436,'SOW caps'!$N$7:$N$36,'SOW caps'!$M$7:$M$36,"")="No hours"),_xlfn.XLOOKUP(A436&amp;"|"&amp;K436,'SOW caps'!$N$7:$N$36,'SOW caps'!$O$7:$O$36,""),""),"")</x:f>
      </x:c>
      <x:c r="V436" s="8" t="str">
        <x:f>IF(AND(ISNUMBER(U436),ISNUMBER(X436)),ROUND(SUMIFS($X$7:X436,$A$7:A436,A436,$K$7:K436,K436,$M$7:M436,"Mapped")*U436,2)-ROUND((SUMIFS($X$7:X436,$A$7:A436,A436,$K$7:K436,K436,$M$7:M436,"Mapped")-X436)*U436,2),"")</x:f>
      </x:c>
      <x:c r="W436" s="1" t="str">
        <x:f>IF(B436="","",IF(OR(NOT(ISNUMBER(I436)),I436&lt;0),"Invalid hours",IF(NOT(ISNUMBER(R436)),"Manual hours",IF(ROUND(I436*3600000,0)=R436,"Source hours","Adjusted hours"))))</x:f>
      </x:c>
      <x:c r="X436" s="10" t="str">
        <x:f>IF(B436="","",IF(AND(ISNUMBER(I436),I436&gt;=0,Q436="In period"),I436,""))</x:f>
      </x:c>
    </x:row>
    <x:row r="437" ht="23" customHeight="1">
      <x:c r="A437" s="3"/>
      <x:c r="B437" s="3"/>
      <x:c r="C437" s="3"/>
      <x:c r="D437" s="3"/>
      <x:c r="E437" s="3"/>
      <x:c r="F437" s="3"/>
      <x:c r="G437" s="3"/>
      <x:c r="H437" s="3"/>
      <x:c r="I437" s="9"/>
      <x:c r="J437" s="3"/>
      <x:c r="K437" s="3"/>
      <x:c r="L437" s="3"/>
      <x:c r="M437" s="1" t="str">
        <x:f>IF(B437="","",IF(W437="Invalid hours","Invalid hours",IF(NOT(ISNUMBER(X437)),"Excluded",IF(AND(J437&lt;&gt;"",K437&lt;&gt;"",L437&lt;&gt;"",COUNTIF('SOW caps'!$N$7:$N$36,A437&amp;"|"&amp;K437)=1),"Mapped","Needs allocation"))))</x:f>
      </x:c>
      <x:c r="N437" s="8" t="str">
        <x:f>IF(B437="","",IF(M437="Mapped",_xlfn.XLOOKUP(A437&amp;"|"&amp;K437,'SOW caps'!$N$7:$N$36,'SOW caps'!$E$7:$E$36,""),IF(ISNUMBER('SOW caps'!$B$3),'SOW caps'!$B$3,"")))</x:f>
      </x:c>
      <x:c r="O437" s="8" t="str">
        <x:f>IF(AND(ISNUMBER(X437),ISNUMBER(N437),N437&gt;=0),X437*N437,"")</x:f>
      </x:c>
      <x:c r="P437" s="3"/>
      <x:c r="Q437" s="3"/>
      <x:c r="R437" s="3"/>
      <x:c r="S437" s="3"/>
      <x:c r="T437" s="3"/>
      <x:c r="U437" s="8" t="str">
        <x:f>IF(M437="Mapped",IF(OR(_xlfn.XLOOKUP(A437&amp;"|"&amp;K437,'SOW caps'!$N$7:$N$36,'SOW caps'!$M$7:$M$36,"")="Ready",_xlfn.XLOOKUP(A437&amp;"|"&amp;K437,'SOW caps'!$N$7:$N$36,'SOW caps'!$M$7:$M$36,"")="No hours"),_xlfn.XLOOKUP(A437&amp;"|"&amp;K437,'SOW caps'!$N$7:$N$36,'SOW caps'!$O$7:$O$36,""),""),"")</x:f>
      </x:c>
      <x:c r="V437" s="8" t="str">
        <x:f>IF(AND(ISNUMBER(U437),ISNUMBER(X437)),ROUND(SUMIFS($X$7:X437,$A$7:A437,A437,$K$7:K437,K437,$M$7:M437,"Mapped")*U437,2)-ROUND((SUMIFS($X$7:X437,$A$7:A437,A437,$K$7:K437,K437,$M$7:M437,"Mapped")-X437)*U437,2),"")</x:f>
      </x:c>
      <x:c r="W437" s="1" t="str">
        <x:f>IF(B437="","",IF(OR(NOT(ISNUMBER(I437)),I437&lt;0),"Invalid hours",IF(NOT(ISNUMBER(R437)),"Manual hours",IF(ROUND(I437*3600000,0)=R437,"Source hours","Adjusted hours"))))</x:f>
      </x:c>
      <x:c r="X437" s="10" t="str">
        <x:f>IF(B437="","",IF(AND(ISNUMBER(I437),I437&gt;=0,Q437="In period"),I437,""))</x:f>
      </x:c>
    </x:row>
    <x:row r="438" ht="23" customHeight="1">
      <x:c r="A438" s="3"/>
      <x:c r="B438" s="3"/>
      <x:c r="C438" s="3"/>
      <x:c r="D438" s="3"/>
      <x:c r="E438" s="3"/>
      <x:c r="F438" s="3"/>
      <x:c r="G438" s="3"/>
      <x:c r="H438" s="3"/>
      <x:c r="I438" s="9"/>
      <x:c r="J438" s="3"/>
      <x:c r="K438" s="3"/>
      <x:c r="L438" s="3"/>
      <x:c r="M438" s="1" t="str">
        <x:f>IF(B438="","",IF(W438="Invalid hours","Invalid hours",IF(NOT(ISNUMBER(X438)),"Excluded",IF(AND(J438&lt;&gt;"",K438&lt;&gt;"",L438&lt;&gt;"",COUNTIF('SOW caps'!$N$7:$N$36,A438&amp;"|"&amp;K438)=1),"Mapped","Needs allocation"))))</x:f>
      </x:c>
      <x:c r="N438" s="8" t="str">
        <x:f>IF(B438="","",IF(M438="Mapped",_xlfn.XLOOKUP(A438&amp;"|"&amp;K438,'SOW caps'!$N$7:$N$36,'SOW caps'!$E$7:$E$36,""),IF(ISNUMBER('SOW caps'!$B$3),'SOW caps'!$B$3,"")))</x:f>
      </x:c>
      <x:c r="O438" s="8" t="str">
        <x:f>IF(AND(ISNUMBER(X438),ISNUMBER(N438),N438&gt;=0),X438*N438,"")</x:f>
      </x:c>
      <x:c r="P438" s="3"/>
      <x:c r="Q438" s="3"/>
      <x:c r="R438" s="3"/>
      <x:c r="S438" s="3"/>
      <x:c r="T438" s="3"/>
      <x:c r="U438" s="8" t="str">
        <x:f>IF(M438="Mapped",IF(OR(_xlfn.XLOOKUP(A438&amp;"|"&amp;K438,'SOW caps'!$N$7:$N$36,'SOW caps'!$M$7:$M$36,"")="Ready",_xlfn.XLOOKUP(A438&amp;"|"&amp;K438,'SOW caps'!$N$7:$N$36,'SOW caps'!$M$7:$M$36,"")="No hours"),_xlfn.XLOOKUP(A438&amp;"|"&amp;K438,'SOW caps'!$N$7:$N$36,'SOW caps'!$O$7:$O$36,""),""),"")</x:f>
      </x:c>
      <x:c r="V438" s="8" t="str">
        <x:f>IF(AND(ISNUMBER(U438),ISNUMBER(X438)),ROUND(SUMIFS($X$7:X438,$A$7:A438,A438,$K$7:K438,K438,$M$7:M438,"Mapped")*U438,2)-ROUND((SUMIFS($X$7:X438,$A$7:A438,A438,$K$7:K438,K438,$M$7:M438,"Mapped")-X438)*U438,2),"")</x:f>
      </x:c>
      <x:c r="W438" s="1" t="str">
        <x:f>IF(B438="","",IF(OR(NOT(ISNUMBER(I438)),I438&lt;0),"Invalid hours",IF(NOT(ISNUMBER(R438)),"Manual hours",IF(ROUND(I438*3600000,0)=R438,"Source hours","Adjusted hours"))))</x:f>
      </x:c>
      <x:c r="X438" s="10" t="str">
        <x:f>IF(B438="","",IF(AND(ISNUMBER(I438),I438&gt;=0,Q438="In period"),I438,""))</x:f>
      </x:c>
    </x:row>
    <x:row r="439" ht="23" customHeight="1">
      <x:c r="A439" s="3"/>
      <x:c r="B439" s="3"/>
      <x:c r="C439" s="3"/>
      <x:c r="D439" s="3"/>
      <x:c r="E439" s="3"/>
      <x:c r="F439" s="3"/>
      <x:c r="G439" s="3"/>
      <x:c r="H439" s="3"/>
      <x:c r="I439" s="9"/>
      <x:c r="J439" s="3"/>
      <x:c r="K439" s="3"/>
      <x:c r="L439" s="3"/>
      <x:c r="M439" s="1" t="str">
        <x:f>IF(B439="","",IF(W439="Invalid hours","Invalid hours",IF(NOT(ISNUMBER(X439)),"Excluded",IF(AND(J439&lt;&gt;"",K439&lt;&gt;"",L439&lt;&gt;"",COUNTIF('SOW caps'!$N$7:$N$36,A439&amp;"|"&amp;K439)=1),"Mapped","Needs allocation"))))</x:f>
      </x:c>
      <x:c r="N439" s="8" t="str">
        <x:f>IF(B439="","",IF(M439="Mapped",_xlfn.XLOOKUP(A439&amp;"|"&amp;K439,'SOW caps'!$N$7:$N$36,'SOW caps'!$E$7:$E$36,""),IF(ISNUMBER('SOW caps'!$B$3),'SOW caps'!$B$3,"")))</x:f>
      </x:c>
      <x:c r="O439" s="8" t="str">
        <x:f>IF(AND(ISNUMBER(X439),ISNUMBER(N439),N439&gt;=0),X439*N439,"")</x:f>
      </x:c>
      <x:c r="P439" s="3"/>
      <x:c r="Q439" s="3"/>
      <x:c r="R439" s="3"/>
      <x:c r="S439" s="3"/>
      <x:c r="T439" s="3"/>
      <x:c r="U439" s="8" t="str">
        <x:f>IF(M439="Mapped",IF(OR(_xlfn.XLOOKUP(A439&amp;"|"&amp;K439,'SOW caps'!$N$7:$N$36,'SOW caps'!$M$7:$M$36,"")="Ready",_xlfn.XLOOKUP(A439&amp;"|"&amp;K439,'SOW caps'!$N$7:$N$36,'SOW caps'!$M$7:$M$36,"")="No hours"),_xlfn.XLOOKUP(A439&amp;"|"&amp;K439,'SOW caps'!$N$7:$N$36,'SOW caps'!$O$7:$O$36,""),""),"")</x:f>
      </x:c>
      <x:c r="V439" s="8" t="str">
        <x:f>IF(AND(ISNUMBER(U439),ISNUMBER(X439)),ROUND(SUMIFS($X$7:X439,$A$7:A439,A439,$K$7:K439,K439,$M$7:M439,"Mapped")*U439,2)-ROUND((SUMIFS($X$7:X439,$A$7:A439,A439,$K$7:K439,K439,$M$7:M439,"Mapped")-X439)*U439,2),"")</x:f>
      </x:c>
      <x:c r="W439" s="1" t="str">
        <x:f>IF(B439="","",IF(OR(NOT(ISNUMBER(I439)),I439&lt;0),"Invalid hours",IF(NOT(ISNUMBER(R439)),"Manual hours",IF(ROUND(I439*3600000,0)=R439,"Source hours","Adjusted hours"))))</x:f>
      </x:c>
      <x:c r="X439" s="10" t="str">
        <x:f>IF(B439="","",IF(AND(ISNUMBER(I439),I439&gt;=0,Q439="In period"),I439,""))</x:f>
      </x:c>
    </x:row>
    <x:row r="440" ht="23" customHeight="1">
      <x:c r="A440" s="3"/>
      <x:c r="B440" s="3"/>
      <x:c r="C440" s="3"/>
      <x:c r="D440" s="3"/>
      <x:c r="E440" s="3"/>
      <x:c r="F440" s="3"/>
      <x:c r="G440" s="3"/>
      <x:c r="H440" s="3"/>
      <x:c r="I440" s="9"/>
      <x:c r="J440" s="3"/>
      <x:c r="K440" s="3"/>
      <x:c r="L440" s="3"/>
      <x:c r="M440" s="1" t="str">
        <x:f>IF(B440="","",IF(W440="Invalid hours","Invalid hours",IF(NOT(ISNUMBER(X440)),"Excluded",IF(AND(J440&lt;&gt;"",K440&lt;&gt;"",L440&lt;&gt;"",COUNTIF('SOW caps'!$N$7:$N$36,A440&amp;"|"&amp;K440)=1),"Mapped","Needs allocation"))))</x:f>
      </x:c>
      <x:c r="N440" s="8" t="str">
        <x:f>IF(B440="","",IF(M440="Mapped",_xlfn.XLOOKUP(A440&amp;"|"&amp;K440,'SOW caps'!$N$7:$N$36,'SOW caps'!$E$7:$E$36,""),IF(ISNUMBER('SOW caps'!$B$3),'SOW caps'!$B$3,"")))</x:f>
      </x:c>
      <x:c r="O440" s="8" t="str">
        <x:f>IF(AND(ISNUMBER(X440),ISNUMBER(N440),N440&gt;=0),X440*N440,"")</x:f>
      </x:c>
      <x:c r="P440" s="3"/>
      <x:c r="Q440" s="3"/>
      <x:c r="R440" s="3"/>
      <x:c r="S440" s="3"/>
      <x:c r="T440" s="3"/>
      <x:c r="U440" s="8" t="str">
        <x:f>IF(M440="Mapped",IF(OR(_xlfn.XLOOKUP(A440&amp;"|"&amp;K440,'SOW caps'!$N$7:$N$36,'SOW caps'!$M$7:$M$36,"")="Ready",_xlfn.XLOOKUP(A440&amp;"|"&amp;K440,'SOW caps'!$N$7:$N$36,'SOW caps'!$M$7:$M$36,"")="No hours"),_xlfn.XLOOKUP(A440&amp;"|"&amp;K440,'SOW caps'!$N$7:$N$36,'SOW caps'!$O$7:$O$36,""),""),"")</x:f>
      </x:c>
      <x:c r="V440" s="8" t="str">
        <x:f>IF(AND(ISNUMBER(U440),ISNUMBER(X440)),ROUND(SUMIFS($X$7:X440,$A$7:A440,A440,$K$7:K440,K440,$M$7:M440,"Mapped")*U440,2)-ROUND((SUMIFS($X$7:X440,$A$7:A440,A440,$K$7:K440,K440,$M$7:M440,"Mapped")-X440)*U440,2),"")</x:f>
      </x:c>
      <x:c r="W440" s="1" t="str">
        <x:f>IF(B440="","",IF(OR(NOT(ISNUMBER(I440)),I440&lt;0),"Invalid hours",IF(NOT(ISNUMBER(R440)),"Manual hours",IF(ROUND(I440*3600000,0)=R440,"Source hours","Adjusted hours"))))</x:f>
      </x:c>
      <x:c r="X440" s="10" t="str">
        <x:f>IF(B440="","",IF(AND(ISNUMBER(I440),I440&gt;=0,Q440="In period"),I440,""))</x:f>
      </x:c>
    </x:row>
    <x:row r="441" ht="23" customHeight="1">
      <x:c r="A441" s="3"/>
      <x:c r="B441" s="3"/>
      <x:c r="C441" s="3"/>
      <x:c r="D441" s="3"/>
      <x:c r="E441" s="3"/>
      <x:c r="F441" s="3"/>
      <x:c r="G441" s="3"/>
      <x:c r="H441" s="3"/>
      <x:c r="I441" s="9"/>
      <x:c r="J441" s="3"/>
      <x:c r="K441" s="3"/>
      <x:c r="L441" s="3"/>
      <x:c r="M441" s="1" t="str">
        <x:f>IF(B441="","",IF(W441="Invalid hours","Invalid hours",IF(NOT(ISNUMBER(X441)),"Excluded",IF(AND(J441&lt;&gt;"",K441&lt;&gt;"",L441&lt;&gt;"",COUNTIF('SOW caps'!$N$7:$N$36,A441&amp;"|"&amp;K441)=1),"Mapped","Needs allocation"))))</x:f>
      </x:c>
      <x:c r="N441" s="8" t="str">
        <x:f>IF(B441="","",IF(M441="Mapped",_xlfn.XLOOKUP(A441&amp;"|"&amp;K441,'SOW caps'!$N$7:$N$36,'SOW caps'!$E$7:$E$36,""),IF(ISNUMBER('SOW caps'!$B$3),'SOW caps'!$B$3,"")))</x:f>
      </x:c>
      <x:c r="O441" s="8" t="str">
        <x:f>IF(AND(ISNUMBER(X441),ISNUMBER(N441),N441&gt;=0),X441*N441,"")</x:f>
      </x:c>
      <x:c r="P441" s="3"/>
      <x:c r="Q441" s="3"/>
      <x:c r="R441" s="3"/>
      <x:c r="S441" s="3"/>
      <x:c r="T441" s="3"/>
      <x:c r="U441" s="8" t="str">
        <x:f>IF(M441="Mapped",IF(OR(_xlfn.XLOOKUP(A441&amp;"|"&amp;K441,'SOW caps'!$N$7:$N$36,'SOW caps'!$M$7:$M$36,"")="Ready",_xlfn.XLOOKUP(A441&amp;"|"&amp;K441,'SOW caps'!$N$7:$N$36,'SOW caps'!$M$7:$M$36,"")="No hours"),_xlfn.XLOOKUP(A441&amp;"|"&amp;K441,'SOW caps'!$N$7:$N$36,'SOW caps'!$O$7:$O$36,""),""),"")</x:f>
      </x:c>
      <x:c r="V441" s="8" t="str">
        <x:f>IF(AND(ISNUMBER(U441),ISNUMBER(X441)),ROUND(SUMIFS($X$7:X441,$A$7:A441,A441,$K$7:K441,K441,$M$7:M441,"Mapped")*U441,2)-ROUND((SUMIFS($X$7:X441,$A$7:A441,A441,$K$7:K441,K441,$M$7:M441,"Mapped")-X441)*U441,2),"")</x:f>
      </x:c>
      <x:c r="W441" s="1" t="str">
        <x:f>IF(B441="","",IF(OR(NOT(ISNUMBER(I441)),I441&lt;0),"Invalid hours",IF(NOT(ISNUMBER(R441)),"Manual hours",IF(ROUND(I441*3600000,0)=R441,"Source hours","Adjusted hours"))))</x:f>
      </x:c>
      <x:c r="X441" s="10" t="str">
        <x:f>IF(B441="","",IF(AND(ISNUMBER(I441),I441&gt;=0,Q441="In period"),I441,""))</x:f>
      </x:c>
    </x:row>
    <x:row r="442" ht="23" customHeight="1">
      <x:c r="A442" s="3"/>
      <x:c r="B442" s="3"/>
      <x:c r="C442" s="3"/>
      <x:c r="D442" s="3"/>
      <x:c r="E442" s="3"/>
      <x:c r="F442" s="3"/>
      <x:c r="G442" s="3"/>
      <x:c r="H442" s="3"/>
      <x:c r="I442" s="9"/>
      <x:c r="J442" s="3"/>
      <x:c r="K442" s="3"/>
      <x:c r="L442" s="3"/>
      <x:c r="M442" s="1" t="str">
        <x:f>IF(B442="","",IF(W442="Invalid hours","Invalid hours",IF(NOT(ISNUMBER(X442)),"Excluded",IF(AND(J442&lt;&gt;"",K442&lt;&gt;"",L442&lt;&gt;"",COUNTIF('SOW caps'!$N$7:$N$36,A442&amp;"|"&amp;K442)=1),"Mapped","Needs allocation"))))</x:f>
      </x:c>
      <x:c r="N442" s="8" t="str">
        <x:f>IF(B442="","",IF(M442="Mapped",_xlfn.XLOOKUP(A442&amp;"|"&amp;K442,'SOW caps'!$N$7:$N$36,'SOW caps'!$E$7:$E$36,""),IF(ISNUMBER('SOW caps'!$B$3),'SOW caps'!$B$3,"")))</x:f>
      </x:c>
      <x:c r="O442" s="8" t="str">
        <x:f>IF(AND(ISNUMBER(X442),ISNUMBER(N442),N442&gt;=0),X442*N442,"")</x:f>
      </x:c>
      <x:c r="P442" s="3"/>
      <x:c r="Q442" s="3"/>
      <x:c r="R442" s="3"/>
      <x:c r="S442" s="3"/>
      <x:c r="T442" s="3"/>
      <x:c r="U442" s="8" t="str">
        <x:f>IF(M442="Mapped",IF(OR(_xlfn.XLOOKUP(A442&amp;"|"&amp;K442,'SOW caps'!$N$7:$N$36,'SOW caps'!$M$7:$M$36,"")="Ready",_xlfn.XLOOKUP(A442&amp;"|"&amp;K442,'SOW caps'!$N$7:$N$36,'SOW caps'!$M$7:$M$36,"")="No hours"),_xlfn.XLOOKUP(A442&amp;"|"&amp;K442,'SOW caps'!$N$7:$N$36,'SOW caps'!$O$7:$O$36,""),""),"")</x:f>
      </x:c>
      <x:c r="V442" s="8" t="str">
        <x:f>IF(AND(ISNUMBER(U442),ISNUMBER(X442)),ROUND(SUMIFS($X$7:X442,$A$7:A442,A442,$K$7:K442,K442,$M$7:M442,"Mapped")*U442,2)-ROUND((SUMIFS($X$7:X442,$A$7:A442,A442,$K$7:K442,K442,$M$7:M442,"Mapped")-X442)*U442,2),"")</x:f>
      </x:c>
      <x:c r="W442" s="1" t="str">
        <x:f>IF(B442="","",IF(OR(NOT(ISNUMBER(I442)),I442&lt;0),"Invalid hours",IF(NOT(ISNUMBER(R442)),"Manual hours",IF(ROUND(I442*3600000,0)=R442,"Source hours","Adjusted hours"))))</x:f>
      </x:c>
      <x:c r="X442" s="10" t="str">
        <x:f>IF(B442="","",IF(AND(ISNUMBER(I442),I442&gt;=0,Q442="In period"),I442,""))</x:f>
      </x:c>
    </x:row>
    <x:row r="443" ht="23" customHeight="1">
      <x:c r="A443" s="3"/>
      <x:c r="B443" s="3"/>
      <x:c r="C443" s="3"/>
      <x:c r="D443" s="3"/>
      <x:c r="E443" s="3"/>
      <x:c r="F443" s="3"/>
      <x:c r="G443" s="3"/>
      <x:c r="H443" s="3"/>
      <x:c r="I443" s="9"/>
      <x:c r="J443" s="3"/>
      <x:c r="K443" s="3"/>
      <x:c r="L443" s="3"/>
      <x:c r="M443" s="1" t="str">
        <x:f>IF(B443="","",IF(W443="Invalid hours","Invalid hours",IF(NOT(ISNUMBER(X443)),"Excluded",IF(AND(J443&lt;&gt;"",K443&lt;&gt;"",L443&lt;&gt;"",COUNTIF('SOW caps'!$N$7:$N$36,A443&amp;"|"&amp;K443)=1),"Mapped","Needs allocation"))))</x:f>
      </x:c>
      <x:c r="N443" s="8" t="str">
        <x:f>IF(B443="","",IF(M443="Mapped",_xlfn.XLOOKUP(A443&amp;"|"&amp;K443,'SOW caps'!$N$7:$N$36,'SOW caps'!$E$7:$E$36,""),IF(ISNUMBER('SOW caps'!$B$3),'SOW caps'!$B$3,"")))</x:f>
      </x:c>
      <x:c r="O443" s="8" t="str">
        <x:f>IF(AND(ISNUMBER(X443),ISNUMBER(N443),N443&gt;=0),X443*N443,"")</x:f>
      </x:c>
      <x:c r="P443" s="3"/>
      <x:c r="Q443" s="3"/>
      <x:c r="R443" s="3"/>
      <x:c r="S443" s="3"/>
      <x:c r="T443" s="3"/>
      <x:c r="U443" s="8" t="str">
        <x:f>IF(M443="Mapped",IF(OR(_xlfn.XLOOKUP(A443&amp;"|"&amp;K443,'SOW caps'!$N$7:$N$36,'SOW caps'!$M$7:$M$36,"")="Ready",_xlfn.XLOOKUP(A443&amp;"|"&amp;K443,'SOW caps'!$N$7:$N$36,'SOW caps'!$M$7:$M$36,"")="No hours"),_xlfn.XLOOKUP(A443&amp;"|"&amp;K443,'SOW caps'!$N$7:$N$36,'SOW caps'!$O$7:$O$36,""),""),"")</x:f>
      </x:c>
      <x:c r="V443" s="8" t="str">
        <x:f>IF(AND(ISNUMBER(U443),ISNUMBER(X443)),ROUND(SUMIFS($X$7:X443,$A$7:A443,A443,$K$7:K443,K443,$M$7:M443,"Mapped")*U443,2)-ROUND((SUMIFS($X$7:X443,$A$7:A443,A443,$K$7:K443,K443,$M$7:M443,"Mapped")-X443)*U443,2),"")</x:f>
      </x:c>
      <x:c r="W443" s="1" t="str">
        <x:f>IF(B443="","",IF(OR(NOT(ISNUMBER(I443)),I443&lt;0),"Invalid hours",IF(NOT(ISNUMBER(R443)),"Manual hours",IF(ROUND(I443*3600000,0)=R443,"Source hours","Adjusted hours"))))</x:f>
      </x:c>
      <x:c r="X443" s="10" t="str">
        <x:f>IF(B443="","",IF(AND(ISNUMBER(I443),I443&gt;=0,Q443="In period"),I443,""))</x:f>
      </x:c>
    </x:row>
    <x:row r="444" ht="23" customHeight="1">
      <x:c r="A444" s="3"/>
      <x:c r="B444" s="3"/>
      <x:c r="C444" s="3"/>
      <x:c r="D444" s="3"/>
      <x:c r="E444" s="3"/>
      <x:c r="F444" s="3"/>
      <x:c r="G444" s="3"/>
      <x:c r="H444" s="3"/>
      <x:c r="I444" s="9"/>
      <x:c r="J444" s="3"/>
      <x:c r="K444" s="3"/>
      <x:c r="L444" s="3"/>
      <x:c r="M444" s="1" t="str">
        <x:f>IF(B444="","",IF(W444="Invalid hours","Invalid hours",IF(NOT(ISNUMBER(X444)),"Excluded",IF(AND(J444&lt;&gt;"",K444&lt;&gt;"",L444&lt;&gt;"",COUNTIF('SOW caps'!$N$7:$N$36,A444&amp;"|"&amp;K444)=1),"Mapped","Needs allocation"))))</x:f>
      </x:c>
      <x:c r="N444" s="8" t="str">
        <x:f>IF(B444="","",IF(M444="Mapped",_xlfn.XLOOKUP(A444&amp;"|"&amp;K444,'SOW caps'!$N$7:$N$36,'SOW caps'!$E$7:$E$36,""),IF(ISNUMBER('SOW caps'!$B$3),'SOW caps'!$B$3,"")))</x:f>
      </x:c>
      <x:c r="O444" s="8" t="str">
        <x:f>IF(AND(ISNUMBER(X444),ISNUMBER(N444),N444&gt;=0),X444*N444,"")</x:f>
      </x:c>
      <x:c r="P444" s="3"/>
      <x:c r="Q444" s="3"/>
      <x:c r="R444" s="3"/>
      <x:c r="S444" s="3"/>
      <x:c r="T444" s="3"/>
      <x:c r="U444" s="8" t="str">
        <x:f>IF(M444="Mapped",IF(OR(_xlfn.XLOOKUP(A444&amp;"|"&amp;K444,'SOW caps'!$N$7:$N$36,'SOW caps'!$M$7:$M$36,"")="Ready",_xlfn.XLOOKUP(A444&amp;"|"&amp;K444,'SOW caps'!$N$7:$N$36,'SOW caps'!$M$7:$M$36,"")="No hours"),_xlfn.XLOOKUP(A444&amp;"|"&amp;K444,'SOW caps'!$N$7:$N$36,'SOW caps'!$O$7:$O$36,""),""),"")</x:f>
      </x:c>
      <x:c r="V444" s="8" t="str">
        <x:f>IF(AND(ISNUMBER(U444),ISNUMBER(X444)),ROUND(SUMIFS($X$7:X444,$A$7:A444,A444,$K$7:K444,K444,$M$7:M444,"Mapped")*U444,2)-ROUND((SUMIFS($X$7:X444,$A$7:A444,A444,$K$7:K444,K444,$M$7:M444,"Mapped")-X444)*U444,2),"")</x:f>
      </x:c>
      <x:c r="W444" s="1" t="str">
        <x:f>IF(B444="","",IF(OR(NOT(ISNUMBER(I444)),I444&lt;0),"Invalid hours",IF(NOT(ISNUMBER(R444)),"Manual hours",IF(ROUND(I444*3600000,0)=R444,"Source hours","Adjusted hours"))))</x:f>
      </x:c>
      <x:c r="X444" s="10" t="str">
        <x:f>IF(B444="","",IF(AND(ISNUMBER(I444),I444&gt;=0,Q444="In period"),I444,""))</x:f>
      </x:c>
    </x:row>
    <x:row r="445" ht="23" customHeight="1">
      <x:c r="A445" s="3"/>
      <x:c r="B445" s="3"/>
      <x:c r="C445" s="3"/>
      <x:c r="D445" s="3"/>
      <x:c r="E445" s="3"/>
      <x:c r="F445" s="3"/>
      <x:c r="G445" s="3"/>
      <x:c r="H445" s="3"/>
      <x:c r="I445" s="9"/>
      <x:c r="J445" s="3"/>
      <x:c r="K445" s="3"/>
      <x:c r="L445" s="3"/>
      <x:c r="M445" s="1" t="str">
        <x:f>IF(B445="","",IF(W445="Invalid hours","Invalid hours",IF(NOT(ISNUMBER(X445)),"Excluded",IF(AND(J445&lt;&gt;"",K445&lt;&gt;"",L445&lt;&gt;"",COUNTIF('SOW caps'!$N$7:$N$36,A445&amp;"|"&amp;K445)=1),"Mapped","Needs allocation"))))</x:f>
      </x:c>
      <x:c r="N445" s="8" t="str">
        <x:f>IF(B445="","",IF(M445="Mapped",_xlfn.XLOOKUP(A445&amp;"|"&amp;K445,'SOW caps'!$N$7:$N$36,'SOW caps'!$E$7:$E$36,""),IF(ISNUMBER('SOW caps'!$B$3),'SOW caps'!$B$3,"")))</x:f>
      </x:c>
      <x:c r="O445" s="8" t="str">
        <x:f>IF(AND(ISNUMBER(X445),ISNUMBER(N445),N445&gt;=0),X445*N445,"")</x:f>
      </x:c>
      <x:c r="P445" s="3"/>
      <x:c r="Q445" s="3"/>
      <x:c r="R445" s="3"/>
      <x:c r="S445" s="3"/>
      <x:c r="T445" s="3"/>
      <x:c r="U445" s="8" t="str">
        <x:f>IF(M445="Mapped",IF(OR(_xlfn.XLOOKUP(A445&amp;"|"&amp;K445,'SOW caps'!$N$7:$N$36,'SOW caps'!$M$7:$M$36,"")="Ready",_xlfn.XLOOKUP(A445&amp;"|"&amp;K445,'SOW caps'!$N$7:$N$36,'SOW caps'!$M$7:$M$36,"")="No hours"),_xlfn.XLOOKUP(A445&amp;"|"&amp;K445,'SOW caps'!$N$7:$N$36,'SOW caps'!$O$7:$O$36,""),""),"")</x:f>
      </x:c>
      <x:c r="V445" s="8" t="str">
        <x:f>IF(AND(ISNUMBER(U445),ISNUMBER(X445)),ROUND(SUMIFS($X$7:X445,$A$7:A445,A445,$K$7:K445,K445,$M$7:M445,"Mapped")*U445,2)-ROUND((SUMIFS($X$7:X445,$A$7:A445,A445,$K$7:K445,K445,$M$7:M445,"Mapped")-X445)*U445,2),"")</x:f>
      </x:c>
      <x:c r="W445" s="1" t="str">
        <x:f>IF(B445="","",IF(OR(NOT(ISNUMBER(I445)),I445&lt;0),"Invalid hours",IF(NOT(ISNUMBER(R445)),"Manual hours",IF(ROUND(I445*3600000,0)=R445,"Source hours","Adjusted hours"))))</x:f>
      </x:c>
      <x:c r="X445" s="10" t="str">
        <x:f>IF(B445="","",IF(AND(ISNUMBER(I445),I445&gt;=0,Q445="In period"),I445,""))</x:f>
      </x:c>
    </x:row>
    <x:row r="446" ht="23" customHeight="1">
      <x:c r="A446" s="3"/>
      <x:c r="B446" s="3"/>
      <x:c r="C446" s="3"/>
      <x:c r="D446" s="3"/>
      <x:c r="E446" s="3"/>
      <x:c r="F446" s="3"/>
      <x:c r="G446" s="3"/>
      <x:c r="H446" s="3"/>
      <x:c r="I446" s="9"/>
      <x:c r="J446" s="3"/>
      <x:c r="K446" s="3"/>
      <x:c r="L446" s="3"/>
      <x:c r="M446" s="1" t="str">
        <x:f>IF(B446="","",IF(W446="Invalid hours","Invalid hours",IF(NOT(ISNUMBER(X446)),"Excluded",IF(AND(J446&lt;&gt;"",K446&lt;&gt;"",L446&lt;&gt;"",COUNTIF('SOW caps'!$N$7:$N$36,A446&amp;"|"&amp;K446)=1),"Mapped","Needs allocation"))))</x:f>
      </x:c>
      <x:c r="N446" s="8" t="str">
        <x:f>IF(B446="","",IF(M446="Mapped",_xlfn.XLOOKUP(A446&amp;"|"&amp;K446,'SOW caps'!$N$7:$N$36,'SOW caps'!$E$7:$E$36,""),IF(ISNUMBER('SOW caps'!$B$3),'SOW caps'!$B$3,"")))</x:f>
      </x:c>
      <x:c r="O446" s="8" t="str">
        <x:f>IF(AND(ISNUMBER(X446),ISNUMBER(N446),N446&gt;=0),X446*N446,"")</x:f>
      </x:c>
      <x:c r="P446" s="3"/>
      <x:c r="Q446" s="3"/>
      <x:c r="R446" s="3"/>
      <x:c r="S446" s="3"/>
      <x:c r="T446" s="3"/>
      <x:c r="U446" s="8" t="str">
        <x:f>IF(M446="Mapped",IF(OR(_xlfn.XLOOKUP(A446&amp;"|"&amp;K446,'SOW caps'!$N$7:$N$36,'SOW caps'!$M$7:$M$36,"")="Ready",_xlfn.XLOOKUP(A446&amp;"|"&amp;K446,'SOW caps'!$N$7:$N$36,'SOW caps'!$M$7:$M$36,"")="No hours"),_xlfn.XLOOKUP(A446&amp;"|"&amp;K446,'SOW caps'!$N$7:$N$36,'SOW caps'!$O$7:$O$36,""),""),"")</x:f>
      </x:c>
      <x:c r="V446" s="8" t="str">
        <x:f>IF(AND(ISNUMBER(U446),ISNUMBER(X446)),ROUND(SUMIFS($X$7:X446,$A$7:A446,A446,$K$7:K446,K446,$M$7:M446,"Mapped")*U446,2)-ROUND((SUMIFS($X$7:X446,$A$7:A446,A446,$K$7:K446,K446,$M$7:M446,"Mapped")-X446)*U446,2),"")</x:f>
      </x:c>
      <x:c r="W446" s="1" t="str">
        <x:f>IF(B446="","",IF(OR(NOT(ISNUMBER(I446)),I446&lt;0),"Invalid hours",IF(NOT(ISNUMBER(R446)),"Manual hours",IF(ROUND(I446*3600000,0)=R446,"Source hours","Adjusted hours"))))</x:f>
      </x:c>
      <x:c r="X446" s="10" t="str">
        <x:f>IF(B446="","",IF(AND(ISNUMBER(I446),I446&gt;=0,Q446="In period"),I446,""))</x:f>
      </x:c>
    </x:row>
    <x:row r="447" ht="23" customHeight="1">
      <x:c r="A447" s="3"/>
      <x:c r="B447" s="3"/>
      <x:c r="C447" s="3"/>
      <x:c r="D447" s="3"/>
      <x:c r="E447" s="3"/>
      <x:c r="F447" s="3"/>
      <x:c r="G447" s="3"/>
      <x:c r="H447" s="3"/>
      <x:c r="I447" s="9"/>
      <x:c r="J447" s="3"/>
      <x:c r="K447" s="3"/>
      <x:c r="L447" s="3"/>
      <x:c r="M447" s="1" t="str">
        <x:f>IF(B447="","",IF(W447="Invalid hours","Invalid hours",IF(NOT(ISNUMBER(X447)),"Excluded",IF(AND(J447&lt;&gt;"",K447&lt;&gt;"",L447&lt;&gt;"",COUNTIF('SOW caps'!$N$7:$N$36,A447&amp;"|"&amp;K447)=1),"Mapped","Needs allocation"))))</x:f>
      </x:c>
      <x:c r="N447" s="8" t="str">
        <x:f>IF(B447="","",IF(M447="Mapped",_xlfn.XLOOKUP(A447&amp;"|"&amp;K447,'SOW caps'!$N$7:$N$36,'SOW caps'!$E$7:$E$36,""),IF(ISNUMBER('SOW caps'!$B$3),'SOW caps'!$B$3,"")))</x:f>
      </x:c>
      <x:c r="O447" s="8" t="str">
        <x:f>IF(AND(ISNUMBER(X447),ISNUMBER(N447),N447&gt;=0),X447*N447,"")</x:f>
      </x:c>
      <x:c r="P447" s="3"/>
      <x:c r="Q447" s="3"/>
      <x:c r="R447" s="3"/>
      <x:c r="S447" s="3"/>
      <x:c r="T447" s="3"/>
      <x:c r="U447" s="8" t="str">
        <x:f>IF(M447="Mapped",IF(OR(_xlfn.XLOOKUP(A447&amp;"|"&amp;K447,'SOW caps'!$N$7:$N$36,'SOW caps'!$M$7:$M$36,"")="Ready",_xlfn.XLOOKUP(A447&amp;"|"&amp;K447,'SOW caps'!$N$7:$N$36,'SOW caps'!$M$7:$M$36,"")="No hours"),_xlfn.XLOOKUP(A447&amp;"|"&amp;K447,'SOW caps'!$N$7:$N$36,'SOW caps'!$O$7:$O$36,""),""),"")</x:f>
      </x:c>
      <x:c r="V447" s="8" t="str">
        <x:f>IF(AND(ISNUMBER(U447),ISNUMBER(X447)),ROUND(SUMIFS($X$7:X447,$A$7:A447,A447,$K$7:K447,K447,$M$7:M447,"Mapped")*U447,2)-ROUND((SUMIFS($X$7:X447,$A$7:A447,A447,$K$7:K447,K447,$M$7:M447,"Mapped")-X447)*U447,2),"")</x:f>
      </x:c>
      <x:c r="W447" s="1" t="str">
        <x:f>IF(B447="","",IF(OR(NOT(ISNUMBER(I447)),I447&lt;0),"Invalid hours",IF(NOT(ISNUMBER(R447)),"Manual hours",IF(ROUND(I447*3600000,0)=R447,"Source hours","Adjusted hours"))))</x:f>
      </x:c>
      <x:c r="X447" s="10" t="str">
        <x:f>IF(B447="","",IF(AND(ISNUMBER(I447),I447&gt;=0,Q447="In period"),I447,""))</x:f>
      </x:c>
    </x:row>
    <x:row r="448" ht="23" customHeight="1">
      <x:c r="A448" s="3"/>
      <x:c r="B448" s="3"/>
      <x:c r="C448" s="3"/>
      <x:c r="D448" s="3"/>
      <x:c r="E448" s="3"/>
      <x:c r="F448" s="3"/>
      <x:c r="G448" s="3"/>
      <x:c r="H448" s="3"/>
      <x:c r="I448" s="9"/>
      <x:c r="J448" s="3"/>
      <x:c r="K448" s="3"/>
      <x:c r="L448" s="3"/>
      <x:c r="M448" s="1" t="str">
        <x:f>IF(B448="","",IF(W448="Invalid hours","Invalid hours",IF(NOT(ISNUMBER(X448)),"Excluded",IF(AND(J448&lt;&gt;"",K448&lt;&gt;"",L448&lt;&gt;"",COUNTIF('SOW caps'!$N$7:$N$36,A448&amp;"|"&amp;K448)=1),"Mapped","Needs allocation"))))</x:f>
      </x:c>
      <x:c r="N448" s="8" t="str">
        <x:f>IF(B448="","",IF(M448="Mapped",_xlfn.XLOOKUP(A448&amp;"|"&amp;K448,'SOW caps'!$N$7:$N$36,'SOW caps'!$E$7:$E$36,""),IF(ISNUMBER('SOW caps'!$B$3),'SOW caps'!$B$3,"")))</x:f>
      </x:c>
      <x:c r="O448" s="8" t="str">
        <x:f>IF(AND(ISNUMBER(X448),ISNUMBER(N448),N448&gt;=0),X448*N448,"")</x:f>
      </x:c>
      <x:c r="P448" s="3"/>
      <x:c r="Q448" s="3"/>
      <x:c r="R448" s="3"/>
      <x:c r="S448" s="3"/>
      <x:c r="T448" s="3"/>
      <x:c r="U448" s="8" t="str">
        <x:f>IF(M448="Mapped",IF(OR(_xlfn.XLOOKUP(A448&amp;"|"&amp;K448,'SOW caps'!$N$7:$N$36,'SOW caps'!$M$7:$M$36,"")="Ready",_xlfn.XLOOKUP(A448&amp;"|"&amp;K448,'SOW caps'!$N$7:$N$36,'SOW caps'!$M$7:$M$36,"")="No hours"),_xlfn.XLOOKUP(A448&amp;"|"&amp;K448,'SOW caps'!$N$7:$N$36,'SOW caps'!$O$7:$O$36,""),""),"")</x:f>
      </x:c>
      <x:c r="V448" s="8" t="str">
        <x:f>IF(AND(ISNUMBER(U448),ISNUMBER(X448)),ROUND(SUMIFS($X$7:X448,$A$7:A448,A448,$K$7:K448,K448,$M$7:M448,"Mapped")*U448,2)-ROUND((SUMIFS($X$7:X448,$A$7:A448,A448,$K$7:K448,K448,$M$7:M448,"Mapped")-X448)*U448,2),"")</x:f>
      </x:c>
      <x:c r="W448" s="1" t="str">
        <x:f>IF(B448="","",IF(OR(NOT(ISNUMBER(I448)),I448&lt;0),"Invalid hours",IF(NOT(ISNUMBER(R448)),"Manual hours",IF(ROUND(I448*3600000,0)=R448,"Source hours","Adjusted hours"))))</x:f>
      </x:c>
      <x:c r="X448" s="10" t="str">
        <x:f>IF(B448="","",IF(AND(ISNUMBER(I448),I448&gt;=0,Q448="In period"),I448,""))</x:f>
      </x:c>
    </x:row>
    <x:row r="449" ht="23" customHeight="1">
      <x:c r="A449" s="3"/>
      <x:c r="B449" s="3"/>
      <x:c r="C449" s="3"/>
      <x:c r="D449" s="3"/>
      <x:c r="E449" s="3"/>
      <x:c r="F449" s="3"/>
      <x:c r="G449" s="3"/>
      <x:c r="H449" s="3"/>
      <x:c r="I449" s="9"/>
      <x:c r="J449" s="3"/>
      <x:c r="K449" s="3"/>
      <x:c r="L449" s="3"/>
      <x:c r="M449" s="1" t="str">
        <x:f>IF(B449="","",IF(W449="Invalid hours","Invalid hours",IF(NOT(ISNUMBER(X449)),"Excluded",IF(AND(J449&lt;&gt;"",K449&lt;&gt;"",L449&lt;&gt;"",COUNTIF('SOW caps'!$N$7:$N$36,A449&amp;"|"&amp;K449)=1),"Mapped","Needs allocation"))))</x:f>
      </x:c>
      <x:c r="N449" s="8" t="str">
        <x:f>IF(B449="","",IF(M449="Mapped",_xlfn.XLOOKUP(A449&amp;"|"&amp;K449,'SOW caps'!$N$7:$N$36,'SOW caps'!$E$7:$E$36,""),IF(ISNUMBER('SOW caps'!$B$3),'SOW caps'!$B$3,"")))</x:f>
      </x:c>
      <x:c r="O449" s="8" t="str">
        <x:f>IF(AND(ISNUMBER(X449),ISNUMBER(N449),N449&gt;=0),X449*N449,"")</x:f>
      </x:c>
      <x:c r="P449" s="3"/>
      <x:c r="Q449" s="3"/>
      <x:c r="R449" s="3"/>
      <x:c r="S449" s="3"/>
      <x:c r="T449" s="3"/>
      <x:c r="U449" s="8" t="str">
        <x:f>IF(M449="Mapped",IF(OR(_xlfn.XLOOKUP(A449&amp;"|"&amp;K449,'SOW caps'!$N$7:$N$36,'SOW caps'!$M$7:$M$36,"")="Ready",_xlfn.XLOOKUP(A449&amp;"|"&amp;K449,'SOW caps'!$N$7:$N$36,'SOW caps'!$M$7:$M$36,"")="No hours"),_xlfn.XLOOKUP(A449&amp;"|"&amp;K449,'SOW caps'!$N$7:$N$36,'SOW caps'!$O$7:$O$36,""),""),"")</x:f>
      </x:c>
      <x:c r="V449" s="8" t="str">
        <x:f>IF(AND(ISNUMBER(U449),ISNUMBER(X449)),ROUND(SUMIFS($X$7:X449,$A$7:A449,A449,$K$7:K449,K449,$M$7:M449,"Mapped")*U449,2)-ROUND((SUMIFS($X$7:X449,$A$7:A449,A449,$K$7:K449,K449,$M$7:M449,"Mapped")-X449)*U449,2),"")</x:f>
      </x:c>
      <x:c r="W449" s="1" t="str">
        <x:f>IF(B449="","",IF(OR(NOT(ISNUMBER(I449)),I449&lt;0),"Invalid hours",IF(NOT(ISNUMBER(R449)),"Manual hours",IF(ROUND(I449*3600000,0)=R449,"Source hours","Adjusted hours"))))</x:f>
      </x:c>
      <x:c r="X449" s="10" t="str">
        <x:f>IF(B449="","",IF(AND(ISNUMBER(I449),I449&gt;=0,Q449="In period"),I449,""))</x:f>
      </x:c>
    </x:row>
    <x:row r="450" ht="23" customHeight="1">
      <x:c r="A450" s="3"/>
      <x:c r="B450" s="3"/>
      <x:c r="C450" s="3"/>
      <x:c r="D450" s="3"/>
      <x:c r="E450" s="3"/>
      <x:c r="F450" s="3"/>
      <x:c r="G450" s="3"/>
      <x:c r="H450" s="3"/>
      <x:c r="I450" s="9"/>
      <x:c r="J450" s="3"/>
      <x:c r="K450" s="3"/>
      <x:c r="L450" s="3"/>
      <x:c r="M450" s="1" t="str">
        <x:f>IF(B450="","",IF(W450="Invalid hours","Invalid hours",IF(NOT(ISNUMBER(X450)),"Excluded",IF(AND(J450&lt;&gt;"",K450&lt;&gt;"",L450&lt;&gt;"",COUNTIF('SOW caps'!$N$7:$N$36,A450&amp;"|"&amp;K450)=1),"Mapped","Needs allocation"))))</x:f>
      </x:c>
      <x:c r="N450" s="8" t="str">
        <x:f>IF(B450="","",IF(M450="Mapped",_xlfn.XLOOKUP(A450&amp;"|"&amp;K450,'SOW caps'!$N$7:$N$36,'SOW caps'!$E$7:$E$36,""),IF(ISNUMBER('SOW caps'!$B$3),'SOW caps'!$B$3,"")))</x:f>
      </x:c>
      <x:c r="O450" s="8" t="str">
        <x:f>IF(AND(ISNUMBER(X450),ISNUMBER(N450),N450&gt;=0),X450*N450,"")</x:f>
      </x:c>
      <x:c r="P450" s="3"/>
      <x:c r="Q450" s="3"/>
      <x:c r="R450" s="3"/>
      <x:c r="S450" s="3"/>
      <x:c r="T450" s="3"/>
      <x:c r="U450" s="8" t="str">
        <x:f>IF(M450="Mapped",IF(OR(_xlfn.XLOOKUP(A450&amp;"|"&amp;K450,'SOW caps'!$N$7:$N$36,'SOW caps'!$M$7:$M$36,"")="Ready",_xlfn.XLOOKUP(A450&amp;"|"&amp;K450,'SOW caps'!$N$7:$N$36,'SOW caps'!$M$7:$M$36,"")="No hours"),_xlfn.XLOOKUP(A450&amp;"|"&amp;K450,'SOW caps'!$N$7:$N$36,'SOW caps'!$O$7:$O$36,""),""),"")</x:f>
      </x:c>
      <x:c r="V450" s="8" t="str">
        <x:f>IF(AND(ISNUMBER(U450),ISNUMBER(X450)),ROUND(SUMIFS($X$7:X450,$A$7:A450,A450,$K$7:K450,K450,$M$7:M450,"Mapped")*U450,2)-ROUND((SUMIFS($X$7:X450,$A$7:A450,A450,$K$7:K450,K450,$M$7:M450,"Mapped")-X450)*U450,2),"")</x:f>
      </x:c>
      <x:c r="W450" s="1" t="str">
        <x:f>IF(B450="","",IF(OR(NOT(ISNUMBER(I450)),I450&lt;0),"Invalid hours",IF(NOT(ISNUMBER(R450)),"Manual hours",IF(ROUND(I450*3600000,0)=R450,"Source hours","Adjusted hours"))))</x:f>
      </x:c>
      <x:c r="X450" s="10" t="str">
        <x:f>IF(B450="","",IF(AND(ISNUMBER(I450),I450&gt;=0,Q450="In period"),I450,""))</x:f>
      </x:c>
    </x:row>
    <x:row r="451" ht="23" customHeight="1">
      <x:c r="A451" s="3"/>
      <x:c r="B451" s="3"/>
      <x:c r="C451" s="3"/>
      <x:c r="D451" s="3"/>
      <x:c r="E451" s="3"/>
      <x:c r="F451" s="3"/>
      <x:c r="G451" s="3"/>
      <x:c r="H451" s="3"/>
      <x:c r="I451" s="9"/>
      <x:c r="J451" s="3"/>
      <x:c r="K451" s="3"/>
      <x:c r="L451" s="3"/>
      <x:c r="M451" s="1" t="str">
        <x:f>IF(B451="","",IF(W451="Invalid hours","Invalid hours",IF(NOT(ISNUMBER(X451)),"Excluded",IF(AND(J451&lt;&gt;"",K451&lt;&gt;"",L451&lt;&gt;"",COUNTIF('SOW caps'!$N$7:$N$36,A451&amp;"|"&amp;K451)=1),"Mapped","Needs allocation"))))</x:f>
      </x:c>
      <x:c r="N451" s="8" t="str">
        <x:f>IF(B451="","",IF(M451="Mapped",_xlfn.XLOOKUP(A451&amp;"|"&amp;K451,'SOW caps'!$N$7:$N$36,'SOW caps'!$E$7:$E$36,""),IF(ISNUMBER('SOW caps'!$B$3),'SOW caps'!$B$3,"")))</x:f>
      </x:c>
      <x:c r="O451" s="8" t="str">
        <x:f>IF(AND(ISNUMBER(X451),ISNUMBER(N451),N451&gt;=0),X451*N451,"")</x:f>
      </x:c>
      <x:c r="P451" s="3"/>
      <x:c r="Q451" s="3"/>
      <x:c r="R451" s="3"/>
      <x:c r="S451" s="3"/>
      <x:c r="T451" s="3"/>
      <x:c r="U451" s="8" t="str">
        <x:f>IF(M451="Mapped",IF(OR(_xlfn.XLOOKUP(A451&amp;"|"&amp;K451,'SOW caps'!$N$7:$N$36,'SOW caps'!$M$7:$M$36,"")="Ready",_xlfn.XLOOKUP(A451&amp;"|"&amp;K451,'SOW caps'!$N$7:$N$36,'SOW caps'!$M$7:$M$36,"")="No hours"),_xlfn.XLOOKUP(A451&amp;"|"&amp;K451,'SOW caps'!$N$7:$N$36,'SOW caps'!$O$7:$O$36,""),""),"")</x:f>
      </x:c>
      <x:c r="V451" s="8" t="str">
        <x:f>IF(AND(ISNUMBER(U451),ISNUMBER(X451)),ROUND(SUMIFS($X$7:X451,$A$7:A451,A451,$K$7:K451,K451,$M$7:M451,"Mapped")*U451,2)-ROUND((SUMIFS($X$7:X451,$A$7:A451,A451,$K$7:K451,K451,$M$7:M451,"Mapped")-X451)*U451,2),"")</x:f>
      </x:c>
      <x:c r="W451" s="1" t="str">
        <x:f>IF(B451="","",IF(OR(NOT(ISNUMBER(I451)),I451&lt;0),"Invalid hours",IF(NOT(ISNUMBER(R451)),"Manual hours",IF(ROUND(I451*3600000,0)=R451,"Source hours","Adjusted hours"))))</x:f>
      </x:c>
      <x:c r="X451" s="10" t="str">
        <x:f>IF(B451="","",IF(AND(ISNUMBER(I451),I451&gt;=0,Q451="In period"),I451,""))</x:f>
      </x:c>
    </x:row>
    <x:row r="452" ht="23" customHeight="1">
      <x:c r="A452" s="3"/>
      <x:c r="B452" s="3"/>
      <x:c r="C452" s="3"/>
      <x:c r="D452" s="3"/>
      <x:c r="E452" s="3"/>
      <x:c r="F452" s="3"/>
      <x:c r="G452" s="3"/>
      <x:c r="H452" s="3"/>
      <x:c r="I452" s="9"/>
      <x:c r="J452" s="3"/>
      <x:c r="K452" s="3"/>
      <x:c r="L452" s="3"/>
      <x:c r="M452" s="1" t="str">
        <x:f>IF(B452="","",IF(W452="Invalid hours","Invalid hours",IF(NOT(ISNUMBER(X452)),"Excluded",IF(AND(J452&lt;&gt;"",K452&lt;&gt;"",L452&lt;&gt;"",COUNTIF('SOW caps'!$N$7:$N$36,A452&amp;"|"&amp;K452)=1),"Mapped","Needs allocation"))))</x:f>
      </x:c>
      <x:c r="N452" s="8" t="str">
        <x:f>IF(B452="","",IF(M452="Mapped",_xlfn.XLOOKUP(A452&amp;"|"&amp;K452,'SOW caps'!$N$7:$N$36,'SOW caps'!$E$7:$E$36,""),IF(ISNUMBER('SOW caps'!$B$3),'SOW caps'!$B$3,"")))</x:f>
      </x:c>
      <x:c r="O452" s="8" t="str">
        <x:f>IF(AND(ISNUMBER(X452),ISNUMBER(N452),N452&gt;=0),X452*N452,"")</x:f>
      </x:c>
      <x:c r="P452" s="3"/>
      <x:c r="Q452" s="3"/>
      <x:c r="R452" s="3"/>
      <x:c r="S452" s="3"/>
      <x:c r="T452" s="3"/>
      <x:c r="U452" s="8" t="str">
        <x:f>IF(M452="Mapped",IF(OR(_xlfn.XLOOKUP(A452&amp;"|"&amp;K452,'SOW caps'!$N$7:$N$36,'SOW caps'!$M$7:$M$36,"")="Ready",_xlfn.XLOOKUP(A452&amp;"|"&amp;K452,'SOW caps'!$N$7:$N$36,'SOW caps'!$M$7:$M$36,"")="No hours"),_xlfn.XLOOKUP(A452&amp;"|"&amp;K452,'SOW caps'!$N$7:$N$36,'SOW caps'!$O$7:$O$36,""),""),"")</x:f>
      </x:c>
      <x:c r="V452" s="8" t="str">
        <x:f>IF(AND(ISNUMBER(U452),ISNUMBER(X452)),ROUND(SUMIFS($X$7:X452,$A$7:A452,A452,$K$7:K452,K452,$M$7:M452,"Mapped")*U452,2)-ROUND((SUMIFS($X$7:X452,$A$7:A452,A452,$K$7:K452,K452,$M$7:M452,"Mapped")-X452)*U452,2),"")</x:f>
      </x:c>
      <x:c r="W452" s="1" t="str">
        <x:f>IF(B452="","",IF(OR(NOT(ISNUMBER(I452)),I452&lt;0),"Invalid hours",IF(NOT(ISNUMBER(R452)),"Manual hours",IF(ROUND(I452*3600000,0)=R452,"Source hours","Adjusted hours"))))</x:f>
      </x:c>
      <x:c r="X452" s="10" t="str">
        <x:f>IF(B452="","",IF(AND(ISNUMBER(I452),I452&gt;=0,Q452="In period"),I452,""))</x:f>
      </x:c>
    </x:row>
    <x:row r="453" ht="23" customHeight="1">
      <x:c r="A453" s="3"/>
      <x:c r="B453" s="3"/>
      <x:c r="C453" s="3"/>
      <x:c r="D453" s="3"/>
      <x:c r="E453" s="3"/>
      <x:c r="F453" s="3"/>
      <x:c r="G453" s="3"/>
      <x:c r="H453" s="3"/>
      <x:c r="I453" s="9"/>
      <x:c r="J453" s="3"/>
      <x:c r="K453" s="3"/>
      <x:c r="L453" s="3"/>
      <x:c r="M453" s="1" t="str">
        <x:f>IF(B453="","",IF(W453="Invalid hours","Invalid hours",IF(NOT(ISNUMBER(X453)),"Excluded",IF(AND(J453&lt;&gt;"",K453&lt;&gt;"",L453&lt;&gt;"",COUNTIF('SOW caps'!$N$7:$N$36,A453&amp;"|"&amp;K453)=1),"Mapped","Needs allocation"))))</x:f>
      </x:c>
      <x:c r="N453" s="8" t="str">
        <x:f>IF(B453="","",IF(M453="Mapped",_xlfn.XLOOKUP(A453&amp;"|"&amp;K453,'SOW caps'!$N$7:$N$36,'SOW caps'!$E$7:$E$36,""),IF(ISNUMBER('SOW caps'!$B$3),'SOW caps'!$B$3,"")))</x:f>
      </x:c>
      <x:c r="O453" s="8" t="str">
        <x:f>IF(AND(ISNUMBER(X453),ISNUMBER(N453),N453&gt;=0),X453*N453,"")</x:f>
      </x:c>
      <x:c r="P453" s="3"/>
      <x:c r="Q453" s="3"/>
      <x:c r="R453" s="3"/>
      <x:c r="S453" s="3"/>
      <x:c r="T453" s="3"/>
      <x:c r="U453" s="8" t="str">
        <x:f>IF(M453="Mapped",IF(OR(_xlfn.XLOOKUP(A453&amp;"|"&amp;K453,'SOW caps'!$N$7:$N$36,'SOW caps'!$M$7:$M$36,"")="Ready",_xlfn.XLOOKUP(A453&amp;"|"&amp;K453,'SOW caps'!$N$7:$N$36,'SOW caps'!$M$7:$M$36,"")="No hours"),_xlfn.XLOOKUP(A453&amp;"|"&amp;K453,'SOW caps'!$N$7:$N$36,'SOW caps'!$O$7:$O$36,""),""),"")</x:f>
      </x:c>
      <x:c r="V453" s="8" t="str">
        <x:f>IF(AND(ISNUMBER(U453),ISNUMBER(X453)),ROUND(SUMIFS($X$7:X453,$A$7:A453,A453,$K$7:K453,K453,$M$7:M453,"Mapped")*U453,2)-ROUND((SUMIFS($X$7:X453,$A$7:A453,A453,$K$7:K453,K453,$M$7:M453,"Mapped")-X453)*U453,2),"")</x:f>
      </x:c>
      <x:c r="W453" s="1" t="str">
        <x:f>IF(B453="","",IF(OR(NOT(ISNUMBER(I453)),I453&lt;0),"Invalid hours",IF(NOT(ISNUMBER(R453)),"Manual hours",IF(ROUND(I453*3600000,0)=R453,"Source hours","Adjusted hours"))))</x:f>
      </x:c>
      <x:c r="X453" s="10" t="str">
        <x:f>IF(B453="","",IF(AND(ISNUMBER(I453),I453&gt;=0,Q453="In period"),I453,""))</x:f>
      </x:c>
    </x:row>
    <x:row r="454" ht="23" customHeight="1">
      <x:c r="A454" s="3"/>
      <x:c r="B454" s="3"/>
      <x:c r="C454" s="3"/>
      <x:c r="D454" s="3"/>
      <x:c r="E454" s="3"/>
      <x:c r="F454" s="3"/>
      <x:c r="G454" s="3"/>
      <x:c r="H454" s="3"/>
      <x:c r="I454" s="9"/>
      <x:c r="J454" s="3"/>
      <x:c r="K454" s="3"/>
      <x:c r="L454" s="3"/>
      <x:c r="M454" s="1" t="str">
        <x:f>IF(B454="","",IF(W454="Invalid hours","Invalid hours",IF(NOT(ISNUMBER(X454)),"Excluded",IF(AND(J454&lt;&gt;"",K454&lt;&gt;"",L454&lt;&gt;"",COUNTIF('SOW caps'!$N$7:$N$36,A454&amp;"|"&amp;K454)=1),"Mapped","Needs allocation"))))</x:f>
      </x:c>
      <x:c r="N454" s="8" t="str">
        <x:f>IF(B454="","",IF(M454="Mapped",_xlfn.XLOOKUP(A454&amp;"|"&amp;K454,'SOW caps'!$N$7:$N$36,'SOW caps'!$E$7:$E$36,""),IF(ISNUMBER('SOW caps'!$B$3),'SOW caps'!$B$3,"")))</x:f>
      </x:c>
      <x:c r="O454" s="8" t="str">
        <x:f>IF(AND(ISNUMBER(X454),ISNUMBER(N454),N454&gt;=0),X454*N454,"")</x:f>
      </x:c>
      <x:c r="P454" s="3"/>
      <x:c r="Q454" s="3"/>
      <x:c r="R454" s="3"/>
      <x:c r="S454" s="3"/>
      <x:c r="T454" s="3"/>
      <x:c r="U454" s="8" t="str">
        <x:f>IF(M454="Mapped",IF(OR(_xlfn.XLOOKUP(A454&amp;"|"&amp;K454,'SOW caps'!$N$7:$N$36,'SOW caps'!$M$7:$M$36,"")="Ready",_xlfn.XLOOKUP(A454&amp;"|"&amp;K454,'SOW caps'!$N$7:$N$36,'SOW caps'!$M$7:$M$36,"")="No hours"),_xlfn.XLOOKUP(A454&amp;"|"&amp;K454,'SOW caps'!$N$7:$N$36,'SOW caps'!$O$7:$O$36,""),""),"")</x:f>
      </x:c>
      <x:c r="V454" s="8" t="str">
        <x:f>IF(AND(ISNUMBER(U454),ISNUMBER(X454)),ROUND(SUMIFS($X$7:X454,$A$7:A454,A454,$K$7:K454,K454,$M$7:M454,"Mapped")*U454,2)-ROUND((SUMIFS($X$7:X454,$A$7:A454,A454,$K$7:K454,K454,$M$7:M454,"Mapped")-X454)*U454,2),"")</x:f>
      </x:c>
      <x:c r="W454" s="1" t="str">
        <x:f>IF(B454="","",IF(OR(NOT(ISNUMBER(I454)),I454&lt;0),"Invalid hours",IF(NOT(ISNUMBER(R454)),"Manual hours",IF(ROUND(I454*3600000,0)=R454,"Source hours","Adjusted hours"))))</x:f>
      </x:c>
      <x:c r="X454" s="10" t="str">
        <x:f>IF(B454="","",IF(AND(ISNUMBER(I454),I454&gt;=0,Q454="In period"),I454,""))</x:f>
      </x:c>
    </x:row>
    <x:row r="455" ht="23" customHeight="1">
      <x:c r="A455" s="3"/>
      <x:c r="B455" s="3"/>
      <x:c r="C455" s="3"/>
      <x:c r="D455" s="3"/>
      <x:c r="E455" s="3"/>
      <x:c r="F455" s="3"/>
      <x:c r="G455" s="3"/>
      <x:c r="H455" s="3"/>
      <x:c r="I455" s="9"/>
      <x:c r="J455" s="3"/>
      <x:c r="K455" s="3"/>
      <x:c r="L455" s="3"/>
      <x:c r="M455" s="1" t="str">
        <x:f>IF(B455="","",IF(W455="Invalid hours","Invalid hours",IF(NOT(ISNUMBER(X455)),"Excluded",IF(AND(J455&lt;&gt;"",K455&lt;&gt;"",L455&lt;&gt;"",COUNTIF('SOW caps'!$N$7:$N$36,A455&amp;"|"&amp;K455)=1),"Mapped","Needs allocation"))))</x:f>
      </x:c>
      <x:c r="N455" s="8" t="str">
        <x:f>IF(B455="","",IF(M455="Mapped",_xlfn.XLOOKUP(A455&amp;"|"&amp;K455,'SOW caps'!$N$7:$N$36,'SOW caps'!$E$7:$E$36,""),IF(ISNUMBER('SOW caps'!$B$3),'SOW caps'!$B$3,"")))</x:f>
      </x:c>
      <x:c r="O455" s="8" t="str">
        <x:f>IF(AND(ISNUMBER(X455),ISNUMBER(N455),N455&gt;=0),X455*N455,"")</x:f>
      </x:c>
      <x:c r="P455" s="3"/>
      <x:c r="Q455" s="3"/>
      <x:c r="R455" s="3"/>
      <x:c r="S455" s="3"/>
      <x:c r="T455" s="3"/>
      <x:c r="U455" s="8" t="str">
        <x:f>IF(M455="Mapped",IF(OR(_xlfn.XLOOKUP(A455&amp;"|"&amp;K455,'SOW caps'!$N$7:$N$36,'SOW caps'!$M$7:$M$36,"")="Ready",_xlfn.XLOOKUP(A455&amp;"|"&amp;K455,'SOW caps'!$N$7:$N$36,'SOW caps'!$M$7:$M$36,"")="No hours"),_xlfn.XLOOKUP(A455&amp;"|"&amp;K455,'SOW caps'!$N$7:$N$36,'SOW caps'!$O$7:$O$36,""),""),"")</x:f>
      </x:c>
      <x:c r="V455" s="8" t="str">
        <x:f>IF(AND(ISNUMBER(U455),ISNUMBER(X455)),ROUND(SUMIFS($X$7:X455,$A$7:A455,A455,$K$7:K455,K455,$M$7:M455,"Mapped")*U455,2)-ROUND((SUMIFS($X$7:X455,$A$7:A455,A455,$K$7:K455,K455,$M$7:M455,"Mapped")-X455)*U455,2),"")</x:f>
      </x:c>
      <x:c r="W455" s="1" t="str">
        <x:f>IF(B455="","",IF(OR(NOT(ISNUMBER(I455)),I455&lt;0),"Invalid hours",IF(NOT(ISNUMBER(R455)),"Manual hours",IF(ROUND(I455*3600000,0)=R455,"Source hours","Adjusted hours"))))</x:f>
      </x:c>
      <x:c r="X455" s="10" t="str">
        <x:f>IF(B455="","",IF(AND(ISNUMBER(I455),I455&gt;=0,Q455="In period"),I455,""))</x:f>
      </x:c>
    </x:row>
    <x:row r="456" ht="23" customHeight="1">
      <x:c r="A456" s="3"/>
      <x:c r="B456" s="3"/>
      <x:c r="C456" s="3"/>
      <x:c r="D456" s="3"/>
      <x:c r="E456" s="3"/>
      <x:c r="F456" s="3"/>
      <x:c r="G456" s="3"/>
      <x:c r="H456" s="3"/>
      <x:c r="I456" s="9"/>
      <x:c r="J456" s="3"/>
      <x:c r="K456" s="3"/>
      <x:c r="L456" s="3"/>
      <x:c r="M456" s="1" t="str">
        <x:f>IF(B456="","",IF(W456="Invalid hours","Invalid hours",IF(NOT(ISNUMBER(X456)),"Excluded",IF(AND(J456&lt;&gt;"",K456&lt;&gt;"",L456&lt;&gt;"",COUNTIF('SOW caps'!$N$7:$N$36,A456&amp;"|"&amp;K456)=1),"Mapped","Needs allocation"))))</x:f>
      </x:c>
      <x:c r="N456" s="8" t="str">
        <x:f>IF(B456="","",IF(M456="Mapped",_xlfn.XLOOKUP(A456&amp;"|"&amp;K456,'SOW caps'!$N$7:$N$36,'SOW caps'!$E$7:$E$36,""),IF(ISNUMBER('SOW caps'!$B$3),'SOW caps'!$B$3,"")))</x:f>
      </x:c>
      <x:c r="O456" s="8" t="str">
        <x:f>IF(AND(ISNUMBER(X456),ISNUMBER(N456),N456&gt;=0),X456*N456,"")</x:f>
      </x:c>
      <x:c r="P456" s="3"/>
      <x:c r="Q456" s="3"/>
      <x:c r="R456" s="3"/>
      <x:c r="S456" s="3"/>
      <x:c r="T456" s="3"/>
      <x:c r="U456" s="8" t="str">
        <x:f>IF(M456="Mapped",IF(OR(_xlfn.XLOOKUP(A456&amp;"|"&amp;K456,'SOW caps'!$N$7:$N$36,'SOW caps'!$M$7:$M$36,"")="Ready",_xlfn.XLOOKUP(A456&amp;"|"&amp;K456,'SOW caps'!$N$7:$N$36,'SOW caps'!$M$7:$M$36,"")="No hours"),_xlfn.XLOOKUP(A456&amp;"|"&amp;K456,'SOW caps'!$N$7:$N$36,'SOW caps'!$O$7:$O$36,""),""),"")</x:f>
      </x:c>
      <x:c r="V456" s="8" t="str">
        <x:f>IF(AND(ISNUMBER(U456),ISNUMBER(X456)),ROUND(SUMIFS($X$7:X456,$A$7:A456,A456,$K$7:K456,K456,$M$7:M456,"Mapped")*U456,2)-ROUND((SUMIFS($X$7:X456,$A$7:A456,A456,$K$7:K456,K456,$M$7:M456,"Mapped")-X456)*U456,2),"")</x:f>
      </x:c>
      <x:c r="W456" s="1" t="str">
        <x:f>IF(B456="","",IF(OR(NOT(ISNUMBER(I456)),I456&lt;0),"Invalid hours",IF(NOT(ISNUMBER(R456)),"Manual hours",IF(ROUND(I456*3600000,0)=R456,"Source hours","Adjusted hours"))))</x:f>
      </x:c>
      <x:c r="X456" s="10" t="str">
        <x:f>IF(B456="","",IF(AND(ISNUMBER(I456),I456&gt;=0,Q456="In period"),I456,""))</x:f>
      </x:c>
    </x:row>
    <x:row r="457" ht="23" customHeight="1">
      <x:c r="A457" s="3"/>
      <x:c r="B457" s="3"/>
      <x:c r="C457" s="3"/>
      <x:c r="D457" s="3"/>
      <x:c r="E457" s="3"/>
      <x:c r="F457" s="3"/>
      <x:c r="G457" s="3"/>
      <x:c r="H457" s="3"/>
      <x:c r="I457" s="9"/>
      <x:c r="J457" s="3"/>
      <x:c r="K457" s="3"/>
      <x:c r="L457" s="3"/>
      <x:c r="M457" s="1" t="str">
        <x:f>IF(B457="","",IF(W457="Invalid hours","Invalid hours",IF(NOT(ISNUMBER(X457)),"Excluded",IF(AND(J457&lt;&gt;"",K457&lt;&gt;"",L457&lt;&gt;"",COUNTIF('SOW caps'!$N$7:$N$36,A457&amp;"|"&amp;K457)=1),"Mapped","Needs allocation"))))</x:f>
      </x:c>
      <x:c r="N457" s="8" t="str">
        <x:f>IF(B457="","",IF(M457="Mapped",_xlfn.XLOOKUP(A457&amp;"|"&amp;K457,'SOW caps'!$N$7:$N$36,'SOW caps'!$E$7:$E$36,""),IF(ISNUMBER('SOW caps'!$B$3),'SOW caps'!$B$3,"")))</x:f>
      </x:c>
      <x:c r="O457" s="8" t="str">
        <x:f>IF(AND(ISNUMBER(X457),ISNUMBER(N457),N457&gt;=0),X457*N457,"")</x:f>
      </x:c>
      <x:c r="P457" s="3"/>
      <x:c r="Q457" s="3"/>
      <x:c r="R457" s="3"/>
      <x:c r="S457" s="3"/>
      <x:c r="T457" s="3"/>
      <x:c r="U457" s="8" t="str">
        <x:f>IF(M457="Mapped",IF(OR(_xlfn.XLOOKUP(A457&amp;"|"&amp;K457,'SOW caps'!$N$7:$N$36,'SOW caps'!$M$7:$M$36,"")="Ready",_xlfn.XLOOKUP(A457&amp;"|"&amp;K457,'SOW caps'!$N$7:$N$36,'SOW caps'!$M$7:$M$36,"")="No hours"),_xlfn.XLOOKUP(A457&amp;"|"&amp;K457,'SOW caps'!$N$7:$N$36,'SOW caps'!$O$7:$O$36,""),""),"")</x:f>
      </x:c>
      <x:c r="V457" s="8" t="str">
        <x:f>IF(AND(ISNUMBER(U457),ISNUMBER(X457)),ROUND(SUMIFS($X$7:X457,$A$7:A457,A457,$K$7:K457,K457,$M$7:M457,"Mapped")*U457,2)-ROUND((SUMIFS($X$7:X457,$A$7:A457,A457,$K$7:K457,K457,$M$7:M457,"Mapped")-X457)*U457,2),"")</x:f>
      </x:c>
      <x:c r="W457" s="1" t="str">
        <x:f>IF(B457="","",IF(OR(NOT(ISNUMBER(I457)),I457&lt;0),"Invalid hours",IF(NOT(ISNUMBER(R457)),"Manual hours",IF(ROUND(I457*3600000,0)=R457,"Source hours","Adjusted hours"))))</x:f>
      </x:c>
      <x:c r="X457" s="10" t="str">
        <x:f>IF(B457="","",IF(AND(ISNUMBER(I457),I457&gt;=0,Q457="In period"),I457,""))</x:f>
      </x:c>
    </x:row>
    <x:row r="458" ht="23" customHeight="1">
      <x:c r="A458" s="3"/>
      <x:c r="B458" s="3"/>
      <x:c r="C458" s="3"/>
      <x:c r="D458" s="3"/>
      <x:c r="E458" s="3"/>
      <x:c r="F458" s="3"/>
      <x:c r="G458" s="3"/>
      <x:c r="H458" s="3"/>
      <x:c r="I458" s="9"/>
      <x:c r="J458" s="3"/>
      <x:c r="K458" s="3"/>
      <x:c r="L458" s="3"/>
      <x:c r="M458" s="1" t="str">
        <x:f>IF(B458="","",IF(W458="Invalid hours","Invalid hours",IF(NOT(ISNUMBER(X458)),"Excluded",IF(AND(J458&lt;&gt;"",K458&lt;&gt;"",L458&lt;&gt;"",COUNTIF('SOW caps'!$N$7:$N$36,A458&amp;"|"&amp;K458)=1),"Mapped","Needs allocation"))))</x:f>
      </x:c>
      <x:c r="N458" s="8" t="str">
        <x:f>IF(B458="","",IF(M458="Mapped",_xlfn.XLOOKUP(A458&amp;"|"&amp;K458,'SOW caps'!$N$7:$N$36,'SOW caps'!$E$7:$E$36,""),IF(ISNUMBER('SOW caps'!$B$3),'SOW caps'!$B$3,"")))</x:f>
      </x:c>
      <x:c r="O458" s="8" t="str">
        <x:f>IF(AND(ISNUMBER(X458),ISNUMBER(N458),N458&gt;=0),X458*N458,"")</x:f>
      </x:c>
      <x:c r="P458" s="3"/>
      <x:c r="Q458" s="3"/>
      <x:c r="R458" s="3"/>
      <x:c r="S458" s="3"/>
      <x:c r="T458" s="3"/>
      <x:c r="U458" s="8" t="str">
        <x:f>IF(M458="Mapped",IF(OR(_xlfn.XLOOKUP(A458&amp;"|"&amp;K458,'SOW caps'!$N$7:$N$36,'SOW caps'!$M$7:$M$36,"")="Ready",_xlfn.XLOOKUP(A458&amp;"|"&amp;K458,'SOW caps'!$N$7:$N$36,'SOW caps'!$M$7:$M$36,"")="No hours"),_xlfn.XLOOKUP(A458&amp;"|"&amp;K458,'SOW caps'!$N$7:$N$36,'SOW caps'!$O$7:$O$36,""),""),"")</x:f>
      </x:c>
      <x:c r="V458" s="8" t="str">
        <x:f>IF(AND(ISNUMBER(U458),ISNUMBER(X458)),ROUND(SUMIFS($X$7:X458,$A$7:A458,A458,$K$7:K458,K458,$M$7:M458,"Mapped")*U458,2)-ROUND((SUMIFS($X$7:X458,$A$7:A458,A458,$K$7:K458,K458,$M$7:M458,"Mapped")-X458)*U458,2),"")</x:f>
      </x:c>
      <x:c r="W458" s="1" t="str">
        <x:f>IF(B458="","",IF(OR(NOT(ISNUMBER(I458)),I458&lt;0),"Invalid hours",IF(NOT(ISNUMBER(R458)),"Manual hours",IF(ROUND(I458*3600000,0)=R458,"Source hours","Adjusted hours"))))</x:f>
      </x:c>
      <x:c r="X458" s="10" t="str">
        <x:f>IF(B458="","",IF(AND(ISNUMBER(I458),I458&gt;=0,Q458="In period"),I458,""))</x:f>
      </x:c>
    </x:row>
    <x:row r="459" ht="23" customHeight="1">
      <x:c r="A459" s="3"/>
      <x:c r="B459" s="3"/>
      <x:c r="C459" s="3"/>
      <x:c r="D459" s="3"/>
      <x:c r="E459" s="3"/>
      <x:c r="F459" s="3"/>
      <x:c r="G459" s="3"/>
      <x:c r="H459" s="3"/>
      <x:c r="I459" s="9"/>
      <x:c r="J459" s="3"/>
      <x:c r="K459" s="3"/>
      <x:c r="L459" s="3"/>
      <x:c r="M459" s="1" t="str">
        <x:f>IF(B459="","",IF(W459="Invalid hours","Invalid hours",IF(NOT(ISNUMBER(X459)),"Excluded",IF(AND(J459&lt;&gt;"",K459&lt;&gt;"",L459&lt;&gt;"",COUNTIF('SOW caps'!$N$7:$N$36,A459&amp;"|"&amp;K459)=1),"Mapped","Needs allocation"))))</x:f>
      </x:c>
      <x:c r="N459" s="8" t="str">
        <x:f>IF(B459="","",IF(M459="Mapped",_xlfn.XLOOKUP(A459&amp;"|"&amp;K459,'SOW caps'!$N$7:$N$36,'SOW caps'!$E$7:$E$36,""),IF(ISNUMBER('SOW caps'!$B$3),'SOW caps'!$B$3,"")))</x:f>
      </x:c>
      <x:c r="O459" s="8" t="str">
        <x:f>IF(AND(ISNUMBER(X459),ISNUMBER(N459),N459&gt;=0),X459*N459,"")</x:f>
      </x:c>
      <x:c r="P459" s="3"/>
      <x:c r="Q459" s="3"/>
      <x:c r="R459" s="3"/>
      <x:c r="S459" s="3"/>
      <x:c r="T459" s="3"/>
      <x:c r="U459" s="8" t="str">
        <x:f>IF(M459="Mapped",IF(OR(_xlfn.XLOOKUP(A459&amp;"|"&amp;K459,'SOW caps'!$N$7:$N$36,'SOW caps'!$M$7:$M$36,"")="Ready",_xlfn.XLOOKUP(A459&amp;"|"&amp;K459,'SOW caps'!$N$7:$N$36,'SOW caps'!$M$7:$M$36,"")="No hours"),_xlfn.XLOOKUP(A459&amp;"|"&amp;K459,'SOW caps'!$N$7:$N$36,'SOW caps'!$O$7:$O$36,""),""),"")</x:f>
      </x:c>
      <x:c r="V459" s="8" t="str">
        <x:f>IF(AND(ISNUMBER(U459),ISNUMBER(X459)),ROUND(SUMIFS($X$7:X459,$A$7:A459,A459,$K$7:K459,K459,$M$7:M459,"Mapped")*U459,2)-ROUND((SUMIFS($X$7:X459,$A$7:A459,A459,$K$7:K459,K459,$M$7:M459,"Mapped")-X459)*U459,2),"")</x:f>
      </x:c>
      <x:c r="W459" s="1" t="str">
        <x:f>IF(B459="","",IF(OR(NOT(ISNUMBER(I459)),I459&lt;0),"Invalid hours",IF(NOT(ISNUMBER(R459)),"Manual hours",IF(ROUND(I459*3600000,0)=R459,"Source hours","Adjusted hours"))))</x:f>
      </x:c>
      <x:c r="X459" s="10" t="str">
        <x:f>IF(B459="","",IF(AND(ISNUMBER(I459),I459&gt;=0,Q459="In period"),I459,""))</x:f>
      </x:c>
    </x:row>
    <x:row r="460" ht="23" customHeight="1">
      <x:c r="A460" s="3"/>
      <x:c r="B460" s="3"/>
      <x:c r="C460" s="3"/>
      <x:c r="D460" s="3"/>
      <x:c r="E460" s="3"/>
      <x:c r="F460" s="3"/>
      <x:c r="G460" s="3"/>
      <x:c r="H460" s="3"/>
      <x:c r="I460" s="9"/>
      <x:c r="J460" s="3"/>
      <x:c r="K460" s="3"/>
      <x:c r="L460" s="3"/>
      <x:c r="M460" s="1" t="str">
        <x:f>IF(B460="","",IF(W460="Invalid hours","Invalid hours",IF(NOT(ISNUMBER(X460)),"Excluded",IF(AND(J460&lt;&gt;"",K460&lt;&gt;"",L460&lt;&gt;"",COUNTIF('SOW caps'!$N$7:$N$36,A460&amp;"|"&amp;K460)=1),"Mapped","Needs allocation"))))</x:f>
      </x:c>
      <x:c r="N460" s="8" t="str">
        <x:f>IF(B460="","",IF(M460="Mapped",_xlfn.XLOOKUP(A460&amp;"|"&amp;K460,'SOW caps'!$N$7:$N$36,'SOW caps'!$E$7:$E$36,""),IF(ISNUMBER('SOW caps'!$B$3),'SOW caps'!$B$3,"")))</x:f>
      </x:c>
      <x:c r="O460" s="8" t="str">
        <x:f>IF(AND(ISNUMBER(X460),ISNUMBER(N460),N460&gt;=0),X460*N460,"")</x:f>
      </x:c>
      <x:c r="P460" s="3"/>
      <x:c r="Q460" s="3"/>
      <x:c r="R460" s="3"/>
      <x:c r="S460" s="3"/>
      <x:c r="T460" s="3"/>
      <x:c r="U460" s="8" t="str">
        <x:f>IF(M460="Mapped",IF(OR(_xlfn.XLOOKUP(A460&amp;"|"&amp;K460,'SOW caps'!$N$7:$N$36,'SOW caps'!$M$7:$M$36,"")="Ready",_xlfn.XLOOKUP(A460&amp;"|"&amp;K460,'SOW caps'!$N$7:$N$36,'SOW caps'!$M$7:$M$36,"")="No hours"),_xlfn.XLOOKUP(A460&amp;"|"&amp;K460,'SOW caps'!$N$7:$N$36,'SOW caps'!$O$7:$O$36,""),""),"")</x:f>
      </x:c>
      <x:c r="V460" s="8" t="str">
        <x:f>IF(AND(ISNUMBER(U460),ISNUMBER(X460)),ROUND(SUMIFS($X$7:X460,$A$7:A460,A460,$K$7:K460,K460,$M$7:M460,"Mapped")*U460,2)-ROUND((SUMIFS($X$7:X460,$A$7:A460,A460,$K$7:K460,K460,$M$7:M460,"Mapped")-X460)*U460,2),"")</x:f>
      </x:c>
      <x:c r="W460" s="1" t="str">
        <x:f>IF(B460="","",IF(OR(NOT(ISNUMBER(I460)),I460&lt;0),"Invalid hours",IF(NOT(ISNUMBER(R460)),"Manual hours",IF(ROUND(I460*3600000,0)=R460,"Source hours","Adjusted hours"))))</x:f>
      </x:c>
      <x:c r="X460" s="10" t="str">
        <x:f>IF(B460="","",IF(AND(ISNUMBER(I460),I460&gt;=0,Q460="In period"),I460,""))</x:f>
      </x:c>
    </x:row>
    <x:row r="461" ht="23" customHeight="1">
      <x:c r="A461" s="3"/>
      <x:c r="B461" s="3"/>
      <x:c r="C461" s="3"/>
      <x:c r="D461" s="3"/>
      <x:c r="E461" s="3"/>
      <x:c r="F461" s="3"/>
      <x:c r="G461" s="3"/>
      <x:c r="H461" s="3"/>
      <x:c r="I461" s="9"/>
      <x:c r="J461" s="3"/>
      <x:c r="K461" s="3"/>
      <x:c r="L461" s="3"/>
      <x:c r="M461" s="1" t="str">
        <x:f>IF(B461="","",IF(W461="Invalid hours","Invalid hours",IF(NOT(ISNUMBER(X461)),"Excluded",IF(AND(J461&lt;&gt;"",K461&lt;&gt;"",L461&lt;&gt;"",COUNTIF('SOW caps'!$N$7:$N$36,A461&amp;"|"&amp;K461)=1),"Mapped","Needs allocation"))))</x:f>
      </x:c>
      <x:c r="N461" s="8" t="str">
        <x:f>IF(B461="","",IF(M461="Mapped",_xlfn.XLOOKUP(A461&amp;"|"&amp;K461,'SOW caps'!$N$7:$N$36,'SOW caps'!$E$7:$E$36,""),IF(ISNUMBER('SOW caps'!$B$3),'SOW caps'!$B$3,"")))</x:f>
      </x:c>
      <x:c r="O461" s="8" t="str">
        <x:f>IF(AND(ISNUMBER(X461),ISNUMBER(N461),N461&gt;=0),X461*N461,"")</x:f>
      </x:c>
      <x:c r="P461" s="3"/>
      <x:c r="Q461" s="3"/>
      <x:c r="R461" s="3"/>
      <x:c r="S461" s="3"/>
      <x:c r="T461" s="3"/>
      <x:c r="U461" s="8" t="str">
        <x:f>IF(M461="Mapped",IF(OR(_xlfn.XLOOKUP(A461&amp;"|"&amp;K461,'SOW caps'!$N$7:$N$36,'SOW caps'!$M$7:$M$36,"")="Ready",_xlfn.XLOOKUP(A461&amp;"|"&amp;K461,'SOW caps'!$N$7:$N$36,'SOW caps'!$M$7:$M$36,"")="No hours"),_xlfn.XLOOKUP(A461&amp;"|"&amp;K461,'SOW caps'!$N$7:$N$36,'SOW caps'!$O$7:$O$36,""),""),"")</x:f>
      </x:c>
      <x:c r="V461" s="8" t="str">
        <x:f>IF(AND(ISNUMBER(U461),ISNUMBER(X461)),ROUND(SUMIFS($X$7:X461,$A$7:A461,A461,$K$7:K461,K461,$M$7:M461,"Mapped")*U461,2)-ROUND((SUMIFS($X$7:X461,$A$7:A461,A461,$K$7:K461,K461,$M$7:M461,"Mapped")-X461)*U461,2),"")</x:f>
      </x:c>
      <x:c r="W461" s="1" t="str">
        <x:f>IF(B461="","",IF(OR(NOT(ISNUMBER(I461)),I461&lt;0),"Invalid hours",IF(NOT(ISNUMBER(R461)),"Manual hours",IF(ROUND(I461*3600000,0)=R461,"Source hours","Adjusted hours"))))</x:f>
      </x:c>
      <x:c r="X461" s="10" t="str">
        <x:f>IF(B461="","",IF(AND(ISNUMBER(I461),I461&gt;=0,Q461="In period"),I461,""))</x:f>
      </x:c>
    </x:row>
    <x:row r="462" ht="23" customHeight="1">
      <x:c r="A462" s="3"/>
      <x:c r="B462" s="3"/>
      <x:c r="C462" s="3"/>
      <x:c r="D462" s="3"/>
      <x:c r="E462" s="3"/>
      <x:c r="F462" s="3"/>
      <x:c r="G462" s="3"/>
      <x:c r="H462" s="3"/>
      <x:c r="I462" s="9"/>
      <x:c r="J462" s="3"/>
      <x:c r="K462" s="3"/>
      <x:c r="L462" s="3"/>
      <x:c r="M462" s="1" t="str">
        <x:f>IF(B462="","",IF(W462="Invalid hours","Invalid hours",IF(NOT(ISNUMBER(X462)),"Excluded",IF(AND(J462&lt;&gt;"",K462&lt;&gt;"",L462&lt;&gt;"",COUNTIF('SOW caps'!$N$7:$N$36,A462&amp;"|"&amp;K462)=1),"Mapped","Needs allocation"))))</x:f>
      </x:c>
      <x:c r="N462" s="8" t="str">
        <x:f>IF(B462="","",IF(M462="Mapped",_xlfn.XLOOKUP(A462&amp;"|"&amp;K462,'SOW caps'!$N$7:$N$36,'SOW caps'!$E$7:$E$36,""),IF(ISNUMBER('SOW caps'!$B$3),'SOW caps'!$B$3,"")))</x:f>
      </x:c>
      <x:c r="O462" s="8" t="str">
        <x:f>IF(AND(ISNUMBER(X462),ISNUMBER(N462),N462&gt;=0),X462*N462,"")</x:f>
      </x:c>
      <x:c r="P462" s="3"/>
      <x:c r="Q462" s="3"/>
      <x:c r="R462" s="3"/>
      <x:c r="S462" s="3"/>
      <x:c r="T462" s="3"/>
      <x:c r="U462" s="8" t="str">
        <x:f>IF(M462="Mapped",IF(OR(_xlfn.XLOOKUP(A462&amp;"|"&amp;K462,'SOW caps'!$N$7:$N$36,'SOW caps'!$M$7:$M$36,"")="Ready",_xlfn.XLOOKUP(A462&amp;"|"&amp;K462,'SOW caps'!$N$7:$N$36,'SOW caps'!$M$7:$M$36,"")="No hours"),_xlfn.XLOOKUP(A462&amp;"|"&amp;K462,'SOW caps'!$N$7:$N$36,'SOW caps'!$O$7:$O$36,""),""),"")</x:f>
      </x:c>
      <x:c r="V462" s="8" t="str">
        <x:f>IF(AND(ISNUMBER(U462),ISNUMBER(X462)),ROUND(SUMIFS($X$7:X462,$A$7:A462,A462,$K$7:K462,K462,$M$7:M462,"Mapped")*U462,2)-ROUND((SUMIFS($X$7:X462,$A$7:A462,A462,$K$7:K462,K462,$M$7:M462,"Mapped")-X462)*U462,2),"")</x:f>
      </x:c>
      <x:c r="W462" s="1" t="str">
        <x:f>IF(B462="","",IF(OR(NOT(ISNUMBER(I462)),I462&lt;0),"Invalid hours",IF(NOT(ISNUMBER(R462)),"Manual hours",IF(ROUND(I462*3600000,0)=R462,"Source hours","Adjusted hours"))))</x:f>
      </x:c>
      <x:c r="X462" s="10" t="str">
        <x:f>IF(B462="","",IF(AND(ISNUMBER(I462),I462&gt;=0,Q462="In period"),I462,""))</x:f>
      </x:c>
    </x:row>
    <x:row r="463" ht="23" customHeight="1">
      <x:c r="A463" s="3"/>
      <x:c r="B463" s="3"/>
      <x:c r="C463" s="3"/>
      <x:c r="D463" s="3"/>
      <x:c r="E463" s="3"/>
      <x:c r="F463" s="3"/>
      <x:c r="G463" s="3"/>
      <x:c r="H463" s="3"/>
      <x:c r="I463" s="9"/>
      <x:c r="J463" s="3"/>
      <x:c r="K463" s="3"/>
      <x:c r="L463" s="3"/>
      <x:c r="M463" s="1" t="str">
        <x:f>IF(B463="","",IF(W463="Invalid hours","Invalid hours",IF(NOT(ISNUMBER(X463)),"Excluded",IF(AND(J463&lt;&gt;"",K463&lt;&gt;"",L463&lt;&gt;"",COUNTIF('SOW caps'!$N$7:$N$36,A463&amp;"|"&amp;K463)=1),"Mapped","Needs allocation"))))</x:f>
      </x:c>
      <x:c r="N463" s="8" t="str">
        <x:f>IF(B463="","",IF(M463="Mapped",_xlfn.XLOOKUP(A463&amp;"|"&amp;K463,'SOW caps'!$N$7:$N$36,'SOW caps'!$E$7:$E$36,""),IF(ISNUMBER('SOW caps'!$B$3),'SOW caps'!$B$3,"")))</x:f>
      </x:c>
      <x:c r="O463" s="8" t="str">
        <x:f>IF(AND(ISNUMBER(X463),ISNUMBER(N463),N463&gt;=0),X463*N463,"")</x:f>
      </x:c>
      <x:c r="P463" s="3"/>
      <x:c r="Q463" s="3"/>
      <x:c r="R463" s="3"/>
      <x:c r="S463" s="3"/>
      <x:c r="T463" s="3"/>
      <x:c r="U463" s="8" t="str">
        <x:f>IF(M463="Mapped",IF(OR(_xlfn.XLOOKUP(A463&amp;"|"&amp;K463,'SOW caps'!$N$7:$N$36,'SOW caps'!$M$7:$M$36,"")="Ready",_xlfn.XLOOKUP(A463&amp;"|"&amp;K463,'SOW caps'!$N$7:$N$36,'SOW caps'!$M$7:$M$36,"")="No hours"),_xlfn.XLOOKUP(A463&amp;"|"&amp;K463,'SOW caps'!$N$7:$N$36,'SOW caps'!$O$7:$O$36,""),""),"")</x:f>
      </x:c>
      <x:c r="V463" s="8" t="str">
        <x:f>IF(AND(ISNUMBER(U463),ISNUMBER(X463)),ROUND(SUMIFS($X$7:X463,$A$7:A463,A463,$K$7:K463,K463,$M$7:M463,"Mapped")*U463,2)-ROUND((SUMIFS($X$7:X463,$A$7:A463,A463,$K$7:K463,K463,$M$7:M463,"Mapped")-X463)*U463,2),"")</x:f>
      </x:c>
      <x:c r="W463" s="1" t="str">
        <x:f>IF(B463="","",IF(OR(NOT(ISNUMBER(I463)),I463&lt;0),"Invalid hours",IF(NOT(ISNUMBER(R463)),"Manual hours",IF(ROUND(I463*3600000,0)=R463,"Source hours","Adjusted hours"))))</x:f>
      </x:c>
      <x:c r="X463" s="10" t="str">
        <x:f>IF(B463="","",IF(AND(ISNUMBER(I463),I463&gt;=0,Q463="In period"),I463,""))</x:f>
      </x:c>
    </x:row>
    <x:row r="464" ht="23" customHeight="1">
      <x:c r="A464" s="3"/>
      <x:c r="B464" s="3"/>
      <x:c r="C464" s="3"/>
      <x:c r="D464" s="3"/>
      <x:c r="E464" s="3"/>
      <x:c r="F464" s="3"/>
      <x:c r="G464" s="3"/>
      <x:c r="H464" s="3"/>
      <x:c r="I464" s="9"/>
      <x:c r="J464" s="3"/>
      <x:c r="K464" s="3"/>
      <x:c r="L464" s="3"/>
      <x:c r="M464" s="1" t="str">
        <x:f>IF(B464="","",IF(W464="Invalid hours","Invalid hours",IF(NOT(ISNUMBER(X464)),"Excluded",IF(AND(J464&lt;&gt;"",K464&lt;&gt;"",L464&lt;&gt;"",COUNTIF('SOW caps'!$N$7:$N$36,A464&amp;"|"&amp;K464)=1),"Mapped","Needs allocation"))))</x:f>
      </x:c>
      <x:c r="N464" s="8" t="str">
        <x:f>IF(B464="","",IF(M464="Mapped",_xlfn.XLOOKUP(A464&amp;"|"&amp;K464,'SOW caps'!$N$7:$N$36,'SOW caps'!$E$7:$E$36,""),IF(ISNUMBER('SOW caps'!$B$3),'SOW caps'!$B$3,"")))</x:f>
      </x:c>
      <x:c r="O464" s="8" t="str">
        <x:f>IF(AND(ISNUMBER(X464),ISNUMBER(N464),N464&gt;=0),X464*N464,"")</x:f>
      </x:c>
      <x:c r="P464" s="3"/>
      <x:c r="Q464" s="3"/>
      <x:c r="R464" s="3"/>
      <x:c r="S464" s="3"/>
      <x:c r="T464" s="3"/>
      <x:c r="U464" s="8" t="str">
        <x:f>IF(M464="Mapped",IF(OR(_xlfn.XLOOKUP(A464&amp;"|"&amp;K464,'SOW caps'!$N$7:$N$36,'SOW caps'!$M$7:$M$36,"")="Ready",_xlfn.XLOOKUP(A464&amp;"|"&amp;K464,'SOW caps'!$N$7:$N$36,'SOW caps'!$M$7:$M$36,"")="No hours"),_xlfn.XLOOKUP(A464&amp;"|"&amp;K464,'SOW caps'!$N$7:$N$36,'SOW caps'!$O$7:$O$36,""),""),"")</x:f>
      </x:c>
      <x:c r="V464" s="8" t="str">
        <x:f>IF(AND(ISNUMBER(U464),ISNUMBER(X464)),ROUND(SUMIFS($X$7:X464,$A$7:A464,A464,$K$7:K464,K464,$M$7:M464,"Mapped")*U464,2)-ROUND((SUMIFS($X$7:X464,$A$7:A464,A464,$K$7:K464,K464,$M$7:M464,"Mapped")-X464)*U464,2),"")</x:f>
      </x:c>
      <x:c r="W464" s="1" t="str">
        <x:f>IF(B464="","",IF(OR(NOT(ISNUMBER(I464)),I464&lt;0),"Invalid hours",IF(NOT(ISNUMBER(R464)),"Manual hours",IF(ROUND(I464*3600000,0)=R464,"Source hours","Adjusted hours"))))</x:f>
      </x:c>
      <x:c r="X464" s="10" t="str">
        <x:f>IF(B464="","",IF(AND(ISNUMBER(I464),I464&gt;=0,Q464="In period"),I464,""))</x:f>
      </x:c>
    </x:row>
    <x:row r="465" ht="23" customHeight="1">
      <x:c r="A465" s="3"/>
      <x:c r="B465" s="3"/>
      <x:c r="C465" s="3"/>
      <x:c r="D465" s="3"/>
      <x:c r="E465" s="3"/>
      <x:c r="F465" s="3"/>
      <x:c r="G465" s="3"/>
      <x:c r="H465" s="3"/>
      <x:c r="I465" s="9"/>
      <x:c r="J465" s="3"/>
      <x:c r="K465" s="3"/>
      <x:c r="L465" s="3"/>
      <x:c r="M465" s="1" t="str">
        <x:f>IF(B465="","",IF(W465="Invalid hours","Invalid hours",IF(NOT(ISNUMBER(X465)),"Excluded",IF(AND(J465&lt;&gt;"",K465&lt;&gt;"",L465&lt;&gt;"",COUNTIF('SOW caps'!$N$7:$N$36,A465&amp;"|"&amp;K465)=1),"Mapped","Needs allocation"))))</x:f>
      </x:c>
      <x:c r="N465" s="8" t="str">
        <x:f>IF(B465="","",IF(M465="Mapped",_xlfn.XLOOKUP(A465&amp;"|"&amp;K465,'SOW caps'!$N$7:$N$36,'SOW caps'!$E$7:$E$36,""),IF(ISNUMBER('SOW caps'!$B$3),'SOW caps'!$B$3,"")))</x:f>
      </x:c>
      <x:c r="O465" s="8" t="str">
        <x:f>IF(AND(ISNUMBER(X465),ISNUMBER(N465),N465&gt;=0),X465*N465,"")</x:f>
      </x:c>
      <x:c r="P465" s="3"/>
      <x:c r="Q465" s="3"/>
      <x:c r="R465" s="3"/>
      <x:c r="S465" s="3"/>
      <x:c r="T465" s="3"/>
      <x:c r="U465" s="8" t="str">
        <x:f>IF(M465="Mapped",IF(OR(_xlfn.XLOOKUP(A465&amp;"|"&amp;K465,'SOW caps'!$N$7:$N$36,'SOW caps'!$M$7:$M$36,"")="Ready",_xlfn.XLOOKUP(A465&amp;"|"&amp;K465,'SOW caps'!$N$7:$N$36,'SOW caps'!$M$7:$M$36,"")="No hours"),_xlfn.XLOOKUP(A465&amp;"|"&amp;K465,'SOW caps'!$N$7:$N$36,'SOW caps'!$O$7:$O$36,""),""),"")</x:f>
      </x:c>
      <x:c r="V465" s="8" t="str">
        <x:f>IF(AND(ISNUMBER(U465),ISNUMBER(X465)),ROUND(SUMIFS($X$7:X465,$A$7:A465,A465,$K$7:K465,K465,$M$7:M465,"Mapped")*U465,2)-ROUND((SUMIFS($X$7:X465,$A$7:A465,A465,$K$7:K465,K465,$M$7:M465,"Mapped")-X465)*U465,2),"")</x:f>
      </x:c>
      <x:c r="W465" s="1" t="str">
        <x:f>IF(B465="","",IF(OR(NOT(ISNUMBER(I465)),I465&lt;0),"Invalid hours",IF(NOT(ISNUMBER(R465)),"Manual hours",IF(ROUND(I465*3600000,0)=R465,"Source hours","Adjusted hours"))))</x:f>
      </x:c>
      <x:c r="X465" s="10" t="str">
        <x:f>IF(B465="","",IF(AND(ISNUMBER(I465),I465&gt;=0,Q465="In period"),I465,""))</x:f>
      </x:c>
    </x:row>
    <x:row r="466" ht="23" customHeight="1">
      <x:c r="A466" s="3"/>
      <x:c r="B466" s="3"/>
      <x:c r="C466" s="3"/>
      <x:c r="D466" s="3"/>
      <x:c r="E466" s="3"/>
      <x:c r="F466" s="3"/>
      <x:c r="G466" s="3"/>
      <x:c r="H466" s="3"/>
      <x:c r="I466" s="9"/>
      <x:c r="J466" s="3"/>
      <x:c r="K466" s="3"/>
      <x:c r="L466" s="3"/>
      <x:c r="M466" s="1" t="str">
        <x:f>IF(B466="","",IF(W466="Invalid hours","Invalid hours",IF(NOT(ISNUMBER(X466)),"Excluded",IF(AND(J466&lt;&gt;"",K466&lt;&gt;"",L466&lt;&gt;"",COUNTIF('SOW caps'!$N$7:$N$36,A466&amp;"|"&amp;K466)=1),"Mapped","Needs allocation"))))</x:f>
      </x:c>
      <x:c r="N466" s="8" t="str">
        <x:f>IF(B466="","",IF(M466="Mapped",_xlfn.XLOOKUP(A466&amp;"|"&amp;K466,'SOW caps'!$N$7:$N$36,'SOW caps'!$E$7:$E$36,""),IF(ISNUMBER('SOW caps'!$B$3),'SOW caps'!$B$3,"")))</x:f>
      </x:c>
      <x:c r="O466" s="8" t="str">
        <x:f>IF(AND(ISNUMBER(X466),ISNUMBER(N466),N466&gt;=0),X466*N466,"")</x:f>
      </x:c>
      <x:c r="P466" s="3"/>
      <x:c r="Q466" s="3"/>
      <x:c r="R466" s="3"/>
      <x:c r="S466" s="3"/>
      <x:c r="T466" s="3"/>
      <x:c r="U466" s="8" t="str">
        <x:f>IF(M466="Mapped",IF(OR(_xlfn.XLOOKUP(A466&amp;"|"&amp;K466,'SOW caps'!$N$7:$N$36,'SOW caps'!$M$7:$M$36,"")="Ready",_xlfn.XLOOKUP(A466&amp;"|"&amp;K466,'SOW caps'!$N$7:$N$36,'SOW caps'!$M$7:$M$36,"")="No hours"),_xlfn.XLOOKUP(A466&amp;"|"&amp;K466,'SOW caps'!$N$7:$N$36,'SOW caps'!$O$7:$O$36,""),""),"")</x:f>
      </x:c>
      <x:c r="V466" s="8" t="str">
        <x:f>IF(AND(ISNUMBER(U466),ISNUMBER(X466)),ROUND(SUMIFS($X$7:X466,$A$7:A466,A466,$K$7:K466,K466,$M$7:M466,"Mapped")*U466,2)-ROUND((SUMIFS($X$7:X466,$A$7:A466,A466,$K$7:K466,K466,$M$7:M466,"Mapped")-X466)*U466,2),"")</x:f>
      </x:c>
      <x:c r="W466" s="1" t="str">
        <x:f>IF(B466="","",IF(OR(NOT(ISNUMBER(I466)),I466&lt;0),"Invalid hours",IF(NOT(ISNUMBER(R466)),"Manual hours",IF(ROUND(I466*3600000,0)=R466,"Source hours","Adjusted hours"))))</x:f>
      </x:c>
      <x:c r="X466" s="10" t="str">
        <x:f>IF(B466="","",IF(AND(ISNUMBER(I466),I466&gt;=0,Q466="In period"),I466,""))</x:f>
      </x:c>
    </x:row>
    <x:row r="467" ht="23" customHeight="1">
      <x:c r="A467" s="3"/>
      <x:c r="B467" s="3"/>
      <x:c r="C467" s="3"/>
      <x:c r="D467" s="3"/>
      <x:c r="E467" s="3"/>
      <x:c r="F467" s="3"/>
      <x:c r="G467" s="3"/>
      <x:c r="H467" s="3"/>
      <x:c r="I467" s="9"/>
      <x:c r="J467" s="3"/>
      <x:c r="K467" s="3"/>
      <x:c r="L467" s="3"/>
      <x:c r="M467" s="1" t="str">
        <x:f>IF(B467="","",IF(W467="Invalid hours","Invalid hours",IF(NOT(ISNUMBER(X467)),"Excluded",IF(AND(J467&lt;&gt;"",K467&lt;&gt;"",L467&lt;&gt;"",COUNTIF('SOW caps'!$N$7:$N$36,A467&amp;"|"&amp;K467)=1),"Mapped","Needs allocation"))))</x:f>
      </x:c>
      <x:c r="N467" s="8" t="str">
        <x:f>IF(B467="","",IF(M467="Mapped",_xlfn.XLOOKUP(A467&amp;"|"&amp;K467,'SOW caps'!$N$7:$N$36,'SOW caps'!$E$7:$E$36,""),IF(ISNUMBER('SOW caps'!$B$3),'SOW caps'!$B$3,"")))</x:f>
      </x:c>
      <x:c r="O467" s="8" t="str">
        <x:f>IF(AND(ISNUMBER(X467),ISNUMBER(N467),N467&gt;=0),X467*N467,"")</x:f>
      </x:c>
      <x:c r="P467" s="3"/>
      <x:c r="Q467" s="3"/>
      <x:c r="R467" s="3"/>
      <x:c r="S467" s="3"/>
      <x:c r="T467" s="3"/>
      <x:c r="U467" s="8" t="str">
        <x:f>IF(M467="Mapped",IF(OR(_xlfn.XLOOKUP(A467&amp;"|"&amp;K467,'SOW caps'!$N$7:$N$36,'SOW caps'!$M$7:$M$36,"")="Ready",_xlfn.XLOOKUP(A467&amp;"|"&amp;K467,'SOW caps'!$N$7:$N$36,'SOW caps'!$M$7:$M$36,"")="No hours"),_xlfn.XLOOKUP(A467&amp;"|"&amp;K467,'SOW caps'!$N$7:$N$36,'SOW caps'!$O$7:$O$36,""),""),"")</x:f>
      </x:c>
      <x:c r="V467" s="8" t="str">
        <x:f>IF(AND(ISNUMBER(U467),ISNUMBER(X467)),ROUND(SUMIFS($X$7:X467,$A$7:A467,A467,$K$7:K467,K467,$M$7:M467,"Mapped")*U467,2)-ROUND((SUMIFS($X$7:X467,$A$7:A467,A467,$K$7:K467,K467,$M$7:M467,"Mapped")-X467)*U467,2),"")</x:f>
      </x:c>
      <x:c r="W467" s="1" t="str">
        <x:f>IF(B467="","",IF(OR(NOT(ISNUMBER(I467)),I467&lt;0),"Invalid hours",IF(NOT(ISNUMBER(R467)),"Manual hours",IF(ROUND(I467*3600000,0)=R467,"Source hours","Adjusted hours"))))</x:f>
      </x:c>
      <x:c r="X467" s="10" t="str">
        <x:f>IF(B467="","",IF(AND(ISNUMBER(I467),I467&gt;=0,Q467="In period"),I467,""))</x:f>
      </x:c>
    </x:row>
    <x:row r="468" ht="23" customHeight="1">
      <x:c r="A468" s="3"/>
      <x:c r="B468" s="3"/>
      <x:c r="C468" s="3"/>
      <x:c r="D468" s="3"/>
      <x:c r="E468" s="3"/>
      <x:c r="F468" s="3"/>
      <x:c r="G468" s="3"/>
      <x:c r="H468" s="3"/>
      <x:c r="I468" s="9"/>
      <x:c r="J468" s="3"/>
      <x:c r="K468" s="3"/>
      <x:c r="L468" s="3"/>
      <x:c r="M468" s="1" t="str">
        <x:f>IF(B468="","",IF(W468="Invalid hours","Invalid hours",IF(NOT(ISNUMBER(X468)),"Excluded",IF(AND(J468&lt;&gt;"",K468&lt;&gt;"",L468&lt;&gt;"",COUNTIF('SOW caps'!$N$7:$N$36,A468&amp;"|"&amp;K468)=1),"Mapped","Needs allocation"))))</x:f>
      </x:c>
      <x:c r="N468" s="8" t="str">
        <x:f>IF(B468="","",IF(M468="Mapped",_xlfn.XLOOKUP(A468&amp;"|"&amp;K468,'SOW caps'!$N$7:$N$36,'SOW caps'!$E$7:$E$36,""),IF(ISNUMBER('SOW caps'!$B$3),'SOW caps'!$B$3,"")))</x:f>
      </x:c>
      <x:c r="O468" s="8" t="str">
        <x:f>IF(AND(ISNUMBER(X468),ISNUMBER(N468),N468&gt;=0),X468*N468,"")</x:f>
      </x:c>
      <x:c r="P468" s="3"/>
      <x:c r="Q468" s="3"/>
      <x:c r="R468" s="3"/>
      <x:c r="S468" s="3"/>
      <x:c r="T468" s="3"/>
      <x:c r="U468" s="8" t="str">
        <x:f>IF(M468="Mapped",IF(OR(_xlfn.XLOOKUP(A468&amp;"|"&amp;K468,'SOW caps'!$N$7:$N$36,'SOW caps'!$M$7:$M$36,"")="Ready",_xlfn.XLOOKUP(A468&amp;"|"&amp;K468,'SOW caps'!$N$7:$N$36,'SOW caps'!$M$7:$M$36,"")="No hours"),_xlfn.XLOOKUP(A468&amp;"|"&amp;K468,'SOW caps'!$N$7:$N$36,'SOW caps'!$O$7:$O$36,""),""),"")</x:f>
      </x:c>
      <x:c r="V468" s="8" t="str">
        <x:f>IF(AND(ISNUMBER(U468),ISNUMBER(X468)),ROUND(SUMIFS($X$7:X468,$A$7:A468,A468,$K$7:K468,K468,$M$7:M468,"Mapped")*U468,2)-ROUND((SUMIFS($X$7:X468,$A$7:A468,A468,$K$7:K468,K468,$M$7:M468,"Mapped")-X468)*U468,2),"")</x:f>
      </x:c>
      <x:c r="W468" s="1" t="str">
        <x:f>IF(B468="","",IF(OR(NOT(ISNUMBER(I468)),I468&lt;0),"Invalid hours",IF(NOT(ISNUMBER(R468)),"Manual hours",IF(ROUND(I468*3600000,0)=R468,"Source hours","Adjusted hours"))))</x:f>
      </x:c>
      <x:c r="X468" s="10" t="str">
        <x:f>IF(B468="","",IF(AND(ISNUMBER(I468),I468&gt;=0,Q468="In period"),I468,""))</x:f>
      </x:c>
    </x:row>
    <x:row r="469" ht="23" customHeight="1">
      <x:c r="A469" s="3"/>
      <x:c r="B469" s="3"/>
      <x:c r="C469" s="3"/>
      <x:c r="D469" s="3"/>
      <x:c r="E469" s="3"/>
      <x:c r="F469" s="3"/>
      <x:c r="G469" s="3"/>
      <x:c r="H469" s="3"/>
      <x:c r="I469" s="9"/>
      <x:c r="J469" s="3"/>
      <x:c r="K469" s="3"/>
      <x:c r="L469" s="3"/>
      <x:c r="M469" s="1" t="str">
        <x:f>IF(B469="","",IF(W469="Invalid hours","Invalid hours",IF(NOT(ISNUMBER(X469)),"Excluded",IF(AND(J469&lt;&gt;"",K469&lt;&gt;"",L469&lt;&gt;"",COUNTIF('SOW caps'!$N$7:$N$36,A469&amp;"|"&amp;K469)=1),"Mapped","Needs allocation"))))</x:f>
      </x:c>
      <x:c r="N469" s="8" t="str">
        <x:f>IF(B469="","",IF(M469="Mapped",_xlfn.XLOOKUP(A469&amp;"|"&amp;K469,'SOW caps'!$N$7:$N$36,'SOW caps'!$E$7:$E$36,""),IF(ISNUMBER('SOW caps'!$B$3),'SOW caps'!$B$3,"")))</x:f>
      </x:c>
      <x:c r="O469" s="8" t="str">
        <x:f>IF(AND(ISNUMBER(X469),ISNUMBER(N469),N469&gt;=0),X469*N469,"")</x:f>
      </x:c>
      <x:c r="P469" s="3"/>
      <x:c r="Q469" s="3"/>
      <x:c r="R469" s="3"/>
      <x:c r="S469" s="3"/>
      <x:c r="T469" s="3"/>
      <x:c r="U469" s="8" t="str">
        <x:f>IF(M469="Mapped",IF(OR(_xlfn.XLOOKUP(A469&amp;"|"&amp;K469,'SOW caps'!$N$7:$N$36,'SOW caps'!$M$7:$M$36,"")="Ready",_xlfn.XLOOKUP(A469&amp;"|"&amp;K469,'SOW caps'!$N$7:$N$36,'SOW caps'!$M$7:$M$36,"")="No hours"),_xlfn.XLOOKUP(A469&amp;"|"&amp;K469,'SOW caps'!$N$7:$N$36,'SOW caps'!$O$7:$O$36,""),""),"")</x:f>
      </x:c>
      <x:c r="V469" s="8" t="str">
        <x:f>IF(AND(ISNUMBER(U469),ISNUMBER(X469)),ROUND(SUMIFS($X$7:X469,$A$7:A469,A469,$K$7:K469,K469,$M$7:M469,"Mapped")*U469,2)-ROUND((SUMIFS($X$7:X469,$A$7:A469,A469,$K$7:K469,K469,$M$7:M469,"Mapped")-X469)*U469,2),"")</x:f>
      </x:c>
      <x:c r="W469" s="1" t="str">
        <x:f>IF(B469="","",IF(OR(NOT(ISNUMBER(I469)),I469&lt;0),"Invalid hours",IF(NOT(ISNUMBER(R469)),"Manual hours",IF(ROUND(I469*3600000,0)=R469,"Source hours","Adjusted hours"))))</x:f>
      </x:c>
      <x:c r="X469" s="10" t="str">
        <x:f>IF(B469="","",IF(AND(ISNUMBER(I469),I469&gt;=0,Q469="In period"),I469,""))</x:f>
      </x:c>
    </x:row>
    <x:row r="470" ht="23" customHeight="1">
      <x:c r="A470" s="3"/>
      <x:c r="B470" s="3"/>
      <x:c r="C470" s="3"/>
      <x:c r="D470" s="3"/>
      <x:c r="E470" s="3"/>
      <x:c r="F470" s="3"/>
      <x:c r="G470" s="3"/>
      <x:c r="H470" s="3"/>
      <x:c r="I470" s="9"/>
      <x:c r="J470" s="3"/>
      <x:c r="K470" s="3"/>
      <x:c r="L470" s="3"/>
      <x:c r="M470" s="1" t="str">
        <x:f>IF(B470="","",IF(W470="Invalid hours","Invalid hours",IF(NOT(ISNUMBER(X470)),"Excluded",IF(AND(J470&lt;&gt;"",K470&lt;&gt;"",L470&lt;&gt;"",COUNTIF('SOW caps'!$N$7:$N$36,A470&amp;"|"&amp;K470)=1),"Mapped","Needs allocation"))))</x:f>
      </x:c>
      <x:c r="N470" s="8" t="str">
        <x:f>IF(B470="","",IF(M470="Mapped",_xlfn.XLOOKUP(A470&amp;"|"&amp;K470,'SOW caps'!$N$7:$N$36,'SOW caps'!$E$7:$E$36,""),IF(ISNUMBER('SOW caps'!$B$3),'SOW caps'!$B$3,"")))</x:f>
      </x:c>
      <x:c r="O470" s="8" t="str">
        <x:f>IF(AND(ISNUMBER(X470),ISNUMBER(N470),N470&gt;=0),X470*N470,"")</x:f>
      </x:c>
      <x:c r="P470" s="3"/>
      <x:c r="Q470" s="3"/>
      <x:c r="R470" s="3"/>
      <x:c r="S470" s="3"/>
      <x:c r="T470" s="3"/>
      <x:c r="U470" s="8" t="str">
        <x:f>IF(M470="Mapped",IF(OR(_xlfn.XLOOKUP(A470&amp;"|"&amp;K470,'SOW caps'!$N$7:$N$36,'SOW caps'!$M$7:$M$36,"")="Ready",_xlfn.XLOOKUP(A470&amp;"|"&amp;K470,'SOW caps'!$N$7:$N$36,'SOW caps'!$M$7:$M$36,"")="No hours"),_xlfn.XLOOKUP(A470&amp;"|"&amp;K470,'SOW caps'!$N$7:$N$36,'SOW caps'!$O$7:$O$36,""),""),"")</x:f>
      </x:c>
      <x:c r="V470" s="8" t="str">
        <x:f>IF(AND(ISNUMBER(U470),ISNUMBER(X470)),ROUND(SUMIFS($X$7:X470,$A$7:A470,A470,$K$7:K470,K470,$M$7:M470,"Mapped")*U470,2)-ROUND((SUMIFS($X$7:X470,$A$7:A470,A470,$K$7:K470,K470,$M$7:M470,"Mapped")-X470)*U470,2),"")</x:f>
      </x:c>
      <x:c r="W470" s="1" t="str">
        <x:f>IF(B470="","",IF(OR(NOT(ISNUMBER(I470)),I470&lt;0),"Invalid hours",IF(NOT(ISNUMBER(R470)),"Manual hours",IF(ROUND(I470*3600000,0)=R470,"Source hours","Adjusted hours"))))</x:f>
      </x:c>
      <x:c r="X470" s="10" t="str">
        <x:f>IF(B470="","",IF(AND(ISNUMBER(I470),I470&gt;=0,Q470="In period"),I470,""))</x:f>
      </x:c>
    </x:row>
    <x:row r="471" ht="23" customHeight="1">
      <x:c r="A471" s="3"/>
      <x:c r="B471" s="3"/>
      <x:c r="C471" s="3"/>
      <x:c r="D471" s="3"/>
      <x:c r="E471" s="3"/>
      <x:c r="F471" s="3"/>
      <x:c r="G471" s="3"/>
      <x:c r="H471" s="3"/>
      <x:c r="I471" s="9"/>
      <x:c r="J471" s="3"/>
      <x:c r="K471" s="3"/>
      <x:c r="L471" s="3"/>
      <x:c r="M471" s="1" t="str">
        <x:f>IF(B471="","",IF(W471="Invalid hours","Invalid hours",IF(NOT(ISNUMBER(X471)),"Excluded",IF(AND(J471&lt;&gt;"",K471&lt;&gt;"",L471&lt;&gt;"",COUNTIF('SOW caps'!$N$7:$N$36,A471&amp;"|"&amp;K471)=1),"Mapped","Needs allocation"))))</x:f>
      </x:c>
      <x:c r="N471" s="8" t="str">
        <x:f>IF(B471="","",IF(M471="Mapped",_xlfn.XLOOKUP(A471&amp;"|"&amp;K471,'SOW caps'!$N$7:$N$36,'SOW caps'!$E$7:$E$36,""),IF(ISNUMBER('SOW caps'!$B$3),'SOW caps'!$B$3,"")))</x:f>
      </x:c>
      <x:c r="O471" s="8" t="str">
        <x:f>IF(AND(ISNUMBER(X471),ISNUMBER(N471),N471&gt;=0),X471*N471,"")</x:f>
      </x:c>
      <x:c r="P471" s="3"/>
      <x:c r="Q471" s="3"/>
      <x:c r="R471" s="3"/>
      <x:c r="S471" s="3"/>
      <x:c r="T471" s="3"/>
      <x:c r="U471" s="8" t="str">
        <x:f>IF(M471="Mapped",IF(OR(_xlfn.XLOOKUP(A471&amp;"|"&amp;K471,'SOW caps'!$N$7:$N$36,'SOW caps'!$M$7:$M$36,"")="Ready",_xlfn.XLOOKUP(A471&amp;"|"&amp;K471,'SOW caps'!$N$7:$N$36,'SOW caps'!$M$7:$M$36,"")="No hours"),_xlfn.XLOOKUP(A471&amp;"|"&amp;K471,'SOW caps'!$N$7:$N$36,'SOW caps'!$O$7:$O$36,""),""),"")</x:f>
      </x:c>
      <x:c r="V471" s="8" t="str">
        <x:f>IF(AND(ISNUMBER(U471),ISNUMBER(X471)),ROUND(SUMIFS($X$7:X471,$A$7:A471,A471,$K$7:K471,K471,$M$7:M471,"Mapped")*U471,2)-ROUND((SUMIFS($X$7:X471,$A$7:A471,A471,$K$7:K471,K471,$M$7:M471,"Mapped")-X471)*U471,2),"")</x:f>
      </x:c>
      <x:c r="W471" s="1" t="str">
        <x:f>IF(B471="","",IF(OR(NOT(ISNUMBER(I471)),I471&lt;0),"Invalid hours",IF(NOT(ISNUMBER(R471)),"Manual hours",IF(ROUND(I471*3600000,0)=R471,"Source hours","Adjusted hours"))))</x:f>
      </x:c>
      <x:c r="X471" s="10" t="str">
        <x:f>IF(B471="","",IF(AND(ISNUMBER(I471),I471&gt;=0,Q471="In period"),I471,""))</x:f>
      </x:c>
    </x:row>
    <x:row r="472" ht="23" customHeight="1">
      <x:c r="A472" s="3"/>
      <x:c r="B472" s="3"/>
      <x:c r="C472" s="3"/>
      <x:c r="D472" s="3"/>
      <x:c r="E472" s="3"/>
      <x:c r="F472" s="3"/>
      <x:c r="G472" s="3"/>
      <x:c r="H472" s="3"/>
      <x:c r="I472" s="9"/>
      <x:c r="J472" s="3"/>
      <x:c r="K472" s="3"/>
      <x:c r="L472" s="3"/>
      <x:c r="M472" s="1" t="str">
        <x:f>IF(B472="","",IF(W472="Invalid hours","Invalid hours",IF(NOT(ISNUMBER(X472)),"Excluded",IF(AND(J472&lt;&gt;"",K472&lt;&gt;"",L472&lt;&gt;"",COUNTIF('SOW caps'!$N$7:$N$36,A472&amp;"|"&amp;K472)=1),"Mapped","Needs allocation"))))</x:f>
      </x:c>
      <x:c r="N472" s="8" t="str">
        <x:f>IF(B472="","",IF(M472="Mapped",_xlfn.XLOOKUP(A472&amp;"|"&amp;K472,'SOW caps'!$N$7:$N$36,'SOW caps'!$E$7:$E$36,""),IF(ISNUMBER('SOW caps'!$B$3),'SOW caps'!$B$3,"")))</x:f>
      </x:c>
      <x:c r="O472" s="8" t="str">
        <x:f>IF(AND(ISNUMBER(X472),ISNUMBER(N472),N472&gt;=0),X472*N472,"")</x:f>
      </x:c>
      <x:c r="P472" s="3"/>
      <x:c r="Q472" s="3"/>
      <x:c r="R472" s="3"/>
      <x:c r="S472" s="3"/>
      <x:c r="T472" s="3"/>
      <x:c r="U472" s="8" t="str">
        <x:f>IF(M472="Mapped",IF(OR(_xlfn.XLOOKUP(A472&amp;"|"&amp;K472,'SOW caps'!$N$7:$N$36,'SOW caps'!$M$7:$M$36,"")="Ready",_xlfn.XLOOKUP(A472&amp;"|"&amp;K472,'SOW caps'!$N$7:$N$36,'SOW caps'!$M$7:$M$36,"")="No hours"),_xlfn.XLOOKUP(A472&amp;"|"&amp;K472,'SOW caps'!$N$7:$N$36,'SOW caps'!$O$7:$O$36,""),""),"")</x:f>
      </x:c>
      <x:c r="V472" s="8" t="str">
        <x:f>IF(AND(ISNUMBER(U472),ISNUMBER(X472)),ROUND(SUMIFS($X$7:X472,$A$7:A472,A472,$K$7:K472,K472,$M$7:M472,"Mapped")*U472,2)-ROUND((SUMIFS($X$7:X472,$A$7:A472,A472,$K$7:K472,K472,$M$7:M472,"Mapped")-X472)*U472,2),"")</x:f>
      </x:c>
      <x:c r="W472" s="1" t="str">
        <x:f>IF(B472="","",IF(OR(NOT(ISNUMBER(I472)),I472&lt;0),"Invalid hours",IF(NOT(ISNUMBER(R472)),"Manual hours",IF(ROUND(I472*3600000,0)=R472,"Source hours","Adjusted hours"))))</x:f>
      </x:c>
      <x:c r="X472" s="10" t="str">
        <x:f>IF(B472="","",IF(AND(ISNUMBER(I472),I472&gt;=0,Q472="In period"),I472,""))</x:f>
      </x:c>
    </x:row>
    <x:row r="473" ht="23" customHeight="1">
      <x:c r="A473" s="3"/>
      <x:c r="B473" s="3"/>
      <x:c r="C473" s="3"/>
      <x:c r="D473" s="3"/>
      <x:c r="E473" s="3"/>
      <x:c r="F473" s="3"/>
      <x:c r="G473" s="3"/>
      <x:c r="H473" s="3"/>
      <x:c r="I473" s="9"/>
      <x:c r="J473" s="3"/>
      <x:c r="K473" s="3"/>
      <x:c r="L473" s="3"/>
      <x:c r="M473" s="1" t="str">
        <x:f>IF(B473="","",IF(W473="Invalid hours","Invalid hours",IF(NOT(ISNUMBER(X473)),"Excluded",IF(AND(J473&lt;&gt;"",K473&lt;&gt;"",L473&lt;&gt;"",COUNTIF('SOW caps'!$N$7:$N$36,A473&amp;"|"&amp;K473)=1),"Mapped","Needs allocation"))))</x:f>
      </x:c>
      <x:c r="N473" s="8" t="str">
        <x:f>IF(B473="","",IF(M473="Mapped",_xlfn.XLOOKUP(A473&amp;"|"&amp;K473,'SOW caps'!$N$7:$N$36,'SOW caps'!$E$7:$E$36,""),IF(ISNUMBER('SOW caps'!$B$3),'SOW caps'!$B$3,"")))</x:f>
      </x:c>
      <x:c r="O473" s="8" t="str">
        <x:f>IF(AND(ISNUMBER(X473),ISNUMBER(N473),N473&gt;=0),X473*N473,"")</x:f>
      </x:c>
      <x:c r="P473" s="3"/>
      <x:c r="Q473" s="3"/>
      <x:c r="R473" s="3"/>
      <x:c r="S473" s="3"/>
      <x:c r="T473" s="3"/>
      <x:c r="U473" s="8" t="str">
        <x:f>IF(M473="Mapped",IF(OR(_xlfn.XLOOKUP(A473&amp;"|"&amp;K473,'SOW caps'!$N$7:$N$36,'SOW caps'!$M$7:$M$36,"")="Ready",_xlfn.XLOOKUP(A473&amp;"|"&amp;K473,'SOW caps'!$N$7:$N$36,'SOW caps'!$M$7:$M$36,"")="No hours"),_xlfn.XLOOKUP(A473&amp;"|"&amp;K473,'SOW caps'!$N$7:$N$36,'SOW caps'!$O$7:$O$36,""),""),"")</x:f>
      </x:c>
      <x:c r="V473" s="8" t="str">
        <x:f>IF(AND(ISNUMBER(U473),ISNUMBER(X473)),ROUND(SUMIFS($X$7:X473,$A$7:A473,A473,$K$7:K473,K473,$M$7:M473,"Mapped")*U473,2)-ROUND((SUMIFS($X$7:X473,$A$7:A473,A473,$K$7:K473,K473,$M$7:M473,"Mapped")-X473)*U473,2),"")</x:f>
      </x:c>
      <x:c r="W473" s="1" t="str">
        <x:f>IF(B473="","",IF(OR(NOT(ISNUMBER(I473)),I473&lt;0),"Invalid hours",IF(NOT(ISNUMBER(R473)),"Manual hours",IF(ROUND(I473*3600000,0)=R473,"Source hours","Adjusted hours"))))</x:f>
      </x:c>
      <x:c r="X473" s="10" t="str">
        <x:f>IF(B473="","",IF(AND(ISNUMBER(I473),I473&gt;=0,Q473="In period"),I473,""))</x:f>
      </x:c>
    </x:row>
    <x:row r="474" ht="23" customHeight="1">
      <x:c r="A474" s="3"/>
      <x:c r="B474" s="3"/>
      <x:c r="C474" s="3"/>
      <x:c r="D474" s="3"/>
      <x:c r="E474" s="3"/>
      <x:c r="F474" s="3"/>
      <x:c r="G474" s="3"/>
      <x:c r="H474" s="3"/>
      <x:c r="I474" s="9"/>
      <x:c r="J474" s="3"/>
      <x:c r="K474" s="3"/>
      <x:c r="L474" s="3"/>
      <x:c r="M474" s="1" t="str">
        <x:f>IF(B474="","",IF(W474="Invalid hours","Invalid hours",IF(NOT(ISNUMBER(X474)),"Excluded",IF(AND(J474&lt;&gt;"",K474&lt;&gt;"",L474&lt;&gt;"",COUNTIF('SOW caps'!$N$7:$N$36,A474&amp;"|"&amp;K474)=1),"Mapped","Needs allocation"))))</x:f>
      </x:c>
      <x:c r="N474" s="8" t="str">
        <x:f>IF(B474="","",IF(M474="Mapped",_xlfn.XLOOKUP(A474&amp;"|"&amp;K474,'SOW caps'!$N$7:$N$36,'SOW caps'!$E$7:$E$36,""),IF(ISNUMBER('SOW caps'!$B$3),'SOW caps'!$B$3,"")))</x:f>
      </x:c>
      <x:c r="O474" s="8" t="str">
        <x:f>IF(AND(ISNUMBER(X474),ISNUMBER(N474),N474&gt;=0),X474*N474,"")</x:f>
      </x:c>
      <x:c r="P474" s="3"/>
      <x:c r="Q474" s="3"/>
      <x:c r="R474" s="3"/>
      <x:c r="S474" s="3"/>
      <x:c r="T474" s="3"/>
      <x:c r="U474" s="8" t="str">
        <x:f>IF(M474="Mapped",IF(OR(_xlfn.XLOOKUP(A474&amp;"|"&amp;K474,'SOW caps'!$N$7:$N$36,'SOW caps'!$M$7:$M$36,"")="Ready",_xlfn.XLOOKUP(A474&amp;"|"&amp;K474,'SOW caps'!$N$7:$N$36,'SOW caps'!$M$7:$M$36,"")="No hours"),_xlfn.XLOOKUP(A474&amp;"|"&amp;K474,'SOW caps'!$N$7:$N$36,'SOW caps'!$O$7:$O$36,""),""),"")</x:f>
      </x:c>
      <x:c r="V474" s="8" t="str">
        <x:f>IF(AND(ISNUMBER(U474),ISNUMBER(X474)),ROUND(SUMIFS($X$7:X474,$A$7:A474,A474,$K$7:K474,K474,$M$7:M474,"Mapped")*U474,2)-ROUND((SUMIFS($X$7:X474,$A$7:A474,A474,$K$7:K474,K474,$M$7:M474,"Mapped")-X474)*U474,2),"")</x:f>
      </x:c>
      <x:c r="W474" s="1" t="str">
        <x:f>IF(B474="","",IF(OR(NOT(ISNUMBER(I474)),I474&lt;0),"Invalid hours",IF(NOT(ISNUMBER(R474)),"Manual hours",IF(ROUND(I474*3600000,0)=R474,"Source hours","Adjusted hours"))))</x:f>
      </x:c>
      <x:c r="X474" s="10" t="str">
        <x:f>IF(B474="","",IF(AND(ISNUMBER(I474),I474&gt;=0,Q474="In period"),I474,""))</x:f>
      </x:c>
    </x:row>
    <x:row r="475" ht="23" customHeight="1">
      <x:c r="A475" s="3"/>
      <x:c r="B475" s="3"/>
      <x:c r="C475" s="3"/>
      <x:c r="D475" s="3"/>
      <x:c r="E475" s="3"/>
      <x:c r="F475" s="3"/>
      <x:c r="G475" s="3"/>
      <x:c r="H475" s="3"/>
      <x:c r="I475" s="9"/>
      <x:c r="J475" s="3"/>
      <x:c r="K475" s="3"/>
      <x:c r="L475" s="3"/>
      <x:c r="M475" s="1" t="str">
        <x:f>IF(B475="","",IF(W475="Invalid hours","Invalid hours",IF(NOT(ISNUMBER(X475)),"Excluded",IF(AND(J475&lt;&gt;"",K475&lt;&gt;"",L475&lt;&gt;"",COUNTIF('SOW caps'!$N$7:$N$36,A475&amp;"|"&amp;K475)=1),"Mapped","Needs allocation"))))</x:f>
      </x:c>
      <x:c r="N475" s="8" t="str">
        <x:f>IF(B475="","",IF(M475="Mapped",_xlfn.XLOOKUP(A475&amp;"|"&amp;K475,'SOW caps'!$N$7:$N$36,'SOW caps'!$E$7:$E$36,""),IF(ISNUMBER('SOW caps'!$B$3),'SOW caps'!$B$3,"")))</x:f>
      </x:c>
      <x:c r="O475" s="8" t="str">
        <x:f>IF(AND(ISNUMBER(X475),ISNUMBER(N475),N475&gt;=0),X475*N475,"")</x:f>
      </x:c>
      <x:c r="P475" s="3"/>
      <x:c r="Q475" s="3"/>
      <x:c r="R475" s="3"/>
      <x:c r="S475" s="3"/>
      <x:c r="T475" s="3"/>
      <x:c r="U475" s="8" t="str">
        <x:f>IF(M475="Mapped",IF(OR(_xlfn.XLOOKUP(A475&amp;"|"&amp;K475,'SOW caps'!$N$7:$N$36,'SOW caps'!$M$7:$M$36,"")="Ready",_xlfn.XLOOKUP(A475&amp;"|"&amp;K475,'SOW caps'!$N$7:$N$36,'SOW caps'!$M$7:$M$36,"")="No hours"),_xlfn.XLOOKUP(A475&amp;"|"&amp;K475,'SOW caps'!$N$7:$N$36,'SOW caps'!$O$7:$O$36,""),""),"")</x:f>
      </x:c>
      <x:c r="V475" s="8" t="str">
        <x:f>IF(AND(ISNUMBER(U475),ISNUMBER(X475)),ROUND(SUMIFS($X$7:X475,$A$7:A475,A475,$K$7:K475,K475,$M$7:M475,"Mapped")*U475,2)-ROUND((SUMIFS($X$7:X475,$A$7:A475,A475,$K$7:K475,K475,$M$7:M475,"Mapped")-X475)*U475,2),"")</x:f>
      </x:c>
      <x:c r="W475" s="1" t="str">
        <x:f>IF(B475="","",IF(OR(NOT(ISNUMBER(I475)),I475&lt;0),"Invalid hours",IF(NOT(ISNUMBER(R475)),"Manual hours",IF(ROUND(I475*3600000,0)=R475,"Source hours","Adjusted hours"))))</x:f>
      </x:c>
      <x:c r="X475" s="10" t="str">
        <x:f>IF(B475="","",IF(AND(ISNUMBER(I475),I475&gt;=0,Q475="In period"),I475,""))</x:f>
      </x:c>
    </x:row>
    <x:row r="476" ht="23" customHeight="1">
      <x:c r="A476" s="3"/>
      <x:c r="B476" s="3"/>
      <x:c r="C476" s="3"/>
      <x:c r="D476" s="3"/>
      <x:c r="E476" s="3"/>
      <x:c r="F476" s="3"/>
      <x:c r="G476" s="3"/>
      <x:c r="H476" s="3"/>
      <x:c r="I476" s="9"/>
      <x:c r="J476" s="3"/>
      <x:c r="K476" s="3"/>
      <x:c r="L476" s="3"/>
      <x:c r="M476" s="1" t="str">
        <x:f>IF(B476="","",IF(W476="Invalid hours","Invalid hours",IF(NOT(ISNUMBER(X476)),"Excluded",IF(AND(J476&lt;&gt;"",K476&lt;&gt;"",L476&lt;&gt;"",COUNTIF('SOW caps'!$N$7:$N$36,A476&amp;"|"&amp;K476)=1),"Mapped","Needs allocation"))))</x:f>
      </x:c>
      <x:c r="N476" s="8" t="str">
        <x:f>IF(B476="","",IF(M476="Mapped",_xlfn.XLOOKUP(A476&amp;"|"&amp;K476,'SOW caps'!$N$7:$N$36,'SOW caps'!$E$7:$E$36,""),IF(ISNUMBER('SOW caps'!$B$3),'SOW caps'!$B$3,"")))</x:f>
      </x:c>
      <x:c r="O476" s="8" t="str">
        <x:f>IF(AND(ISNUMBER(X476),ISNUMBER(N476),N476&gt;=0),X476*N476,"")</x:f>
      </x:c>
      <x:c r="P476" s="3"/>
      <x:c r="Q476" s="3"/>
      <x:c r="R476" s="3"/>
      <x:c r="S476" s="3"/>
      <x:c r="T476" s="3"/>
      <x:c r="U476" s="8" t="str">
        <x:f>IF(M476="Mapped",IF(OR(_xlfn.XLOOKUP(A476&amp;"|"&amp;K476,'SOW caps'!$N$7:$N$36,'SOW caps'!$M$7:$M$36,"")="Ready",_xlfn.XLOOKUP(A476&amp;"|"&amp;K476,'SOW caps'!$N$7:$N$36,'SOW caps'!$M$7:$M$36,"")="No hours"),_xlfn.XLOOKUP(A476&amp;"|"&amp;K476,'SOW caps'!$N$7:$N$36,'SOW caps'!$O$7:$O$36,""),""),"")</x:f>
      </x:c>
      <x:c r="V476" s="8" t="str">
        <x:f>IF(AND(ISNUMBER(U476),ISNUMBER(X476)),ROUND(SUMIFS($X$7:X476,$A$7:A476,A476,$K$7:K476,K476,$M$7:M476,"Mapped")*U476,2)-ROUND((SUMIFS($X$7:X476,$A$7:A476,A476,$K$7:K476,K476,$M$7:M476,"Mapped")-X476)*U476,2),"")</x:f>
      </x:c>
      <x:c r="W476" s="1" t="str">
        <x:f>IF(B476="","",IF(OR(NOT(ISNUMBER(I476)),I476&lt;0),"Invalid hours",IF(NOT(ISNUMBER(R476)),"Manual hours",IF(ROUND(I476*3600000,0)=R476,"Source hours","Adjusted hours"))))</x:f>
      </x:c>
      <x:c r="X476" s="10" t="str">
        <x:f>IF(B476="","",IF(AND(ISNUMBER(I476),I476&gt;=0,Q476="In period"),I476,""))</x:f>
      </x:c>
    </x:row>
    <x:row r="477" ht="23" customHeight="1">
      <x:c r="A477" s="3"/>
      <x:c r="B477" s="3"/>
      <x:c r="C477" s="3"/>
      <x:c r="D477" s="3"/>
      <x:c r="E477" s="3"/>
      <x:c r="F477" s="3"/>
      <x:c r="G477" s="3"/>
      <x:c r="H477" s="3"/>
      <x:c r="I477" s="9"/>
      <x:c r="J477" s="3"/>
      <x:c r="K477" s="3"/>
      <x:c r="L477" s="3"/>
      <x:c r="M477" s="1" t="str">
        <x:f>IF(B477="","",IF(W477="Invalid hours","Invalid hours",IF(NOT(ISNUMBER(X477)),"Excluded",IF(AND(J477&lt;&gt;"",K477&lt;&gt;"",L477&lt;&gt;"",COUNTIF('SOW caps'!$N$7:$N$36,A477&amp;"|"&amp;K477)=1),"Mapped","Needs allocation"))))</x:f>
      </x:c>
      <x:c r="N477" s="8" t="str">
        <x:f>IF(B477="","",IF(M477="Mapped",_xlfn.XLOOKUP(A477&amp;"|"&amp;K477,'SOW caps'!$N$7:$N$36,'SOW caps'!$E$7:$E$36,""),IF(ISNUMBER('SOW caps'!$B$3),'SOW caps'!$B$3,"")))</x:f>
      </x:c>
      <x:c r="O477" s="8" t="str">
        <x:f>IF(AND(ISNUMBER(X477),ISNUMBER(N477),N477&gt;=0),X477*N477,"")</x:f>
      </x:c>
      <x:c r="P477" s="3"/>
      <x:c r="Q477" s="3"/>
      <x:c r="R477" s="3"/>
      <x:c r="S477" s="3"/>
      <x:c r="T477" s="3"/>
      <x:c r="U477" s="8" t="str">
        <x:f>IF(M477="Mapped",IF(OR(_xlfn.XLOOKUP(A477&amp;"|"&amp;K477,'SOW caps'!$N$7:$N$36,'SOW caps'!$M$7:$M$36,"")="Ready",_xlfn.XLOOKUP(A477&amp;"|"&amp;K477,'SOW caps'!$N$7:$N$36,'SOW caps'!$M$7:$M$36,"")="No hours"),_xlfn.XLOOKUP(A477&amp;"|"&amp;K477,'SOW caps'!$N$7:$N$36,'SOW caps'!$O$7:$O$36,""),""),"")</x:f>
      </x:c>
      <x:c r="V477" s="8" t="str">
        <x:f>IF(AND(ISNUMBER(U477),ISNUMBER(X477)),ROUND(SUMIFS($X$7:X477,$A$7:A477,A477,$K$7:K477,K477,$M$7:M477,"Mapped")*U477,2)-ROUND((SUMIFS($X$7:X477,$A$7:A477,A477,$K$7:K477,K477,$M$7:M477,"Mapped")-X477)*U477,2),"")</x:f>
      </x:c>
      <x:c r="W477" s="1" t="str">
        <x:f>IF(B477="","",IF(OR(NOT(ISNUMBER(I477)),I477&lt;0),"Invalid hours",IF(NOT(ISNUMBER(R477)),"Manual hours",IF(ROUND(I477*3600000,0)=R477,"Source hours","Adjusted hours"))))</x:f>
      </x:c>
      <x:c r="X477" s="10" t="str">
        <x:f>IF(B477="","",IF(AND(ISNUMBER(I477),I477&gt;=0,Q477="In period"),I477,""))</x:f>
      </x:c>
    </x:row>
    <x:row r="478" ht="23" customHeight="1">
      <x:c r="A478" s="3"/>
      <x:c r="B478" s="3"/>
      <x:c r="C478" s="3"/>
      <x:c r="D478" s="3"/>
      <x:c r="E478" s="3"/>
      <x:c r="F478" s="3"/>
      <x:c r="G478" s="3"/>
      <x:c r="H478" s="3"/>
      <x:c r="I478" s="9"/>
      <x:c r="J478" s="3"/>
      <x:c r="K478" s="3"/>
      <x:c r="L478" s="3"/>
      <x:c r="M478" s="1" t="str">
        <x:f>IF(B478="","",IF(W478="Invalid hours","Invalid hours",IF(NOT(ISNUMBER(X478)),"Excluded",IF(AND(J478&lt;&gt;"",K478&lt;&gt;"",L478&lt;&gt;"",COUNTIF('SOW caps'!$N$7:$N$36,A478&amp;"|"&amp;K478)=1),"Mapped","Needs allocation"))))</x:f>
      </x:c>
      <x:c r="N478" s="8" t="str">
        <x:f>IF(B478="","",IF(M478="Mapped",_xlfn.XLOOKUP(A478&amp;"|"&amp;K478,'SOW caps'!$N$7:$N$36,'SOW caps'!$E$7:$E$36,""),IF(ISNUMBER('SOW caps'!$B$3),'SOW caps'!$B$3,"")))</x:f>
      </x:c>
      <x:c r="O478" s="8" t="str">
        <x:f>IF(AND(ISNUMBER(X478),ISNUMBER(N478),N478&gt;=0),X478*N478,"")</x:f>
      </x:c>
      <x:c r="P478" s="3"/>
      <x:c r="Q478" s="3"/>
      <x:c r="R478" s="3"/>
      <x:c r="S478" s="3"/>
      <x:c r="T478" s="3"/>
      <x:c r="U478" s="8" t="str">
        <x:f>IF(M478="Mapped",IF(OR(_xlfn.XLOOKUP(A478&amp;"|"&amp;K478,'SOW caps'!$N$7:$N$36,'SOW caps'!$M$7:$M$36,"")="Ready",_xlfn.XLOOKUP(A478&amp;"|"&amp;K478,'SOW caps'!$N$7:$N$36,'SOW caps'!$M$7:$M$36,"")="No hours"),_xlfn.XLOOKUP(A478&amp;"|"&amp;K478,'SOW caps'!$N$7:$N$36,'SOW caps'!$O$7:$O$36,""),""),"")</x:f>
      </x:c>
      <x:c r="V478" s="8" t="str">
        <x:f>IF(AND(ISNUMBER(U478),ISNUMBER(X478)),ROUND(SUMIFS($X$7:X478,$A$7:A478,A478,$K$7:K478,K478,$M$7:M478,"Mapped")*U478,2)-ROUND((SUMIFS($X$7:X478,$A$7:A478,A478,$K$7:K478,K478,$M$7:M478,"Mapped")-X478)*U478,2),"")</x:f>
      </x:c>
      <x:c r="W478" s="1" t="str">
        <x:f>IF(B478="","",IF(OR(NOT(ISNUMBER(I478)),I478&lt;0),"Invalid hours",IF(NOT(ISNUMBER(R478)),"Manual hours",IF(ROUND(I478*3600000,0)=R478,"Source hours","Adjusted hours"))))</x:f>
      </x:c>
      <x:c r="X478" s="10" t="str">
        <x:f>IF(B478="","",IF(AND(ISNUMBER(I478),I478&gt;=0,Q478="In period"),I478,""))</x:f>
      </x:c>
    </x:row>
    <x:row r="479" ht="23" customHeight="1">
      <x:c r="A479" s="3"/>
      <x:c r="B479" s="3"/>
      <x:c r="C479" s="3"/>
      <x:c r="D479" s="3"/>
      <x:c r="E479" s="3"/>
      <x:c r="F479" s="3"/>
      <x:c r="G479" s="3"/>
      <x:c r="H479" s="3"/>
      <x:c r="I479" s="9"/>
      <x:c r="J479" s="3"/>
      <x:c r="K479" s="3"/>
      <x:c r="L479" s="3"/>
      <x:c r="M479" s="1" t="str">
        <x:f>IF(B479="","",IF(W479="Invalid hours","Invalid hours",IF(NOT(ISNUMBER(X479)),"Excluded",IF(AND(J479&lt;&gt;"",K479&lt;&gt;"",L479&lt;&gt;"",COUNTIF('SOW caps'!$N$7:$N$36,A479&amp;"|"&amp;K479)=1),"Mapped","Needs allocation"))))</x:f>
      </x:c>
      <x:c r="N479" s="8" t="str">
        <x:f>IF(B479="","",IF(M479="Mapped",_xlfn.XLOOKUP(A479&amp;"|"&amp;K479,'SOW caps'!$N$7:$N$36,'SOW caps'!$E$7:$E$36,""),IF(ISNUMBER('SOW caps'!$B$3),'SOW caps'!$B$3,"")))</x:f>
      </x:c>
      <x:c r="O479" s="8" t="str">
        <x:f>IF(AND(ISNUMBER(X479),ISNUMBER(N479),N479&gt;=0),X479*N479,"")</x:f>
      </x:c>
      <x:c r="P479" s="3"/>
      <x:c r="Q479" s="3"/>
      <x:c r="R479" s="3"/>
      <x:c r="S479" s="3"/>
      <x:c r="T479" s="3"/>
      <x:c r="U479" s="8" t="str">
        <x:f>IF(M479="Mapped",IF(OR(_xlfn.XLOOKUP(A479&amp;"|"&amp;K479,'SOW caps'!$N$7:$N$36,'SOW caps'!$M$7:$M$36,"")="Ready",_xlfn.XLOOKUP(A479&amp;"|"&amp;K479,'SOW caps'!$N$7:$N$36,'SOW caps'!$M$7:$M$36,"")="No hours"),_xlfn.XLOOKUP(A479&amp;"|"&amp;K479,'SOW caps'!$N$7:$N$36,'SOW caps'!$O$7:$O$36,""),""),"")</x:f>
      </x:c>
      <x:c r="V479" s="8" t="str">
        <x:f>IF(AND(ISNUMBER(U479),ISNUMBER(X479)),ROUND(SUMIFS($X$7:X479,$A$7:A479,A479,$K$7:K479,K479,$M$7:M479,"Mapped")*U479,2)-ROUND((SUMIFS($X$7:X479,$A$7:A479,A479,$K$7:K479,K479,$M$7:M479,"Mapped")-X479)*U479,2),"")</x:f>
      </x:c>
      <x:c r="W479" s="1" t="str">
        <x:f>IF(B479="","",IF(OR(NOT(ISNUMBER(I479)),I479&lt;0),"Invalid hours",IF(NOT(ISNUMBER(R479)),"Manual hours",IF(ROUND(I479*3600000,0)=R479,"Source hours","Adjusted hours"))))</x:f>
      </x:c>
      <x:c r="X479" s="10" t="str">
        <x:f>IF(B479="","",IF(AND(ISNUMBER(I479),I479&gt;=0,Q479="In period"),I479,""))</x:f>
      </x:c>
    </x:row>
    <x:row r="480" ht="23" customHeight="1">
      <x:c r="A480" s="3"/>
      <x:c r="B480" s="3"/>
      <x:c r="C480" s="3"/>
      <x:c r="D480" s="3"/>
      <x:c r="E480" s="3"/>
      <x:c r="F480" s="3"/>
      <x:c r="G480" s="3"/>
      <x:c r="H480" s="3"/>
      <x:c r="I480" s="9"/>
      <x:c r="J480" s="3"/>
      <x:c r="K480" s="3"/>
      <x:c r="L480" s="3"/>
      <x:c r="M480" s="1" t="str">
        <x:f>IF(B480="","",IF(W480="Invalid hours","Invalid hours",IF(NOT(ISNUMBER(X480)),"Excluded",IF(AND(J480&lt;&gt;"",K480&lt;&gt;"",L480&lt;&gt;"",COUNTIF('SOW caps'!$N$7:$N$36,A480&amp;"|"&amp;K480)=1),"Mapped","Needs allocation"))))</x:f>
      </x:c>
      <x:c r="N480" s="8" t="str">
        <x:f>IF(B480="","",IF(M480="Mapped",_xlfn.XLOOKUP(A480&amp;"|"&amp;K480,'SOW caps'!$N$7:$N$36,'SOW caps'!$E$7:$E$36,""),IF(ISNUMBER('SOW caps'!$B$3),'SOW caps'!$B$3,"")))</x:f>
      </x:c>
      <x:c r="O480" s="8" t="str">
        <x:f>IF(AND(ISNUMBER(X480),ISNUMBER(N480),N480&gt;=0),X480*N480,"")</x:f>
      </x:c>
      <x:c r="P480" s="3"/>
      <x:c r="Q480" s="3"/>
      <x:c r="R480" s="3"/>
      <x:c r="S480" s="3"/>
      <x:c r="T480" s="3"/>
      <x:c r="U480" s="8" t="str">
        <x:f>IF(M480="Mapped",IF(OR(_xlfn.XLOOKUP(A480&amp;"|"&amp;K480,'SOW caps'!$N$7:$N$36,'SOW caps'!$M$7:$M$36,"")="Ready",_xlfn.XLOOKUP(A480&amp;"|"&amp;K480,'SOW caps'!$N$7:$N$36,'SOW caps'!$M$7:$M$36,"")="No hours"),_xlfn.XLOOKUP(A480&amp;"|"&amp;K480,'SOW caps'!$N$7:$N$36,'SOW caps'!$O$7:$O$36,""),""),"")</x:f>
      </x:c>
      <x:c r="V480" s="8" t="str">
        <x:f>IF(AND(ISNUMBER(U480),ISNUMBER(X480)),ROUND(SUMIFS($X$7:X480,$A$7:A480,A480,$K$7:K480,K480,$M$7:M480,"Mapped")*U480,2)-ROUND((SUMIFS($X$7:X480,$A$7:A480,A480,$K$7:K480,K480,$M$7:M480,"Mapped")-X480)*U480,2),"")</x:f>
      </x:c>
      <x:c r="W480" s="1" t="str">
        <x:f>IF(B480="","",IF(OR(NOT(ISNUMBER(I480)),I480&lt;0),"Invalid hours",IF(NOT(ISNUMBER(R480)),"Manual hours",IF(ROUND(I480*3600000,0)=R480,"Source hours","Adjusted hours"))))</x:f>
      </x:c>
      <x:c r="X480" s="10" t="str">
        <x:f>IF(B480="","",IF(AND(ISNUMBER(I480),I480&gt;=0,Q480="In period"),I480,""))</x:f>
      </x:c>
    </x:row>
    <x:row r="481" ht="23" customHeight="1">
      <x:c r="A481" s="3"/>
      <x:c r="B481" s="3"/>
      <x:c r="C481" s="3"/>
      <x:c r="D481" s="3"/>
      <x:c r="E481" s="3"/>
      <x:c r="F481" s="3"/>
      <x:c r="G481" s="3"/>
      <x:c r="H481" s="3"/>
      <x:c r="I481" s="9"/>
      <x:c r="J481" s="3"/>
      <x:c r="K481" s="3"/>
      <x:c r="L481" s="3"/>
      <x:c r="M481" s="1" t="str">
        <x:f>IF(B481="","",IF(W481="Invalid hours","Invalid hours",IF(NOT(ISNUMBER(X481)),"Excluded",IF(AND(J481&lt;&gt;"",K481&lt;&gt;"",L481&lt;&gt;"",COUNTIF('SOW caps'!$N$7:$N$36,A481&amp;"|"&amp;K481)=1),"Mapped","Needs allocation"))))</x:f>
      </x:c>
      <x:c r="N481" s="8" t="str">
        <x:f>IF(B481="","",IF(M481="Mapped",_xlfn.XLOOKUP(A481&amp;"|"&amp;K481,'SOW caps'!$N$7:$N$36,'SOW caps'!$E$7:$E$36,""),IF(ISNUMBER('SOW caps'!$B$3),'SOW caps'!$B$3,"")))</x:f>
      </x:c>
      <x:c r="O481" s="8" t="str">
        <x:f>IF(AND(ISNUMBER(X481),ISNUMBER(N481),N481&gt;=0),X481*N481,"")</x:f>
      </x:c>
      <x:c r="P481" s="3"/>
      <x:c r="Q481" s="3"/>
      <x:c r="R481" s="3"/>
      <x:c r="S481" s="3"/>
      <x:c r="T481" s="3"/>
      <x:c r="U481" s="8" t="str">
        <x:f>IF(M481="Mapped",IF(OR(_xlfn.XLOOKUP(A481&amp;"|"&amp;K481,'SOW caps'!$N$7:$N$36,'SOW caps'!$M$7:$M$36,"")="Ready",_xlfn.XLOOKUP(A481&amp;"|"&amp;K481,'SOW caps'!$N$7:$N$36,'SOW caps'!$M$7:$M$36,"")="No hours"),_xlfn.XLOOKUP(A481&amp;"|"&amp;K481,'SOW caps'!$N$7:$N$36,'SOW caps'!$O$7:$O$36,""),""),"")</x:f>
      </x:c>
      <x:c r="V481" s="8" t="str">
        <x:f>IF(AND(ISNUMBER(U481),ISNUMBER(X481)),ROUND(SUMIFS($X$7:X481,$A$7:A481,A481,$K$7:K481,K481,$M$7:M481,"Mapped")*U481,2)-ROUND((SUMIFS($X$7:X481,$A$7:A481,A481,$K$7:K481,K481,$M$7:M481,"Mapped")-X481)*U481,2),"")</x:f>
      </x:c>
      <x:c r="W481" s="1" t="str">
        <x:f>IF(B481="","",IF(OR(NOT(ISNUMBER(I481)),I481&lt;0),"Invalid hours",IF(NOT(ISNUMBER(R481)),"Manual hours",IF(ROUND(I481*3600000,0)=R481,"Source hours","Adjusted hours"))))</x:f>
      </x:c>
      <x:c r="X481" s="10" t="str">
        <x:f>IF(B481="","",IF(AND(ISNUMBER(I481),I481&gt;=0,Q481="In period"),I481,""))</x:f>
      </x:c>
    </x:row>
    <x:row r="482" ht="23" customHeight="1">
      <x:c r="A482" s="3"/>
      <x:c r="B482" s="3"/>
      <x:c r="C482" s="3"/>
      <x:c r="D482" s="3"/>
      <x:c r="E482" s="3"/>
      <x:c r="F482" s="3"/>
      <x:c r="G482" s="3"/>
      <x:c r="H482" s="3"/>
      <x:c r="I482" s="9"/>
      <x:c r="J482" s="3"/>
      <x:c r="K482" s="3"/>
      <x:c r="L482" s="3"/>
      <x:c r="M482" s="1" t="str">
        <x:f>IF(B482="","",IF(W482="Invalid hours","Invalid hours",IF(NOT(ISNUMBER(X482)),"Excluded",IF(AND(J482&lt;&gt;"",K482&lt;&gt;"",L482&lt;&gt;"",COUNTIF('SOW caps'!$N$7:$N$36,A482&amp;"|"&amp;K482)=1),"Mapped","Needs allocation"))))</x:f>
      </x:c>
      <x:c r="N482" s="8" t="str">
        <x:f>IF(B482="","",IF(M482="Mapped",_xlfn.XLOOKUP(A482&amp;"|"&amp;K482,'SOW caps'!$N$7:$N$36,'SOW caps'!$E$7:$E$36,""),IF(ISNUMBER('SOW caps'!$B$3),'SOW caps'!$B$3,"")))</x:f>
      </x:c>
      <x:c r="O482" s="8" t="str">
        <x:f>IF(AND(ISNUMBER(X482),ISNUMBER(N482),N482&gt;=0),X482*N482,"")</x:f>
      </x:c>
      <x:c r="P482" s="3"/>
      <x:c r="Q482" s="3"/>
      <x:c r="R482" s="3"/>
      <x:c r="S482" s="3"/>
      <x:c r="T482" s="3"/>
      <x:c r="U482" s="8" t="str">
        <x:f>IF(M482="Mapped",IF(OR(_xlfn.XLOOKUP(A482&amp;"|"&amp;K482,'SOW caps'!$N$7:$N$36,'SOW caps'!$M$7:$M$36,"")="Ready",_xlfn.XLOOKUP(A482&amp;"|"&amp;K482,'SOW caps'!$N$7:$N$36,'SOW caps'!$M$7:$M$36,"")="No hours"),_xlfn.XLOOKUP(A482&amp;"|"&amp;K482,'SOW caps'!$N$7:$N$36,'SOW caps'!$O$7:$O$36,""),""),"")</x:f>
      </x:c>
      <x:c r="V482" s="8" t="str">
        <x:f>IF(AND(ISNUMBER(U482),ISNUMBER(X482)),ROUND(SUMIFS($X$7:X482,$A$7:A482,A482,$K$7:K482,K482,$M$7:M482,"Mapped")*U482,2)-ROUND((SUMIFS($X$7:X482,$A$7:A482,A482,$K$7:K482,K482,$M$7:M482,"Mapped")-X482)*U482,2),"")</x:f>
      </x:c>
      <x:c r="W482" s="1" t="str">
        <x:f>IF(B482="","",IF(OR(NOT(ISNUMBER(I482)),I482&lt;0),"Invalid hours",IF(NOT(ISNUMBER(R482)),"Manual hours",IF(ROUND(I482*3600000,0)=R482,"Source hours","Adjusted hours"))))</x:f>
      </x:c>
      <x:c r="X482" s="10" t="str">
        <x:f>IF(B482="","",IF(AND(ISNUMBER(I482),I482&gt;=0,Q482="In period"),I482,""))</x:f>
      </x:c>
    </x:row>
    <x:row r="483" ht="23" customHeight="1">
      <x:c r="A483" s="3"/>
      <x:c r="B483" s="3"/>
      <x:c r="C483" s="3"/>
      <x:c r="D483" s="3"/>
      <x:c r="E483" s="3"/>
      <x:c r="F483" s="3"/>
      <x:c r="G483" s="3"/>
      <x:c r="H483" s="3"/>
      <x:c r="I483" s="9"/>
      <x:c r="J483" s="3"/>
      <x:c r="K483" s="3"/>
      <x:c r="L483" s="3"/>
      <x:c r="M483" s="1" t="str">
        <x:f>IF(B483="","",IF(W483="Invalid hours","Invalid hours",IF(NOT(ISNUMBER(X483)),"Excluded",IF(AND(J483&lt;&gt;"",K483&lt;&gt;"",L483&lt;&gt;"",COUNTIF('SOW caps'!$N$7:$N$36,A483&amp;"|"&amp;K483)=1),"Mapped","Needs allocation"))))</x:f>
      </x:c>
      <x:c r="N483" s="8" t="str">
        <x:f>IF(B483="","",IF(M483="Mapped",_xlfn.XLOOKUP(A483&amp;"|"&amp;K483,'SOW caps'!$N$7:$N$36,'SOW caps'!$E$7:$E$36,""),IF(ISNUMBER('SOW caps'!$B$3),'SOW caps'!$B$3,"")))</x:f>
      </x:c>
      <x:c r="O483" s="8" t="str">
        <x:f>IF(AND(ISNUMBER(X483),ISNUMBER(N483),N483&gt;=0),X483*N483,"")</x:f>
      </x:c>
      <x:c r="P483" s="3"/>
      <x:c r="Q483" s="3"/>
      <x:c r="R483" s="3"/>
      <x:c r="S483" s="3"/>
      <x:c r="T483" s="3"/>
      <x:c r="U483" s="8" t="str">
        <x:f>IF(M483="Mapped",IF(OR(_xlfn.XLOOKUP(A483&amp;"|"&amp;K483,'SOW caps'!$N$7:$N$36,'SOW caps'!$M$7:$M$36,"")="Ready",_xlfn.XLOOKUP(A483&amp;"|"&amp;K483,'SOW caps'!$N$7:$N$36,'SOW caps'!$M$7:$M$36,"")="No hours"),_xlfn.XLOOKUP(A483&amp;"|"&amp;K483,'SOW caps'!$N$7:$N$36,'SOW caps'!$O$7:$O$36,""),""),"")</x:f>
      </x:c>
      <x:c r="V483" s="8" t="str">
        <x:f>IF(AND(ISNUMBER(U483),ISNUMBER(X483)),ROUND(SUMIFS($X$7:X483,$A$7:A483,A483,$K$7:K483,K483,$M$7:M483,"Mapped")*U483,2)-ROUND((SUMIFS($X$7:X483,$A$7:A483,A483,$K$7:K483,K483,$M$7:M483,"Mapped")-X483)*U483,2),"")</x:f>
      </x:c>
      <x:c r="W483" s="1" t="str">
        <x:f>IF(B483="","",IF(OR(NOT(ISNUMBER(I483)),I483&lt;0),"Invalid hours",IF(NOT(ISNUMBER(R483)),"Manual hours",IF(ROUND(I483*3600000,0)=R483,"Source hours","Adjusted hours"))))</x:f>
      </x:c>
      <x:c r="X483" s="10" t="str">
        <x:f>IF(B483="","",IF(AND(ISNUMBER(I483),I483&gt;=0,Q483="In period"),I483,""))</x:f>
      </x:c>
    </x:row>
    <x:row r="484" ht="23" customHeight="1">
      <x:c r="A484" s="3"/>
      <x:c r="B484" s="3"/>
      <x:c r="C484" s="3"/>
      <x:c r="D484" s="3"/>
      <x:c r="E484" s="3"/>
      <x:c r="F484" s="3"/>
      <x:c r="G484" s="3"/>
      <x:c r="H484" s="3"/>
      <x:c r="I484" s="9"/>
      <x:c r="J484" s="3"/>
      <x:c r="K484" s="3"/>
      <x:c r="L484" s="3"/>
      <x:c r="M484" s="1" t="str">
        <x:f>IF(B484="","",IF(W484="Invalid hours","Invalid hours",IF(NOT(ISNUMBER(X484)),"Excluded",IF(AND(J484&lt;&gt;"",K484&lt;&gt;"",L484&lt;&gt;"",COUNTIF('SOW caps'!$N$7:$N$36,A484&amp;"|"&amp;K484)=1),"Mapped","Needs allocation"))))</x:f>
      </x:c>
      <x:c r="N484" s="8" t="str">
        <x:f>IF(B484="","",IF(M484="Mapped",_xlfn.XLOOKUP(A484&amp;"|"&amp;K484,'SOW caps'!$N$7:$N$36,'SOW caps'!$E$7:$E$36,""),IF(ISNUMBER('SOW caps'!$B$3),'SOW caps'!$B$3,"")))</x:f>
      </x:c>
      <x:c r="O484" s="8" t="str">
        <x:f>IF(AND(ISNUMBER(X484),ISNUMBER(N484),N484&gt;=0),X484*N484,"")</x:f>
      </x:c>
      <x:c r="P484" s="3"/>
      <x:c r="Q484" s="3"/>
      <x:c r="R484" s="3"/>
      <x:c r="S484" s="3"/>
      <x:c r="T484" s="3"/>
      <x:c r="U484" s="8" t="str">
        <x:f>IF(M484="Mapped",IF(OR(_xlfn.XLOOKUP(A484&amp;"|"&amp;K484,'SOW caps'!$N$7:$N$36,'SOW caps'!$M$7:$M$36,"")="Ready",_xlfn.XLOOKUP(A484&amp;"|"&amp;K484,'SOW caps'!$N$7:$N$36,'SOW caps'!$M$7:$M$36,"")="No hours"),_xlfn.XLOOKUP(A484&amp;"|"&amp;K484,'SOW caps'!$N$7:$N$36,'SOW caps'!$O$7:$O$36,""),""),"")</x:f>
      </x:c>
      <x:c r="V484" s="8" t="str">
        <x:f>IF(AND(ISNUMBER(U484),ISNUMBER(X484)),ROUND(SUMIFS($X$7:X484,$A$7:A484,A484,$K$7:K484,K484,$M$7:M484,"Mapped")*U484,2)-ROUND((SUMIFS($X$7:X484,$A$7:A484,A484,$K$7:K484,K484,$M$7:M484,"Mapped")-X484)*U484,2),"")</x:f>
      </x:c>
      <x:c r="W484" s="1" t="str">
        <x:f>IF(B484="","",IF(OR(NOT(ISNUMBER(I484)),I484&lt;0),"Invalid hours",IF(NOT(ISNUMBER(R484)),"Manual hours",IF(ROUND(I484*3600000,0)=R484,"Source hours","Adjusted hours"))))</x:f>
      </x:c>
      <x:c r="X484" s="10" t="str">
        <x:f>IF(B484="","",IF(AND(ISNUMBER(I484),I484&gt;=0,Q484="In period"),I484,""))</x:f>
      </x:c>
    </x:row>
    <x:row r="485" ht="23" customHeight="1">
      <x:c r="A485" s="3"/>
      <x:c r="B485" s="3"/>
      <x:c r="C485" s="3"/>
      <x:c r="D485" s="3"/>
      <x:c r="E485" s="3"/>
      <x:c r="F485" s="3"/>
      <x:c r="G485" s="3"/>
      <x:c r="H485" s="3"/>
      <x:c r="I485" s="9"/>
      <x:c r="J485" s="3"/>
      <x:c r="K485" s="3"/>
      <x:c r="L485" s="3"/>
      <x:c r="M485" s="1" t="str">
        <x:f>IF(B485="","",IF(W485="Invalid hours","Invalid hours",IF(NOT(ISNUMBER(X485)),"Excluded",IF(AND(J485&lt;&gt;"",K485&lt;&gt;"",L485&lt;&gt;"",COUNTIF('SOW caps'!$N$7:$N$36,A485&amp;"|"&amp;K485)=1),"Mapped","Needs allocation"))))</x:f>
      </x:c>
      <x:c r="N485" s="8" t="str">
        <x:f>IF(B485="","",IF(M485="Mapped",_xlfn.XLOOKUP(A485&amp;"|"&amp;K485,'SOW caps'!$N$7:$N$36,'SOW caps'!$E$7:$E$36,""),IF(ISNUMBER('SOW caps'!$B$3),'SOW caps'!$B$3,"")))</x:f>
      </x:c>
      <x:c r="O485" s="8" t="str">
        <x:f>IF(AND(ISNUMBER(X485),ISNUMBER(N485),N485&gt;=0),X485*N485,"")</x:f>
      </x:c>
      <x:c r="P485" s="3"/>
      <x:c r="Q485" s="3"/>
      <x:c r="R485" s="3"/>
      <x:c r="S485" s="3"/>
      <x:c r="T485" s="3"/>
      <x:c r="U485" s="8" t="str">
        <x:f>IF(M485="Mapped",IF(OR(_xlfn.XLOOKUP(A485&amp;"|"&amp;K485,'SOW caps'!$N$7:$N$36,'SOW caps'!$M$7:$M$36,"")="Ready",_xlfn.XLOOKUP(A485&amp;"|"&amp;K485,'SOW caps'!$N$7:$N$36,'SOW caps'!$M$7:$M$36,"")="No hours"),_xlfn.XLOOKUP(A485&amp;"|"&amp;K485,'SOW caps'!$N$7:$N$36,'SOW caps'!$O$7:$O$36,""),""),"")</x:f>
      </x:c>
      <x:c r="V485" s="8" t="str">
        <x:f>IF(AND(ISNUMBER(U485),ISNUMBER(X485)),ROUND(SUMIFS($X$7:X485,$A$7:A485,A485,$K$7:K485,K485,$M$7:M485,"Mapped")*U485,2)-ROUND((SUMIFS($X$7:X485,$A$7:A485,A485,$K$7:K485,K485,$M$7:M485,"Mapped")-X485)*U485,2),"")</x:f>
      </x:c>
      <x:c r="W485" s="1" t="str">
        <x:f>IF(B485="","",IF(OR(NOT(ISNUMBER(I485)),I485&lt;0),"Invalid hours",IF(NOT(ISNUMBER(R485)),"Manual hours",IF(ROUND(I485*3600000,0)=R485,"Source hours","Adjusted hours"))))</x:f>
      </x:c>
      <x:c r="X485" s="10" t="str">
        <x:f>IF(B485="","",IF(AND(ISNUMBER(I485),I485&gt;=0,Q485="In period"),I485,""))</x:f>
      </x:c>
    </x:row>
    <x:row r="486" ht="23" customHeight="1">
      <x:c r="A486" s="3"/>
      <x:c r="B486" s="3"/>
      <x:c r="C486" s="3"/>
      <x:c r="D486" s="3"/>
      <x:c r="E486" s="3"/>
      <x:c r="F486" s="3"/>
      <x:c r="G486" s="3"/>
      <x:c r="H486" s="3"/>
      <x:c r="I486" s="9"/>
      <x:c r="J486" s="3"/>
      <x:c r="K486" s="3"/>
      <x:c r="L486" s="3"/>
      <x:c r="M486" s="1" t="str">
        <x:f>IF(B486="","",IF(W486="Invalid hours","Invalid hours",IF(NOT(ISNUMBER(X486)),"Excluded",IF(AND(J486&lt;&gt;"",K486&lt;&gt;"",L486&lt;&gt;"",COUNTIF('SOW caps'!$N$7:$N$36,A486&amp;"|"&amp;K486)=1),"Mapped","Needs allocation"))))</x:f>
      </x:c>
      <x:c r="N486" s="8" t="str">
        <x:f>IF(B486="","",IF(M486="Mapped",_xlfn.XLOOKUP(A486&amp;"|"&amp;K486,'SOW caps'!$N$7:$N$36,'SOW caps'!$E$7:$E$36,""),IF(ISNUMBER('SOW caps'!$B$3),'SOW caps'!$B$3,"")))</x:f>
      </x:c>
      <x:c r="O486" s="8" t="str">
        <x:f>IF(AND(ISNUMBER(X486),ISNUMBER(N486),N486&gt;=0),X486*N486,"")</x:f>
      </x:c>
      <x:c r="P486" s="3"/>
      <x:c r="Q486" s="3"/>
      <x:c r="R486" s="3"/>
      <x:c r="S486" s="3"/>
      <x:c r="T486" s="3"/>
      <x:c r="U486" s="8" t="str">
        <x:f>IF(M486="Mapped",IF(OR(_xlfn.XLOOKUP(A486&amp;"|"&amp;K486,'SOW caps'!$N$7:$N$36,'SOW caps'!$M$7:$M$36,"")="Ready",_xlfn.XLOOKUP(A486&amp;"|"&amp;K486,'SOW caps'!$N$7:$N$36,'SOW caps'!$M$7:$M$36,"")="No hours"),_xlfn.XLOOKUP(A486&amp;"|"&amp;K486,'SOW caps'!$N$7:$N$36,'SOW caps'!$O$7:$O$36,""),""),"")</x:f>
      </x:c>
      <x:c r="V486" s="8" t="str">
        <x:f>IF(AND(ISNUMBER(U486),ISNUMBER(X486)),ROUND(SUMIFS($X$7:X486,$A$7:A486,A486,$K$7:K486,K486,$M$7:M486,"Mapped")*U486,2)-ROUND((SUMIFS($X$7:X486,$A$7:A486,A486,$K$7:K486,K486,$M$7:M486,"Mapped")-X486)*U486,2),"")</x:f>
      </x:c>
      <x:c r="W486" s="1" t="str">
        <x:f>IF(B486="","",IF(OR(NOT(ISNUMBER(I486)),I486&lt;0),"Invalid hours",IF(NOT(ISNUMBER(R486)),"Manual hours",IF(ROUND(I486*3600000,0)=R486,"Source hours","Adjusted hours"))))</x:f>
      </x:c>
      <x:c r="X486" s="10" t="str">
        <x:f>IF(B486="","",IF(AND(ISNUMBER(I486),I486&gt;=0,Q486="In period"),I486,""))</x:f>
      </x:c>
    </x:row>
    <x:row r="487" ht="23" customHeight="1">
      <x:c r="A487" s="3"/>
      <x:c r="B487" s="3"/>
      <x:c r="C487" s="3"/>
      <x:c r="D487" s="3"/>
      <x:c r="E487" s="3"/>
      <x:c r="F487" s="3"/>
      <x:c r="G487" s="3"/>
      <x:c r="H487" s="3"/>
      <x:c r="I487" s="9"/>
      <x:c r="J487" s="3"/>
      <x:c r="K487" s="3"/>
      <x:c r="L487" s="3"/>
      <x:c r="M487" s="1" t="str">
        <x:f>IF(B487="","",IF(W487="Invalid hours","Invalid hours",IF(NOT(ISNUMBER(X487)),"Excluded",IF(AND(J487&lt;&gt;"",K487&lt;&gt;"",L487&lt;&gt;"",COUNTIF('SOW caps'!$N$7:$N$36,A487&amp;"|"&amp;K487)=1),"Mapped","Needs allocation"))))</x:f>
      </x:c>
      <x:c r="N487" s="8" t="str">
        <x:f>IF(B487="","",IF(M487="Mapped",_xlfn.XLOOKUP(A487&amp;"|"&amp;K487,'SOW caps'!$N$7:$N$36,'SOW caps'!$E$7:$E$36,""),IF(ISNUMBER('SOW caps'!$B$3),'SOW caps'!$B$3,"")))</x:f>
      </x:c>
      <x:c r="O487" s="8" t="str">
        <x:f>IF(AND(ISNUMBER(X487),ISNUMBER(N487),N487&gt;=0),X487*N487,"")</x:f>
      </x:c>
      <x:c r="P487" s="3"/>
      <x:c r="Q487" s="3"/>
      <x:c r="R487" s="3"/>
      <x:c r="S487" s="3"/>
      <x:c r="T487" s="3"/>
      <x:c r="U487" s="8" t="str">
        <x:f>IF(M487="Mapped",IF(OR(_xlfn.XLOOKUP(A487&amp;"|"&amp;K487,'SOW caps'!$N$7:$N$36,'SOW caps'!$M$7:$M$36,"")="Ready",_xlfn.XLOOKUP(A487&amp;"|"&amp;K487,'SOW caps'!$N$7:$N$36,'SOW caps'!$M$7:$M$36,"")="No hours"),_xlfn.XLOOKUP(A487&amp;"|"&amp;K487,'SOW caps'!$N$7:$N$36,'SOW caps'!$O$7:$O$36,""),""),"")</x:f>
      </x:c>
      <x:c r="V487" s="8" t="str">
        <x:f>IF(AND(ISNUMBER(U487),ISNUMBER(X487)),ROUND(SUMIFS($X$7:X487,$A$7:A487,A487,$K$7:K487,K487,$M$7:M487,"Mapped")*U487,2)-ROUND((SUMIFS($X$7:X487,$A$7:A487,A487,$K$7:K487,K487,$M$7:M487,"Mapped")-X487)*U487,2),"")</x:f>
      </x:c>
      <x:c r="W487" s="1" t="str">
        <x:f>IF(B487="","",IF(OR(NOT(ISNUMBER(I487)),I487&lt;0),"Invalid hours",IF(NOT(ISNUMBER(R487)),"Manual hours",IF(ROUND(I487*3600000,0)=R487,"Source hours","Adjusted hours"))))</x:f>
      </x:c>
      <x:c r="X487" s="10" t="str">
        <x:f>IF(B487="","",IF(AND(ISNUMBER(I487),I487&gt;=0,Q487="In period"),I487,""))</x:f>
      </x:c>
    </x:row>
    <x:row r="488" ht="23" customHeight="1">
      <x:c r="A488" s="3"/>
      <x:c r="B488" s="3"/>
      <x:c r="C488" s="3"/>
      <x:c r="D488" s="3"/>
      <x:c r="E488" s="3"/>
      <x:c r="F488" s="3"/>
      <x:c r="G488" s="3"/>
      <x:c r="H488" s="3"/>
      <x:c r="I488" s="9"/>
      <x:c r="J488" s="3"/>
      <x:c r="K488" s="3"/>
      <x:c r="L488" s="3"/>
      <x:c r="M488" s="1" t="str">
        <x:f>IF(B488="","",IF(W488="Invalid hours","Invalid hours",IF(NOT(ISNUMBER(X488)),"Excluded",IF(AND(J488&lt;&gt;"",K488&lt;&gt;"",L488&lt;&gt;"",COUNTIF('SOW caps'!$N$7:$N$36,A488&amp;"|"&amp;K488)=1),"Mapped","Needs allocation"))))</x:f>
      </x:c>
      <x:c r="N488" s="8" t="str">
        <x:f>IF(B488="","",IF(M488="Mapped",_xlfn.XLOOKUP(A488&amp;"|"&amp;K488,'SOW caps'!$N$7:$N$36,'SOW caps'!$E$7:$E$36,""),IF(ISNUMBER('SOW caps'!$B$3),'SOW caps'!$B$3,"")))</x:f>
      </x:c>
      <x:c r="O488" s="8" t="str">
        <x:f>IF(AND(ISNUMBER(X488),ISNUMBER(N488),N488&gt;=0),X488*N488,"")</x:f>
      </x:c>
      <x:c r="P488" s="3"/>
      <x:c r="Q488" s="3"/>
      <x:c r="R488" s="3"/>
      <x:c r="S488" s="3"/>
      <x:c r="T488" s="3"/>
      <x:c r="U488" s="8" t="str">
        <x:f>IF(M488="Mapped",IF(OR(_xlfn.XLOOKUP(A488&amp;"|"&amp;K488,'SOW caps'!$N$7:$N$36,'SOW caps'!$M$7:$M$36,"")="Ready",_xlfn.XLOOKUP(A488&amp;"|"&amp;K488,'SOW caps'!$N$7:$N$36,'SOW caps'!$M$7:$M$36,"")="No hours"),_xlfn.XLOOKUP(A488&amp;"|"&amp;K488,'SOW caps'!$N$7:$N$36,'SOW caps'!$O$7:$O$36,""),""),"")</x:f>
      </x:c>
      <x:c r="V488" s="8" t="str">
        <x:f>IF(AND(ISNUMBER(U488),ISNUMBER(X488)),ROUND(SUMIFS($X$7:X488,$A$7:A488,A488,$K$7:K488,K488,$M$7:M488,"Mapped")*U488,2)-ROUND((SUMIFS($X$7:X488,$A$7:A488,A488,$K$7:K488,K488,$M$7:M488,"Mapped")-X488)*U488,2),"")</x:f>
      </x:c>
      <x:c r="W488" s="1" t="str">
        <x:f>IF(B488="","",IF(OR(NOT(ISNUMBER(I488)),I488&lt;0),"Invalid hours",IF(NOT(ISNUMBER(R488)),"Manual hours",IF(ROUND(I488*3600000,0)=R488,"Source hours","Adjusted hours"))))</x:f>
      </x:c>
      <x:c r="X488" s="10" t="str">
        <x:f>IF(B488="","",IF(AND(ISNUMBER(I488),I488&gt;=0,Q488="In period"),I488,""))</x:f>
      </x:c>
    </x:row>
    <x:row r="489" ht="23" customHeight="1">
      <x:c r="A489" s="3"/>
      <x:c r="B489" s="3"/>
      <x:c r="C489" s="3"/>
      <x:c r="D489" s="3"/>
      <x:c r="E489" s="3"/>
      <x:c r="F489" s="3"/>
      <x:c r="G489" s="3"/>
      <x:c r="H489" s="3"/>
      <x:c r="I489" s="9"/>
      <x:c r="J489" s="3"/>
      <x:c r="K489" s="3"/>
      <x:c r="L489" s="3"/>
      <x:c r="M489" s="1" t="str">
        <x:f>IF(B489="","",IF(W489="Invalid hours","Invalid hours",IF(NOT(ISNUMBER(X489)),"Excluded",IF(AND(J489&lt;&gt;"",K489&lt;&gt;"",L489&lt;&gt;"",COUNTIF('SOW caps'!$N$7:$N$36,A489&amp;"|"&amp;K489)=1),"Mapped","Needs allocation"))))</x:f>
      </x:c>
      <x:c r="N489" s="8" t="str">
        <x:f>IF(B489="","",IF(M489="Mapped",_xlfn.XLOOKUP(A489&amp;"|"&amp;K489,'SOW caps'!$N$7:$N$36,'SOW caps'!$E$7:$E$36,""),IF(ISNUMBER('SOW caps'!$B$3),'SOW caps'!$B$3,"")))</x:f>
      </x:c>
      <x:c r="O489" s="8" t="str">
        <x:f>IF(AND(ISNUMBER(X489),ISNUMBER(N489),N489&gt;=0),X489*N489,"")</x:f>
      </x:c>
      <x:c r="P489" s="3"/>
      <x:c r="Q489" s="3"/>
      <x:c r="R489" s="3"/>
      <x:c r="S489" s="3"/>
      <x:c r="T489" s="3"/>
      <x:c r="U489" s="8" t="str">
        <x:f>IF(M489="Mapped",IF(OR(_xlfn.XLOOKUP(A489&amp;"|"&amp;K489,'SOW caps'!$N$7:$N$36,'SOW caps'!$M$7:$M$36,"")="Ready",_xlfn.XLOOKUP(A489&amp;"|"&amp;K489,'SOW caps'!$N$7:$N$36,'SOW caps'!$M$7:$M$36,"")="No hours"),_xlfn.XLOOKUP(A489&amp;"|"&amp;K489,'SOW caps'!$N$7:$N$36,'SOW caps'!$O$7:$O$36,""),""),"")</x:f>
      </x:c>
      <x:c r="V489" s="8" t="str">
        <x:f>IF(AND(ISNUMBER(U489),ISNUMBER(X489)),ROUND(SUMIFS($X$7:X489,$A$7:A489,A489,$K$7:K489,K489,$M$7:M489,"Mapped")*U489,2)-ROUND((SUMIFS($X$7:X489,$A$7:A489,A489,$K$7:K489,K489,$M$7:M489,"Mapped")-X489)*U489,2),"")</x:f>
      </x:c>
      <x:c r="W489" s="1" t="str">
        <x:f>IF(B489="","",IF(OR(NOT(ISNUMBER(I489)),I489&lt;0),"Invalid hours",IF(NOT(ISNUMBER(R489)),"Manual hours",IF(ROUND(I489*3600000,0)=R489,"Source hours","Adjusted hours"))))</x:f>
      </x:c>
      <x:c r="X489" s="10" t="str">
        <x:f>IF(B489="","",IF(AND(ISNUMBER(I489),I489&gt;=0,Q489="In period"),I489,""))</x:f>
      </x:c>
    </x:row>
    <x:row r="490" ht="23" customHeight="1">
      <x:c r="A490" s="3"/>
      <x:c r="B490" s="3"/>
      <x:c r="C490" s="3"/>
      <x:c r="D490" s="3"/>
      <x:c r="E490" s="3"/>
      <x:c r="F490" s="3"/>
      <x:c r="G490" s="3"/>
      <x:c r="H490" s="3"/>
      <x:c r="I490" s="9"/>
      <x:c r="J490" s="3"/>
      <x:c r="K490" s="3"/>
      <x:c r="L490" s="3"/>
      <x:c r="M490" s="1" t="str">
        <x:f>IF(B490="","",IF(W490="Invalid hours","Invalid hours",IF(NOT(ISNUMBER(X490)),"Excluded",IF(AND(J490&lt;&gt;"",K490&lt;&gt;"",L490&lt;&gt;"",COUNTIF('SOW caps'!$N$7:$N$36,A490&amp;"|"&amp;K490)=1),"Mapped","Needs allocation"))))</x:f>
      </x:c>
      <x:c r="N490" s="8" t="str">
        <x:f>IF(B490="","",IF(M490="Mapped",_xlfn.XLOOKUP(A490&amp;"|"&amp;K490,'SOW caps'!$N$7:$N$36,'SOW caps'!$E$7:$E$36,""),IF(ISNUMBER('SOW caps'!$B$3),'SOW caps'!$B$3,"")))</x:f>
      </x:c>
      <x:c r="O490" s="8" t="str">
        <x:f>IF(AND(ISNUMBER(X490),ISNUMBER(N490),N490&gt;=0),X490*N490,"")</x:f>
      </x:c>
      <x:c r="P490" s="3"/>
      <x:c r="Q490" s="3"/>
      <x:c r="R490" s="3"/>
      <x:c r="S490" s="3"/>
      <x:c r="T490" s="3"/>
      <x:c r="U490" s="8" t="str">
        <x:f>IF(M490="Mapped",IF(OR(_xlfn.XLOOKUP(A490&amp;"|"&amp;K490,'SOW caps'!$N$7:$N$36,'SOW caps'!$M$7:$M$36,"")="Ready",_xlfn.XLOOKUP(A490&amp;"|"&amp;K490,'SOW caps'!$N$7:$N$36,'SOW caps'!$M$7:$M$36,"")="No hours"),_xlfn.XLOOKUP(A490&amp;"|"&amp;K490,'SOW caps'!$N$7:$N$36,'SOW caps'!$O$7:$O$36,""),""),"")</x:f>
      </x:c>
      <x:c r="V490" s="8" t="str">
        <x:f>IF(AND(ISNUMBER(U490),ISNUMBER(X490)),ROUND(SUMIFS($X$7:X490,$A$7:A490,A490,$K$7:K490,K490,$M$7:M490,"Mapped")*U490,2)-ROUND((SUMIFS($X$7:X490,$A$7:A490,A490,$K$7:K490,K490,$M$7:M490,"Mapped")-X490)*U490,2),"")</x:f>
      </x:c>
      <x:c r="W490" s="1" t="str">
        <x:f>IF(B490="","",IF(OR(NOT(ISNUMBER(I490)),I490&lt;0),"Invalid hours",IF(NOT(ISNUMBER(R490)),"Manual hours",IF(ROUND(I490*3600000,0)=R490,"Source hours","Adjusted hours"))))</x:f>
      </x:c>
      <x:c r="X490" s="10" t="str">
        <x:f>IF(B490="","",IF(AND(ISNUMBER(I490),I490&gt;=0,Q490="In period"),I490,""))</x:f>
      </x:c>
    </x:row>
    <x:row r="491" ht="23" customHeight="1">
      <x:c r="A491" s="3"/>
      <x:c r="B491" s="3"/>
      <x:c r="C491" s="3"/>
      <x:c r="D491" s="3"/>
      <x:c r="E491" s="3"/>
      <x:c r="F491" s="3"/>
      <x:c r="G491" s="3"/>
      <x:c r="H491" s="3"/>
      <x:c r="I491" s="9"/>
      <x:c r="J491" s="3"/>
      <x:c r="K491" s="3"/>
      <x:c r="L491" s="3"/>
      <x:c r="M491" s="1" t="str">
        <x:f>IF(B491="","",IF(W491="Invalid hours","Invalid hours",IF(NOT(ISNUMBER(X491)),"Excluded",IF(AND(J491&lt;&gt;"",K491&lt;&gt;"",L491&lt;&gt;"",COUNTIF('SOW caps'!$N$7:$N$36,A491&amp;"|"&amp;K491)=1),"Mapped","Needs allocation"))))</x:f>
      </x:c>
      <x:c r="N491" s="8" t="str">
        <x:f>IF(B491="","",IF(M491="Mapped",_xlfn.XLOOKUP(A491&amp;"|"&amp;K491,'SOW caps'!$N$7:$N$36,'SOW caps'!$E$7:$E$36,""),IF(ISNUMBER('SOW caps'!$B$3),'SOW caps'!$B$3,"")))</x:f>
      </x:c>
      <x:c r="O491" s="8" t="str">
        <x:f>IF(AND(ISNUMBER(X491),ISNUMBER(N491),N491&gt;=0),X491*N491,"")</x:f>
      </x:c>
      <x:c r="P491" s="3"/>
      <x:c r="Q491" s="3"/>
      <x:c r="R491" s="3"/>
      <x:c r="S491" s="3"/>
      <x:c r="T491" s="3"/>
      <x:c r="U491" s="8" t="str">
        <x:f>IF(M491="Mapped",IF(OR(_xlfn.XLOOKUP(A491&amp;"|"&amp;K491,'SOW caps'!$N$7:$N$36,'SOW caps'!$M$7:$M$36,"")="Ready",_xlfn.XLOOKUP(A491&amp;"|"&amp;K491,'SOW caps'!$N$7:$N$36,'SOW caps'!$M$7:$M$36,"")="No hours"),_xlfn.XLOOKUP(A491&amp;"|"&amp;K491,'SOW caps'!$N$7:$N$36,'SOW caps'!$O$7:$O$36,""),""),"")</x:f>
      </x:c>
      <x:c r="V491" s="8" t="str">
        <x:f>IF(AND(ISNUMBER(U491),ISNUMBER(X491)),ROUND(SUMIFS($X$7:X491,$A$7:A491,A491,$K$7:K491,K491,$M$7:M491,"Mapped")*U491,2)-ROUND((SUMIFS($X$7:X491,$A$7:A491,A491,$K$7:K491,K491,$M$7:M491,"Mapped")-X491)*U491,2),"")</x:f>
      </x:c>
      <x:c r="W491" s="1" t="str">
        <x:f>IF(B491="","",IF(OR(NOT(ISNUMBER(I491)),I491&lt;0),"Invalid hours",IF(NOT(ISNUMBER(R491)),"Manual hours",IF(ROUND(I491*3600000,0)=R491,"Source hours","Adjusted hours"))))</x:f>
      </x:c>
      <x:c r="X491" s="10" t="str">
        <x:f>IF(B491="","",IF(AND(ISNUMBER(I491),I491&gt;=0,Q491="In period"),I491,""))</x:f>
      </x:c>
    </x:row>
    <x:row r="492" ht="23" customHeight="1">
      <x:c r="A492" s="3"/>
      <x:c r="B492" s="3"/>
      <x:c r="C492" s="3"/>
      <x:c r="D492" s="3"/>
      <x:c r="E492" s="3"/>
      <x:c r="F492" s="3"/>
      <x:c r="G492" s="3"/>
      <x:c r="H492" s="3"/>
      <x:c r="I492" s="9"/>
      <x:c r="J492" s="3"/>
      <x:c r="K492" s="3"/>
      <x:c r="L492" s="3"/>
      <x:c r="M492" s="1" t="str">
        <x:f>IF(B492="","",IF(W492="Invalid hours","Invalid hours",IF(NOT(ISNUMBER(X492)),"Excluded",IF(AND(J492&lt;&gt;"",K492&lt;&gt;"",L492&lt;&gt;"",COUNTIF('SOW caps'!$N$7:$N$36,A492&amp;"|"&amp;K492)=1),"Mapped","Needs allocation"))))</x:f>
      </x:c>
      <x:c r="N492" s="8" t="str">
        <x:f>IF(B492="","",IF(M492="Mapped",_xlfn.XLOOKUP(A492&amp;"|"&amp;K492,'SOW caps'!$N$7:$N$36,'SOW caps'!$E$7:$E$36,""),IF(ISNUMBER('SOW caps'!$B$3),'SOW caps'!$B$3,"")))</x:f>
      </x:c>
      <x:c r="O492" s="8" t="str">
        <x:f>IF(AND(ISNUMBER(X492),ISNUMBER(N492),N492&gt;=0),X492*N492,"")</x:f>
      </x:c>
      <x:c r="P492" s="3"/>
      <x:c r="Q492" s="3"/>
      <x:c r="R492" s="3"/>
      <x:c r="S492" s="3"/>
      <x:c r="T492" s="3"/>
      <x:c r="U492" s="8" t="str">
        <x:f>IF(M492="Mapped",IF(OR(_xlfn.XLOOKUP(A492&amp;"|"&amp;K492,'SOW caps'!$N$7:$N$36,'SOW caps'!$M$7:$M$36,"")="Ready",_xlfn.XLOOKUP(A492&amp;"|"&amp;K492,'SOW caps'!$N$7:$N$36,'SOW caps'!$M$7:$M$36,"")="No hours"),_xlfn.XLOOKUP(A492&amp;"|"&amp;K492,'SOW caps'!$N$7:$N$36,'SOW caps'!$O$7:$O$36,""),""),"")</x:f>
      </x:c>
      <x:c r="V492" s="8" t="str">
        <x:f>IF(AND(ISNUMBER(U492),ISNUMBER(X492)),ROUND(SUMIFS($X$7:X492,$A$7:A492,A492,$K$7:K492,K492,$M$7:M492,"Mapped")*U492,2)-ROUND((SUMIFS($X$7:X492,$A$7:A492,A492,$K$7:K492,K492,$M$7:M492,"Mapped")-X492)*U492,2),"")</x:f>
      </x:c>
      <x:c r="W492" s="1" t="str">
        <x:f>IF(B492="","",IF(OR(NOT(ISNUMBER(I492)),I492&lt;0),"Invalid hours",IF(NOT(ISNUMBER(R492)),"Manual hours",IF(ROUND(I492*3600000,0)=R492,"Source hours","Adjusted hours"))))</x:f>
      </x:c>
      <x:c r="X492" s="10" t="str">
        <x:f>IF(B492="","",IF(AND(ISNUMBER(I492),I492&gt;=0,Q492="In period"),I492,""))</x:f>
      </x:c>
    </x:row>
    <x:row r="493" ht="23" customHeight="1">
      <x:c r="A493" s="3"/>
      <x:c r="B493" s="3"/>
      <x:c r="C493" s="3"/>
      <x:c r="D493" s="3"/>
      <x:c r="E493" s="3"/>
      <x:c r="F493" s="3"/>
      <x:c r="G493" s="3"/>
      <x:c r="H493" s="3"/>
      <x:c r="I493" s="9"/>
      <x:c r="J493" s="3"/>
      <x:c r="K493" s="3"/>
      <x:c r="L493" s="3"/>
      <x:c r="M493" s="1" t="str">
        <x:f>IF(B493="","",IF(W493="Invalid hours","Invalid hours",IF(NOT(ISNUMBER(X493)),"Excluded",IF(AND(J493&lt;&gt;"",K493&lt;&gt;"",L493&lt;&gt;"",COUNTIF('SOW caps'!$N$7:$N$36,A493&amp;"|"&amp;K493)=1),"Mapped","Needs allocation"))))</x:f>
      </x:c>
      <x:c r="N493" s="8" t="str">
        <x:f>IF(B493="","",IF(M493="Mapped",_xlfn.XLOOKUP(A493&amp;"|"&amp;K493,'SOW caps'!$N$7:$N$36,'SOW caps'!$E$7:$E$36,""),IF(ISNUMBER('SOW caps'!$B$3),'SOW caps'!$B$3,"")))</x:f>
      </x:c>
      <x:c r="O493" s="8" t="str">
        <x:f>IF(AND(ISNUMBER(X493),ISNUMBER(N493),N493&gt;=0),X493*N493,"")</x:f>
      </x:c>
      <x:c r="P493" s="3"/>
      <x:c r="Q493" s="3"/>
      <x:c r="R493" s="3"/>
      <x:c r="S493" s="3"/>
      <x:c r="T493" s="3"/>
      <x:c r="U493" s="8" t="str">
        <x:f>IF(M493="Mapped",IF(OR(_xlfn.XLOOKUP(A493&amp;"|"&amp;K493,'SOW caps'!$N$7:$N$36,'SOW caps'!$M$7:$M$36,"")="Ready",_xlfn.XLOOKUP(A493&amp;"|"&amp;K493,'SOW caps'!$N$7:$N$36,'SOW caps'!$M$7:$M$36,"")="No hours"),_xlfn.XLOOKUP(A493&amp;"|"&amp;K493,'SOW caps'!$N$7:$N$36,'SOW caps'!$O$7:$O$36,""),""),"")</x:f>
      </x:c>
      <x:c r="V493" s="8" t="str">
        <x:f>IF(AND(ISNUMBER(U493),ISNUMBER(X493)),ROUND(SUMIFS($X$7:X493,$A$7:A493,A493,$K$7:K493,K493,$M$7:M493,"Mapped")*U493,2)-ROUND((SUMIFS($X$7:X493,$A$7:A493,A493,$K$7:K493,K493,$M$7:M493,"Mapped")-X493)*U493,2),"")</x:f>
      </x:c>
      <x:c r="W493" s="1" t="str">
        <x:f>IF(B493="","",IF(OR(NOT(ISNUMBER(I493)),I493&lt;0),"Invalid hours",IF(NOT(ISNUMBER(R493)),"Manual hours",IF(ROUND(I493*3600000,0)=R493,"Source hours","Adjusted hours"))))</x:f>
      </x:c>
      <x:c r="X493" s="10" t="str">
        <x:f>IF(B493="","",IF(AND(ISNUMBER(I493),I493&gt;=0,Q493="In period"),I493,""))</x:f>
      </x:c>
    </x:row>
    <x:row r="494" ht="23" customHeight="1">
      <x:c r="A494" s="3"/>
      <x:c r="B494" s="3"/>
      <x:c r="C494" s="3"/>
      <x:c r="D494" s="3"/>
      <x:c r="E494" s="3"/>
      <x:c r="F494" s="3"/>
      <x:c r="G494" s="3"/>
      <x:c r="H494" s="3"/>
      <x:c r="I494" s="9"/>
      <x:c r="J494" s="3"/>
      <x:c r="K494" s="3"/>
      <x:c r="L494" s="3"/>
      <x:c r="M494" s="1" t="str">
        <x:f>IF(B494="","",IF(W494="Invalid hours","Invalid hours",IF(NOT(ISNUMBER(X494)),"Excluded",IF(AND(J494&lt;&gt;"",K494&lt;&gt;"",L494&lt;&gt;"",COUNTIF('SOW caps'!$N$7:$N$36,A494&amp;"|"&amp;K494)=1),"Mapped","Needs allocation"))))</x:f>
      </x:c>
      <x:c r="N494" s="8" t="str">
        <x:f>IF(B494="","",IF(M494="Mapped",_xlfn.XLOOKUP(A494&amp;"|"&amp;K494,'SOW caps'!$N$7:$N$36,'SOW caps'!$E$7:$E$36,""),IF(ISNUMBER('SOW caps'!$B$3),'SOW caps'!$B$3,"")))</x:f>
      </x:c>
      <x:c r="O494" s="8" t="str">
        <x:f>IF(AND(ISNUMBER(X494),ISNUMBER(N494),N494&gt;=0),X494*N494,"")</x:f>
      </x:c>
      <x:c r="P494" s="3"/>
      <x:c r="Q494" s="3"/>
      <x:c r="R494" s="3"/>
      <x:c r="S494" s="3"/>
      <x:c r="T494" s="3"/>
      <x:c r="U494" s="8" t="str">
        <x:f>IF(M494="Mapped",IF(OR(_xlfn.XLOOKUP(A494&amp;"|"&amp;K494,'SOW caps'!$N$7:$N$36,'SOW caps'!$M$7:$M$36,"")="Ready",_xlfn.XLOOKUP(A494&amp;"|"&amp;K494,'SOW caps'!$N$7:$N$36,'SOW caps'!$M$7:$M$36,"")="No hours"),_xlfn.XLOOKUP(A494&amp;"|"&amp;K494,'SOW caps'!$N$7:$N$36,'SOW caps'!$O$7:$O$36,""),""),"")</x:f>
      </x:c>
      <x:c r="V494" s="8" t="str">
        <x:f>IF(AND(ISNUMBER(U494),ISNUMBER(X494)),ROUND(SUMIFS($X$7:X494,$A$7:A494,A494,$K$7:K494,K494,$M$7:M494,"Mapped")*U494,2)-ROUND((SUMIFS($X$7:X494,$A$7:A494,A494,$K$7:K494,K494,$M$7:M494,"Mapped")-X494)*U494,2),"")</x:f>
      </x:c>
      <x:c r="W494" s="1" t="str">
        <x:f>IF(B494="","",IF(OR(NOT(ISNUMBER(I494)),I494&lt;0),"Invalid hours",IF(NOT(ISNUMBER(R494)),"Manual hours",IF(ROUND(I494*3600000,0)=R494,"Source hours","Adjusted hours"))))</x:f>
      </x:c>
      <x:c r="X494" s="10" t="str">
        <x:f>IF(B494="","",IF(AND(ISNUMBER(I494),I494&gt;=0,Q494="In period"),I494,""))</x:f>
      </x:c>
    </x:row>
    <x:row r="495" ht="23" customHeight="1">
      <x:c r="A495" s="3"/>
      <x:c r="B495" s="3"/>
      <x:c r="C495" s="3"/>
      <x:c r="D495" s="3"/>
      <x:c r="E495" s="3"/>
      <x:c r="F495" s="3"/>
      <x:c r="G495" s="3"/>
      <x:c r="H495" s="3"/>
      <x:c r="I495" s="9"/>
      <x:c r="J495" s="3"/>
      <x:c r="K495" s="3"/>
      <x:c r="L495" s="3"/>
      <x:c r="M495" s="1" t="str">
        <x:f>IF(B495="","",IF(W495="Invalid hours","Invalid hours",IF(NOT(ISNUMBER(X495)),"Excluded",IF(AND(J495&lt;&gt;"",K495&lt;&gt;"",L495&lt;&gt;"",COUNTIF('SOW caps'!$N$7:$N$36,A495&amp;"|"&amp;K495)=1),"Mapped","Needs allocation"))))</x:f>
      </x:c>
      <x:c r="N495" s="8" t="str">
        <x:f>IF(B495="","",IF(M495="Mapped",_xlfn.XLOOKUP(A495&amp;"|"&amp;K495,'SOW caps'!$N$7:$N$36,'SOW caps'!$E$7:$E$36,""),IF(ISNUMBER('SOW caps'!$B$3),'SOW caps'!$B$3,"")))</x:f>
      </x:c>
      <x:c r="O495" s="8" t="str">
        <x:f>IF(AND(ISNUMBER(X495),ISNUMBER(N495),N495&gt;=0),X495*N495,"")</x:f>
      </x:c>
      <x:c r="P495" s="3"/>
      <x:c r="Q495" s="3"/>
      <x:c r="R495" s="3"/>
      <x:c r="S495" s="3"/>
      <x:c r="T495" s="3"/>
      <x:c r="U495" s="8" t="str">
        <x:f>IF(M495="Mapped",IF(OR(_xlfn.XLOOKUP(A495&amp;"|"&amp;K495,'SOW caps'!$N$7:$N$36,'SOW caps'!$M$7:$M$36,"")="Ready",_xlfn.XLOOKUP(A495&amp;"|"&amp;K495,'SOW caps'!$N$7:$N$36,'SOW caps'!$M$7:$M$36,"")="No hours"),_xlfn.XLOOKUP(A495&amp;"|"&amp;K495,'SOW caps'!$N$7:$N$36,'SOW caps'!$O$7:$O$36,""),""),"")</x:f>
      </x:c>
      <x:c r="V495" s="8" t="str">
        <x:f>IF(AND(ISNUMBER(U495),ISNUMBER(X495)),ROUND(SUMIFS($X$7:X495,$A$7:A495,A495,$K$7:K495,K495,$M$7:M495,"Mapped")*U495,2)-ROUND((SUMIFS($X$7:X495,$A$7:A495,A495,$K$7:K495,K495,$M$7:M495,"Mapped")-X495)*U495,2),"")</x:f>
      </x:c>
      <x:c r="W495" s="1" t="str">
        <x:f>IF(B495="","",IF(OR(NOT(ISNUMBER(I495)),I495&lt;0),"Invalid hours",IF(NOT(ISNUMBER(R495)),"Manual hours",IF(ROUND(I495*3600000,0)=R495,"Source hours","Adjusted hours"))))</x:f>
      </x:c>
      <x:c r="X495" s="10" t="str">
        <x:f>IF(B495="","",IF(AND(ISNUMBER(I495),I495&gt;=0,Q495="In period"),I495,""))</x:f>
      </x:c>
    </x:row>
    <x:row r="496" ht="23" customHeight="1">
      <x:c r="A496" s="3"/>
      <x:c r="B496" s="3"/>
      <x:c r="C496" s="3"/>
      <x:c r="D496" s="3"/>
      <x:c r="E496" s="3"/>
      <x:c r="F496" s="3"/>
      <x:c r="G496" s="3"/>
      <x:c r="H496" s="3"/>
      <x:c r="I496" s="9"/>
      <x:c r="J496" s="3"/>
      <x:c r="K496" s="3"/>
      <x:c r="L496" s="3"/>
      <x:c r="M496" s="1" t="str">
        <x:f>IF(B496="","",IF(W496="Invalid hours","Invalid hours",IF(NOT(ISNUMBER(X496)),"Excluded",IF(AND(J496&lt;&gt;"",K496&lt;&gt;"",L496&lt;&gt;"",COUNTIF('SOW caps'!$N$7:$N$36,A496&amp;"|"&amp;K496)=1),"Mapped","Needs allocation"))))</x:f>
      </x:c>
      <x:c r="N496" s="8" t="str">
        <x:f>IF(B496="","",IF(M496="Mapped",_xlfn.XLOOKUP(A496&amp;"|"&amp;K496,'SOW caps'!$N$7:$N$36,'SOW caps'!$E$7:$E$36,""),IF(ISNUMBER('SOW caps'!$B$3),'SOW caps'!$B$3,"")))</x:f>
      </x:c>
      <x:c r="O496" s="8" t="str">
        <x:f>IF(AND(ISNUMBER(X496),ISNUMBER(N496),N496&gt;=0),X496*N496,"")</x:f>
      </x:c>
      <x:c r="P496" s="3"/>
      <x:c r="Q496" s="3"/>
      <x:c r="R496" s="3"/>
      <x:c r="S496" s="3"/>
      <x:c r="T496" s="3"/>
      <x:c r="U496" s="8" t="str">
        <x:f>IF(M496="Mapped",IF(OR(_xlfn.XLOOKUP(A496&amp;"|"&amp;K496,'SOW caps'!$N$7:$N$36,'SOW caps'!$M$7:$M$36,"")="Ready",_xlfn.XLOOKUP(A496&amp;"|"&amp;K496,'SOW caps'!$N$7:$N$36,'SOW caps'!$M$7:$M$36,"")="No hours"),_xlfn.XLOOKUP(A496&amp;"|"&amp;K496,'SOW caps'!$N$7:$N$36,'SOW caps'!$O$7:$O$36,""),""),"")</x:f>
      </x:c>
      <x:c r="V496" s="8" t="str">
        <x:f>IF(AND(ISNUMBER(U496),ISNUMBER(X496)),ROUND(SUMIFS($X$7:X496,$A$7:A496,A496,$K$7:K496,K496,$M$7:M496,"Mapped")*U496,2)-ROUND((SUMIFS($X$7:X496,$A$7:A496,A496,$K$7:K496,K496,$M$7:M496,"Mapped")-X496)*U496,2),"")</x:f>
      </x:c>
      <x:c r="W496" s="1" t="str">
        <x:f>IF(B496="","",IF(OR(NOT(ISNUMBER(I496)),I496&lt;0),"Invalid hours",IF(NOT(ISNUMBER(R496)),"Manual hours",IF(ROUND(I496*3600000,0)=R496,"Source hours","Adjusted hours"))))</x:f>
      </x:c>
      <x:c r="X496" s="10" t="str">
        <x:f>IF(B496="","",IF(AND(ISNUMBER(I496),I496&gt;=0,Q496="In period"),I496,""))</x:f>
      </x:c>
    </x:row>
    <x:row r="497" ht="23" customHeight="1">
      <x:c r="A497" s="3"/>
      <x:c r="B497" s="3"/>
      <x:c r="C497" s="3"/>
      <x:c r="D497" s="3"/>
      <x:c r="E497" s="3"/>
      <x:c r="F497" s="3"/>
      <x:c r="G497" s="3"/>
      <x:c r="H497" s="3"/>
      <x:c r="I497" s="9"/>
      <x:c r="J497" s="3"/>
      <x:c r="K497" s="3"/>
      <x:c r="L497" s="3"/>
      <x:c r="M497" s="1" t="str">
        <x:f>IF(B497="","",IF(W497="Invalid hours","Invalid hours",IF(NOT(ISNUMBER(X497)),"Excluded",IF(AND(J497&lt;&gt;"",K497&lt;&gt;"",L497&lt;&gt;"",COUNTIF('SOW caps'!$N$7:$N$36,A497&amp;"|"&amp;K497)=1),"Mapped","Needs allocation"))))</x:f>
      </x:c>
      <x:c r="N497" s="8" t="str">
        <x:f>IF(B497="","",IF(M497="Mapped",_xlfn.XLOOKUP(A497&amp;"|"&amp;K497,'SOW caps'!$N$7:$N$36,'SOW caps'!$E$7:$E$36,""),IF(ISNUMBER('SOW caps'!$B$3),'SOW caps'!$B$3,"")))</x:f>
      </x:c>
      <x:c r="O497" s="8" t="str">
        <x:f>IF(AND(ISNUMBER(X497),ISNUMBER(N497),N497&gt;=0),X497*N497,"")</x:f>
      </x:c>
      <x:c r="P497" s="3"/>
      <x:c r="Q497" s="3"/>
      <x:c r="R497" s="3"/>
      <x:c r="S497" s="3"/>
      <x:c r="T497" s="3"/>
      <x:c r="U497" s="8" t="str">
        <x:f>IF(M497="Mapped",IF(OR(_xlfn.XLOOKUP(A497&amp;"|"&amp;K497,'SOW caps'!$N$7:$N$36,'SOW caps'!$M$7:$M$36,"")="Ready",_xlfn.XLOOKUP(A497&amp;"|"&amp;K497,'SOW caps'!$N$7:$N$36,'SOW caps'!$M$7:$M$36,"")="No hours"),_xlfn.XLOOKUP(A497&amp;"|"&amp;K497,'SOW caps'!$N$7:$N$36,'SOW caps'!$O$7:$O$36,""),""),"")</x:f>
      </x:c>
      <x:c r="V497" s="8" t="str">
        <x:f>IF(AND(ISNUMBER(U497),ISNUMBER(X497)),ROUND(SUMIFS($X$7:X497,$A$7:A497,A497,$K$7:K497,K497,$M$7:M497,"Mapped")*U497,2)-ROUND((SUMIFS($X$7:X497,$A$7:A497,A497,$K$7:K497,K497,$M$7:M497,"Mapped")-X497)*U497,2),"")</x:f>
      </x:c>
      <x:c r="W497" s="1" t="str">
        <x:f>IF(B497="","",IF(OR(NOT(ISNUMBER(I497)),I497&lt;0),"Invalid hours",IF(NOT(ISNUMBER(R497)),"Manual hours",IF(ROUND(I497*3600000,0)=R497,"Source hours","Adjusted hours"))))</x:f>
      </x:c>
      <x:c r="X497" s="10" t="str">
        <x:f>IF(B497="","",IF(AND(ISNUMBER(I497),I497&gt;=0,Q497="In period"),I497,""))</x:f>
      </x:c>
    </x:row>
    <x:row r="498" ht="23" customHeight="1">
      <x:c r="A498" s="3"/>
      <x:c r="B498" s="3"/>
      <x:c r="C498" s="3"/>
      <x:c r="D498" s="3"/>
      <x:c r="E498" s="3"/>
      <x:c r="F498" s="3"/>
      <x:c r="G498" s="3"/>
      <x:c r="H498" s="3"/>
      <x:c r="I498" s="9"/>
      <x:c r="J498" s="3"/>
      <x:c r="K498" s="3"/>
      <x:c r="L498" s="3"/>
      <x:c r="M498" s="1" t="str">
        <x:f>IF(B498="","",IF(W498="Invalid hours","Invalid hours",IF(NOT(ISNUMBER(X498)),"Excluded",IF(AND(J498&lt;&gt;"",K498&lt;&gt;"",L498&lt;&gt;"",COUNTIF('SOW caps'!$N$7:$N$36,A498&amp;"|"&amp;K498)=1),"Mapped","Needs allocation"))))</x:f>
      </x:c>
      <x:c r="N498" s="8" t="str">
        <x:f>IF(B498="","",IF(M498="Mapped",_xlfn.XLOOKUP(A498&amp;"|"&amp;K498,'SOW caps'!$N$7:$N$36,'SOW caps'!$E$7:$E$36,""),IF(ISNUMBER('SOW caps'!$B$3),'SOW caps'!$B$3,"")))</x:f>
      </x:c>
      <x:c r="O498" s="8" t="str">
        <x:f>IF(AND(ISNUMBER(X498),ISNUMBER(N498),N498&gt;=0),X498*N498,"")</x:f>
      </x:c>
      <x:c r="P498" s="3"/>
      <x:c r="Q498" s="3"/>
      <x:c r="R498" s="3"/>
      <x:c r="S498" s="3"/>
      <x:c r="T498" s="3"/>
      <x:c r="U498" s="8" t="str">
        <x:f>IF(M498="Mapped",IF(OR(_xlfn.XLOOKUP(A498&amp;"|"&amp;K498,'SOW caps'!$N$7:$N$36,'SOW caps'!$M$7:$M$36,"")="Ready",_xlfn.XLOOKUP(A498&amp;"|"&amp;K498,'SOW caps'!$N$7:$N$36,'SOW caps'!$M$7:$M$36,"")="No hours"),_xlfn.XLOOKUP(A498&amp;"|"&amp;K498,'SOW caps'!$N$7:$N$36,'SOW caps'!$O$7:$O$36,""),""),"")</x:f>
      </x:c>
      <x:c r="V498" s="8" t="str">
        <x:f>IF(AND(ISNUMBER(U498),ISNUMBER(X498)),ROUND(SUMIFS($X$7:X498,$A$7:A498,A498,$K$7:K498,K498,$M$7:M498,"Mapped")*U498,2)-ROUND((SUMIFS($X$7:X498,$A$7:A498,A498,$K$7:K498,K498,$M$7:M498,"Mapped")-X498)*U498,2),"")</x:f>
      </x:c>
      <x:c r="W498" s="1" t="str">
        <x:f>IF(B498="","",IF(OR(NOT(ISNUMBER(I498)),I498&lt;0),"Invalid hours",IF(NOT(ISNUMBER(R498)),"Manual hours",IF(ROUND(I498*3600000,0)=R498,"Source hours","Adjusted hours"))))</x:f>
      </x:c>
      <x:c r="X498" s="10" t="str">
        <x:f>IF(B498="","",IF(AND(ISNUMBER(I498),I498&gt;=0,Q498="In period"),I498,""))</x:f>
      </x:c>
    </x:row>
    <x:row r="499" ht="23" customHeight="1">
      <x:c r="A499" s="3"/>
      <x:c r="B499" s="3"/>
      <x:c r="C499" s="3"/>
      <x:c r="D499" s="3"/>
      <x:c r="E499" s="3"/>
      <x:c r="F499" s="3"/>
      <x:c r="G499" s="3"/>
      <x:c r="H499" s="3"/>
      <x:c r="I499" s="9"/>
      <x:c r="J499" s="3"/>
      <x:c r="K499" s="3"/>
      <x:c r="L499" s="3"/>
      <x:c r="M499" s="1" t="str">
        <x:f>IF(B499="","",IF(W499="Invalid hours","Invalid hours",IF(NOT(ISNUMBER(X499)),"Excluded",IF(AND(J499&lt;&gt;"",K499&lt;&gt;"",L499&lt;&gt;"",COUNTIF('SOW caps'!$N$7:$N$36,A499&amp;"|"&amp;K499)=1),"Mapped","Needs allocation"))))</x:f>
      </x:c>
      <x:c r="N499" s="8" t="str">
        <x:f>IF(B499="","",IF(M499="Mapped",_xlfn.XLOOKUP(A499&amp;"|"&amp;K499,'SOW caps'!$N$7:$N$36,'SOW caps'!$E$7:$E$36,""),IF(ISNUMBER('SOW caps'!$B$3),'SOW caps'!$B$3,"")))</x:f>
      </x:c>
      <x:c r="O499" s="8" t="str">
        <x:f>IF(AND(ISNUMBER(X499),ISNUMBER(N499),N499&gt;=0),X499*N499,"")</x:f>
      </x:c>
      <x:c r="P499" s="3"/>
      <x:c r="Q499" s="3"/>
      <x:c r="R499" s="3"/>
      <x:c r="S499" s="3"/>
      <x:c r="T499" s="3"/>
      <x:c r="U499" s="8" t="str">
        <x:f>IF(M499="Mapped",IF(OR(_xlfn.XLOOKUP(A499&amp;"|"&amp;K499,'SOW caps'!$N$7:$N$36,'SOW caps'!$M$7:$M$36,"")="Ready",_xlfn.XLOOKUP(A499&amp;"|"&amp;K499,'SOW caps'!$N$7:$N$36,'SOW caps'!$M$7:$M$36,"")="No hours"),_xlfn.XLOOKUP(A499&amp;"|"&amp;K499,'SOW caps'!$N$7:$N$36,'SOW caps'!$O$7:$O$36,""),""),"")</x:f>
      </x:c>
      <x:c r="V499" s="8" t="str">
        <x:f>IF(AND(ISNUMBER(U499),ISNUMBER(X499)),ROUND(SUMIFS($X$7:X499,$A$7:A499,A499,$K$7:K499,K499,$M$7:M499,"Mapped")*U499,2)-ROUND((SUMIFS($X$7:X499,$A$7:A499,A499,$K$7:K499,K499,$M$7:M499,"Mapped")-X499)*U499,2),"")</x:f>
      </x:c>
      <x:c r="W499" s="1" t="str">
        <x:f>IF(B499="","",IF(OR(NOT(ISNUMBER(I499)),I499&lt;0),"Invalid hours",IF(NOT(ISNUMBER(R499)),"Manual hours",IF(ROUND(I499*3600000,0)=R499,"Source hours","Adjusted hours"))))</x:f>
      </x:c>
      <x:c r="X499" s="10" t="str">
        <x:f>IF(B499="","",IF(AND(ISNUMBER(I499),I499&gt;=0,Q499="In period"),I499,""))</x:f>
      </x:c>
    </x:row>
    <x:row r="500" ht="23" customHeight="1">
      <x:c r="A500" s="3"/>
      <x:c r="B500" s="3"/>
      <x:c r="C500" s="3"/>
      <x:c r="D500" s="3"/>
      <x:c r="E500" s="3"/>
      <x:c r="F500" s="3"/>
      <x:c r="G500" s="3"/>
      <x:c r="H500" s="3"/>
      <x:c r="I500" s="9"/>
      <x:c r="J500" s="3"/>
      <x:c r="K500" s="3"/>
      <x:c r="L500" s="3"/>
      <x:c r="M500" s="1" t="str">
        <x:f>IF(B500="","",IF(W500="Invalid hours","Invalid hours",IF(NOT(ISNUMBER(X500)),"Excluded",IF(AND(J500&lt;&gt;"",K500&lt;&gt;"",L500&lt;&gt;"",COUNTIF('SOW caps'!$N$7:$N$36,A500&amp;"|"&amp;K500)=1),"Mapped","Needs allocation"))))</x:f>
      </x:c>
      <x:c r="N500" s="8" t="str">
        <x:f>IF(B500="","",IF(M500="Mapped",_xlfn.XLOOKUP(A500&amp;"|"&amp;K500,'SOW caps'!$N$7:$N$36,'SOW caps'!$E$7:$E$36,""),IF(ISNUMBER('SOW caps'!$B$3),'SOW caps'!$B$3,"")))</x:f>
      </x:c>
      <x:c r="O500" s="8" t="str">
        <x:f>IF(AND(ISNUMBER(X500),ISNUMBER(N500),N500&gt;=0),X500*N500,"")</x:f>
      </x:c>
      <x:c r="P500" s="3"/>
      <x:c r="Q500" s="3"/>
      <x:c r="R500" s="3"/>
      <x:c r="S500" s="3"/>
      <x:c r="T500" s="3"/>
      <x:c r="U500" s="8" t="str">
        <x:f>IF(M500="Mapped",IF(OR(_xlfn.XLOOKUP(A500&amp;"|"&amp;K500,'SOW caps'!$N$7:$N$36,'SOW caps'!$M$7:$M$36,"")="Ready",_xlfn.XLOOKUP(A500&amp;"|"&amp;K500,'SOW caps'!$N$7:$N$36,'SOW caps'!$M$7:$M$36,"")="No hours"),_xlfn.XLOOKUP(A500&amp;"|"&amp;K500,'SOW caps'!$N$7:$N$36,'SOW caps'!$O$7:$O$36,""),""),"")</x:f>
      </x:c>
      <x:c r="V500" s="8" t="str">
        <x:f>IF(AND(ISNUMBER(U500),ISNUMBER(X500)),ROUND(SUMIFS($X$7:X500,$A$7:A500,A500,$K$7:K500,K500,$M$7:M500,"Mapped")*U500,2)-ROUND((SUMIFS($X$7:X500,$A$7:A500,A500,$K$7:K500,K500,$M$7:M500,"Mapped")-X500)*U500,2),"")</x:f>
      </x:c>
      <x:c r="W500" s="1" t="str">
        <x:f>IF(B500="","",IF(OR(NOT(ISNUMBER(I500)),I500&lt;0),"Invalid hours",IF(NOT(ISNUMBER(R500)),"Manual hours",IF(ROUND(I500*3600000,0)=R500,"Source hours","Adjusted hours"))))</x:f>
      </x:c>
      <x:c r="X500" s="10" t="str">
        <x:f>IF(B500="","",IF(AND(ISNUMBER(I500),I500&gt;=0,Q500="In period"),I500,""))</x:f>
      </x:c>
    </x:row>
    <x:row r="501" ht="23" customHeight="1">
      <x:c r="A501" s="3"/>
      <x:c r="B501" s="3"/>
      <x:c r="C501" s="3"/>
      <x:c r="D501" s="3"/>
      <x:c r="E501" s="3"/>
      <x:c r="F501" s="3"/>
      <x:c r="G501" s="3"/>
      <x:c r="H501" s="3"/>
      <x:c r="I501" s="9"/>
      <x:c r="J501" s="3"/>
      <x:c r="K501" s="3"/>
      <x:c r="L501" s="3"/>
      <x:c r="M501" s="1" t="str">
        <x:f>IF(B501="","",IF(W501="Invalid hours","Invalid hours",IF(NOT(ISNUMBER(X501)),"Excluded",IF(AND(J501&lt;&gt;"",K501&lt;&gt;"",L501&lt;&gt;"",COUNTIF('SOW caps'!$N$7:$N$36,A501&amp;"|"&amp;K501)=1),"Mapped","Needs allocation"))))</x:f>
      </x:c>
      <x:c r="N501" s="8" t="str">
        <x:f>IF(B501="","",IF(M501="Mapped",_xlfn.XLOOKUP(A501&amp;"|"&amp;K501,'SOW caps'!$N$7:$N$36,'SOW caps'!$E$7:$E$36,""),IF(ISNUMBER('SOW caps'!$B$3),'SOW caps'!$B$3,"")))</x:f>
      </x:c>
      <x:c r="O501" s="8" t="str">
        <x:f>IF(AND(ISNUMBER(X501),ISNUMBER(N501),N501&gt;=0),X501*N501,"")</x:f>
      </x:c>
      <x:c r="P501" s="3"/>
      <x:c r="Q501" s="3"/>
      <x:c r="R501" s="3"/>
      <x:c r="S501" s="3"/>
      <x:c r="T501" s="3"/>
      <x:c r="U501" s="8" t="str">
        <x:f>IF(M501="Mapped",IF(OR(_xlfn.XLOOKUP(A501&amp;"|"&amp;K501,'SOW caps'!$N$7:$N$36,'SOW caps'!$M$7:$M$36,"")="Ready",_xlfn.XLOOKUP(A501&amp;"|"&amp;K501,'SOW caps'!$N$7:$N$36,'SOW caps'!$M$7:$M$36,"")="No hours"),_xlfn.XLOOKUP(A501&amp;"|"&amp;K501,'SOW caps'!$N$7:$N$36,'SOW caps'!$O$7:$O$36,""),""),"")</x:f>
      </x:c>
      <x:c r="V501" s="8" t="str">
        <x:f>IF(AND(ISNUMBER(U501),ISNUMBER(X501)),ROUND(SUMIFS($X$7:X501,$A$7:A501,A501,$K$7:K501,K501,$M$7:M501,"Mapped")*U501,2)-ROUND((SUMIFS($X$7:X501,$A$7:A501,A501,$K$7:K501,K501,$M$7:M501,"Mapped")-X501)*U501,2),"")</x:f>
      </x:c>
      <x:c r="W501" s="1" t="str">
        <x:f>IF(B501="","",IF(OR(NOT(ISNUMBER(I501)),I501&lt;0),"Invalid hours",IF(NOT(ISNUMBER(R501)),"Manual hours",IF(ROUND(I501*3600000,0)=R501,"Source hours","Adjusted hours"))))</x:f>
      </x:c>
      <x:c r="X501" s="10" t="str">
        <x:f>IF(B501="","",IF(AND(ISNUMBER(I501),I501&gt;=0,Q501="In period"),I501,""))</x:f>
      </x:c>
    </x:row>
    <x:row r="502" ht="23" customHeight="1">
      <x:c r="A502" s="3"/>
      <x:c r="B502" s="3"/>
      <x:c r="C502" s="3"/>
      <x:c r="D502" s="3"/>
      <x:c r="E502" s="3"/>
      <x:c r="F502" s="3"/>
      <x:c r="G502" s="3"/>
      <x:c r="H502" s="3"/>
      <x:c r="I502" s="9"/>
      <x:c r="J502" s="3"/>
      <x:c r="K502" s="3"/>
      <x:c r="L502" s="3"/>
      <x:c r="M502" s="1" t="str">
        <x:f>IF(B502="","",IF(W502="Invalid hours","Invalid hours",IF(NOT(ISNUMBER(X502)),"Excluded",IF(AND(J502&lt;&gt;"",K502&lt;&gt;"",L502&lt;&gt;"",COUNTIF('SOW caps'!$N$7:$N$36,A502&amp;"|"&amp;K502)=1),"Mapped","Needs allocation"))))</x:f>
      </x:c>
      <x:c r="N502" s="8" t="str">
        <x:f>IF(B502="","",IF(M502="Mapped",_xlfn.XLOOKUP(A502&amp;"|"&amp;K502,'SOW caps'!$N$7:$N$36,'SOW caps'!$E$7:$E$36,""),IF(ISNUMBER('SOW caps'!$B$3),'SOW caps'!$B$3,"")))</x:f>
      </x:c>
      <x:c r="O502" s="8" t="str">
        <x:f>IF(AND(ISNUMBER(X502),ISNUMBER(N502),N502&gt;=0),X502*N502,"")</x:f>
      </x:c>
      <x:c r="P502" s="3"/>
      <x:c r="Q502" s="3"/>
      <x:c r="R502" s="3"/>
      <x:c r="S502" s="3"/>
      <x:c r="T502" s="3"/>
      <x:c r="U502" s="8" t="str">
        <x:f>IF(M502="Mapped",IF(OR(_xlfn.XLOOKUP(A502&amp;"|"&amp;K502,'SOW caps'!$N$7:$N$36,'SOW caps'!$M$7:$M$36,"")="Ready",_xlfn.XLOOKUP(A502&amp;"|"&amp;K502,'SOW caps'!$N$7:$N$36,'SOW caps'!$M$7:$M$36,"")="No hours"),_xlfn.XLOOKUP(A502&amp;"|"&amp;K502,'SOW caps'!$N$7:$N$36,'SOW caps'!$O$7:$O$36,""),""),"")</x:f>
      </x:c>
      <x:c r="V502" s="8" t="str">
        <x:f>IF(AND(ISNUMBER(U502),ISNUMBER(X502)),ROUND(SUMIFS($X$7:X502,$A$7:A502,A502,$K$7:K502,K502,$M$7:M502,"Mapped")*U502,2)-ROUND((SUMIFS($X$7:X502,$A$7:A502,A502,$K$7:K502,K502,$M$7:M502,"Mapped")-X502)*U502,2),"")</x:f>
      </x:c>
      <x:c r="W502" s="1" t="str">
        <x:f>IF(B502="","",IF(OR(NOT(ISNUMBER(I502)),I502&lt;0),"Invalid hours",IF(NOT(ISNUMBER(R502)),"Manual hours",IF(ROUND(I502*3600000,0)=R502,"Source hours","Adjusted hours"))))</x:f>
      </x:c>
      <x:c r="X502" s="10" t="str">
        <x:f>IF(B502="","",IF(AND(ISNUMBER(I502),I502&gt;=0,Q502="In period"),I502,""))</x:f>
      </x:c>
    </x:row>
    <x:row r="503" ht="23" customHeight="1">
      <x:c r="A503" s="3"/>
      <x:c r="B503" s="3"/>
      <x:c r="C503" s="3"/>
      <x:c r="D503" s="3"/>
      <x:c r="E503" s="3"/>
      <x:c r="F503" s="3"/>
      <x:c r="G503" s="3"/>
      <x:c r="H503" s="3"/>
      <x:c r="I503" s="9"/>
      <x:c r="J503" s="3"/>
      <x:c r="K503" s="3"/>
      <x:c r="L503" s="3"/>
      <x:c r="M503" s="1" t="str">
        <x:f>IF(B503="","",IF(W503="Invalid hours","Invalid hours",IF(NOT(ISNUMBER(X503)),"Excluded",IF(AND(J503&lt;&gt;"",K503&lt;&gt;"",L503&lt;&gt;"",COUNTIF('SOW caps'!$N$7:$N$36,A503&amp;"|"&amp;K503)=1),"Mapped","Needs allocation"))))</x:f>
      </x:c>
      <x:c r="N503" s="8" t="str">
        <x:f>IF(B503="","",IF(M503="Mapped",_xlfn.XLOOKUP(A503&amp;"|"&amp;K503,'SOW caps'!$N$7:$N$36,'SOW caps'!$E$7:$E$36,""),IF(ISNUMBER('SOW caps'!$B$3),'SOW caps'!$B$3,"")))</x:f>
      </x:c>
      <x:c r="O503" s="8" t="str">
        <x:f>IF(AND(ISNUMBER(X503),ISNUMBER(N503),N503&gt;=0),X503*N503,"")</x:f>
      </x:c>
      <x:c r="P503" s="3"/>
      <x:c r="Q503" s="3"/>
      <x:c r="R503" s="3"/>
      <x:c r="S503" s="3"/>
      <x:c r="T503" s="3"/>
      <x:c r="U503" s="8" t="str">
        <x:f>IF(M503="Mapped",IF(OR(_xlfn.XLOOKUP(A503&amp;"|"&amp;K503,'SOW caps'!$N$7:$N$36,'SOW caps'!$M$7:$M$36,"")="Ready",_xlfn.XLOOKUP(A503&amp;"|"&amp;K503,'SOW caps'!$N$7:$N$36,'SOW caps'!$M$7:$M$36,"")="No hours"),_xlfn.XLOOKUP(A503&amp;"|"&amp;K503,'SOW caps'!$N$7:$N$36,'SOW caps'!$O$7:$O$36,""),""),"")</x:f>
      </x:c>
      <x:c r="V503" s="8" t="str">
        <x:f>IF(AND(ISNUMBER(U503),ISNUMBER(X503)),ROUND(SUMIFS($X$7:X503,$A$7:A503,A503,$K$7:K503,K503,$M$7:M503,"Mapped")*U503,2)-ROUND((SUMIFS($X$7:X503,$A$7:A503,A503,$K$7:K503,K503,$M$7:M503,"Mapped")-X503)*U503,2),"")</x:f>
      </x:c>
      <x:c r="W503" s="1" t="str">
        <x:f>IF(B503="","",IF(OR(NOT(ISNUMBER(I503)),I503&lt;0),"Invalid hours",IF(NOT(ISNUMBER(R503)),"Manual hours",IF(ROUND(I503*3600000,0)=R503,"Source hours","Adjusted hours"))))</x:f>
      </x:c>
      <x:c r="X503" s="10" t="str">
        <x:f>IF(B503="","",IF(AND(ISNUMBER(I503),I503&gt;=0,Q503="In period"),I503,""))</x:f>
      </x:c>
    </x:row>
    <x:row r="504" ht="23" customHeight="1">
      <x:c r="A504" s="3"/>
      <x:c r="B504" s="3"/>
      <x:c r="C504" s="3"/>
      <x:c r="D504" s="3"/>
      <x:c r="E504" s="3"/>
      <x:c r="F504" s="3"/>
      <x:c r="G504" s="3"/>
      <x:c r="H504" s="3"/>
      <x:c r="I504" s="9"/>
      <x:c r="J504" s="3"/>
      <x:c r="K504" s="3"/>
      <x:c r="L504" s="3"/>
      <x:c r="M504" s="1" t="str">
        <x:f>IF(B504="","",IF(W504="Invalid hours","Invalid hours",IF(NOT(ISNUMBER(X504)),"Excluded",IF(AND(J504&lt;&gt;"",K504&lt;&gt;"",L504&lt;&gt;"",COUNTIF('SOW caps'!$N$7:$N$36,A504&amp;"|"&amp;K504)=1),"Mapped","Needs allocation"))))</x:f>
      </x:c>
      <x:c r="N504" s="8" t="str">
        <x:f>IF(B504="","",IF(M504="Mapped",_xlfn.XLOOKUP(A504&amp;"|"&amp;K504,'SOW caps'!$N$7:$N$36,'SOW caps'!$E$7:$E$36,""),IF(ISNUMBER('SOW caps'!$B$3),'SOW caps'!$B$3,"")))</x:f>
      </x:c>
      <x:c r="O504" s="8" t="str">
        <x:f>IF(AND(ISNUMBER(X504),ISNUMBER(N504),N504&gt;=0),X504*N504,"")</x:f>
      </x:c>
      <x:c r="P504" s="3"/>
      <x:c r="Q504" s="3"/>
      <x:c r="R504" s="3"/>
      <x:c r="S504" s="3"/>
      <x:c r="T504" s="3"/>
      <x:c r="U504" s="8" t="str">
        <x:f>IF(M504="Mapped",IF(OR(_xlfn.XLOOKUP(A504&amp;"|"&amp;K504,'SOW caps'!$N$7:$N$36,'SOW caps'!$M$7:$M$36,"")="Ready",_xlfn.XLOOKUP(A504&amp;"|"&amp;K504,'SOW caps'!$N$7:$N$36,'SOW caps'!$M$7:$M$36,"")="No hours"),_xlfn.XLOOKUP(A504&amp;"|"&amp;K504,'SOW caps'!$N$7:$N$36,'SOW caps'!$O$7:$O$36,""),""),"")</x:f>
      </x:c>
      <x:c r="V504" s="8" t="str">
        <x:f>IF(AND(ISNUMBER(U504),ISNUMBER(X504)),ROUND(SUMIFS($X$7:X504,$A$7:A504,A504,$K$7:K504,K504,$M$7:M504,"Mapped")*U504,2)-ROUND((SUMIFS($X$7:X504,$A$7:A504,A504,$K$7:K504,K504,$M$7:M504,"Mapped")-X504)*U504,2),"")</x:f>
      </x:c>
      <x:c r="W504" s="1" t="str">
        <x:f>IF(B504="","",IF(OR(NOT(ISNUMBER(I504)),I504&lt;0),"Invalid hours",IF(NOT(ISNUMBER(R504)),"Manual hours",IF(ROUND(I504*3600000,0)=R504,"Source hours","Adjusted hours"))))</x:f>
      </x:c>
      <x:c r="X504" s="10" t="str">
        <x:f>IF(B504="","",IF(AND(ISNUMBER(I504),I504&gt;=0,Q504="In period"),I504,""))</x:f>
      </x:c>
    </x:row>
    <x:row r="505" ht="23" customHeight="1">
      <x:c r="A505" s="3"/>
      <x:c r="B505" s="3"/>
      <x:c r="C505" s="3"/>
      <x:c r="D505" s="3"/>
      <x:c r="E505" s="3"/>
      <x:c r="F505" s="3"/>
      <x:c r="G505" s="3"/>
      <x:c r="H505" s="3"/>
      <x:c r="I505" s="9"/>
      <x:c r="J505" s="3"/>
      <x:c r="K505" s="3"/>
      <x:c r="L505" s="3"/>
      <x:c r="M505" s="1" t="str">
        <x:f>IF(B505="","",IF(W505="Invalid hours","Invalid hours",IF(NOT(ISNUMBER(X505)),"Excluded",IF(AND(J505&lt;&gt;"",K505&lt;&gt;"",L505&lt;&gt;"",COUNTIF('SOW caps'!$N$7:$N$36,A505&amp;"|"&amp;K505)=1),"Mapped","Needs allocation"))))</x:f>
      </x:c>
      <x:c r="N505" s="8" t="str">
        <x:f>IF(B505="","",IF(M505="Mapped",_xlfn.XLOOKUP(A505&amp;"|"&amp;K505,'SOW caps'!$N$7:$N$36,'SOW caps'!$E$7:$E$36,""),IF(ISNUMBER('SOW caps'!$B$3),'SOW caps'!$B$3,"")))</x:f>
      </x:c>
      <x:c r="O505" s="8" t="str">
        <x:f>IF(AND(ISNUMBER(X505),ISNUMBER(N505),N505&gt;=0),X505*N505,"")</x:f>
      </x:c>
      <x:c r="P505" s="3"/>
      <x:c r="Q505" s="3"/>
      <x:c r="R505" s="3"/>
      <x:c r="S505" s="3"/>
      <x:c r="T505" s="3"/>
      <x:c r="U505" s="8" t="str">
        <x:f>IF(M505="Mapped",IF(OR(_xlfn.XLOOKUP(A505&amp;"|"&amp;K505,'SOW caps'!$N$7:$N$36,'SOW caps'!$M$7:$M$36,"")="Ready",_xlfn.XLOOKUP(A505&amp;"|"&amp;K505,'SOW caps'!$N$7:$N$36,'SOW caps'!$M$7:$M$36,"")="No hours"),_xlfn.XLOOKUP(A505&amp;"|"&amp;K505,'SOW caps'!$N$7:$N$36,'SOW caps'!$O$7:$O$36,""),""),"")</x:f>
      </x:c>
      <x:c r="V505" s="8" t="str">
        <x:f>IF(AND(ISNUMBER(U505),ISNUMBER(X505)),ROUND(SUMIFS($X$7:X505,$A$7:A505,A505,$K$7:K505,K505,$M$7:M505,"Mapped")*U505,2)-ROUND((SUMIFS($X$7:X505,$A$7:A505,A505,$K$7:K505,K505,$M$7:M505,"Mapped")-X505)*U505,2),"")</x:f>
      </x:c>
      <x:c r="W505" s="1" t="str">
        <x:f>IF(B505="","",IF(OR(NOT(ISNUMBER(I505)),I505&lt;0),"Invalid hours",IF(NOT(ISNUMBER(R505)),"Manual hours",IF(ROUND(I505*3600000,0)=R505,"Source hours","Adjusted hours"))))</x:f>
      </x:c>
      <x:c r="X505" s="10" t="str">
        <x:f>IF(B505="","",IF(AND(ISNUMBER(I505),I505&gt;=0,Q505="In period"),I505,""))</x:f>
      </x:c>
    </x:row>
    <x:row r="506" ht="23" customHeight="1">
      <x:c r="A506" s="3"/>
      <x:c r="B506" s="3"/>
      <x:c r="C506" s="3"/>
      <x:c r="D506" s="3"/>
      <x:c r="E506" s="3"/>
      <x:c r="F506" s="3"/>
      <x:c r="G506" s="3"/>
      <x:c r="H506" s="3"/>
      <x:c r="I506" s="9"/>
      <x:c r="J506" s="3"/>
      <x:c r="K506" s="3"/>
      <x:c r="L506" s="3"/>
      <x:c r="M506" s="1" t="str">
        <x:f>IF(B506="","",IF(W506="Invalid hours","Invalid hours",IF(NOT(ISNUMBER(X506)),"Excluded",IF(AND(J506&lt;&gt;"",K506&lt;&gt;"",L506&lt;&gt;"",COUNTIF('SOW caps'!$N$7:$N$36,A506&amp;"|"&amp;K506)=1),"Mapped","Needs allocation"))))</x:f>
      </x:c>
      <x:c r="N506" s="8" t="str">
        <x:f>IF(B506="","",IF(M506="Mapped",_xlfn.XLOOKUP(A506&amp;"|"&amp;K506,'SOW caps'!$N$7:$N$36,'SOW caps'!$E$7:$E$36,""),IF(ISNUMBER('SOW caps'!$B$3),'SOW caps'!$B$3,"")))</x:f>
      </x:c>
      <x:c r="O506" s="8" t="str">
        <x:f>IF(AND(ISNUMBER(X506),ISNUMBER(N506),N506&gt;=0),X506*N506,"")</x:f>
      </x:c>
      <x:c r="P506" s="3"/>
      <x:c r="Q506" s="3"/>
      <x:c r="R506" s="3"/>
      <x:c r="S506" s="3"/>
      <x:c r="T506" s="3"/>
      <x:c r="U506" s="8" t="str">
        <x:f>IF(M506="Mapped",IF(OR(_xlfn.XLOOKUP(A506&amp;"|"&amp;K506,'SOW caps'!$N$7:$N$36,'SOW caps'!$M$7:$M$36,"")="Ready",_xlfn.XLOOKUP(A506&amp;"|"&amp;K506,'SOW caps'!$N$7:$N$36,'SOW caps'!$M$7:$M$36,"")="No hours"),_xlfn.XLOOKUP(A506&amp;"|"&amp;K506,'SOW caps'!$N$7:$N$36,'SOW caps'!$O$7:$O$36,""),""),"")</x:f>
      </x:c>
      <x:c r="V506" s="8" t="str">
        <x:f>IF(AND(ISNUMBER(U506),ISNUMBER(X506)),ROUND(SUMIFS($X$7:X506,$A$7:A506,A506,$K$7:K506,K506,$M$7:M506,"Mapped")*U506,2)-ROUND((SUMIFS($X$7:X506,$A$7:A506,A506,$K$7:K506,K506,$M$7:M506,"Mapped")-X506)*U506,2),"")</x:f>
      </x:c>
      <x:c r="W506" s="1" t="str">
        <x:f>IF(B506="","",IF(OR(NOT(ISNUMBER(I506)),I506&lt;0),"Invalid hours",IF(NOT(ISNUMBER(R506)),"Manual hours",IF(ROUND(I506*3600000,0)=R506,"Source hours","Adjusted hours"))))</x:f>
      </x:c>
      <x:c r="X506" s="10" t="str">
        <x:f>IF(B506="","",IF(AND(ISNUMBER(I506),I506&gt;=0,Q506="In period"),I506,""))</x:f>
      </x:c>
    </x:row>
  </x:sheetData>
  <x:pageMargins left="0.7" right="0.7" top="0.75" bottom="0.75" header="0.3" footer="0.3"/>
</x:worksheet>
</file>