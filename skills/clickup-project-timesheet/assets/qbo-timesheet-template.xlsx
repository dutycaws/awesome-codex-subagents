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f6a5dbcb2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 review" sheetId="1" r:id="Rf49caddea2254936"/>
    <x:sheet xmlns:r="http://schemas.openxmlformats.org/officeDocument/2006/relationships" name="SOW register" sheetId="2" r:id="R7b9e3601d6c54000"/>
    <x:sheet xmlns:r="http://schemas.openxmlformats.org/officeDocument/2006/relationships" name="Time entries" sheetId="3" r:id="R1b68d399e21444ef"/>
    <x:sheet xmlns:r="http://schemas.openxmlformats.org/officeDocument/2006/relationships" name="Project codes" sheetId="4" r:id="Rb22e430dc41c4c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m d, yyyy"/>
    <x:numFmt numFmtId="201" formatCode="0.00####"/>
    <x:numFmt numFmtId="202" formatCode="0"/>
    <x:numFmt numFmtId="203" formatCode="#,##0.00"/>
    <x:numFmt numFmtId="204" formatCode="@"/>
    <x:numFmt numFmtId="205" formatCode="0.00########"/>
    <x:numFmt numFmtId="206" formatCode="mmm d, yyyy hh:mm"/>
    <x:numFmt numFmtId="207" formatCode="mmm d, yyyy hh:mm:ss"/>
  </x:numFmts>
  <x:fonts count="8">
    <x:font>
      <x:sz val="11"/>
      <x:name val="Carlito"/>
    </x:font>
    <x:font>
      <x:sz val="10"/>
      <x:color rgb="FF20344B"/>
      <x:name val="Arial"/>
    </x:font>
    <x:font>
      <x:b/>
      <x:sz val="16"/>
      <x:color rgb="FF20344B"/>
      <x:name val="Arial"/>
    </x:font>
    <x:font>
      <x:i/>
      <x:sz val="10"/>
      <x:color rgb="FF566577"/>
      <x:name val="Arial"/>
    </x:font>
    <x:font>
      <x:b/>
      <x:sz val="10"/>
      <x:color rgb="FFFFFFFF"/>
      <x:name val="Arial"/>
    </x:font>
    <x:font>
      <x:sz val="10"/>
      <x:color rgb="FF566577"/>
      <x:name val="Arial"/>
    </x:font>
    <x:font>
      <x:b/>
      <x:sz val="10"/>
      <x:color rgb="FF20344B"/>
      <x:name val="Arial"/>
    </x:font>
    <x:font>
      <x:sz val="1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44B"/>
      </x:patternFill>
    </x:fill>
    <x:fill>
      <x:patternFill patternType="solid">
        <x:fgColor rgb="FFF2F5F8"/>
      </x:patternFill>
    </x:fill>
    <x:fill>
      <x:patternFill patternType="solid">
        <x:fgColor rgb="FFFFF2CC"/>
      </x:patternFill>
    </x:fill>
    <x:fill>
      <x:patternFill patternType="solid">
        <x:fgColor rgb="FF20344B"/>
      </x:patternFill>
    </x:fill>
    <x:fill>
      <x:patternFill patternType="solid">
        <x:fgColor rgb="FFF2F5F8"/>
      </x:patternFill>
    </x:fill>
  </x:fills>
  <x:borders count="1">
    <x:border/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201" fontId="6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204" fontId="1" fillId="7" borderId="0" xfId="0" applyNumberFormat="1" applyFont="1" applyFill="1" applyBorder="1" applyAlignment="1">
      <x:alignment vertical="center"/>
    </x:xf>
    <x:xf numFmtId="205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204" fontId="1" fillId="5" borderId="0" xfId="0" applyNumberFormat="1" applyFont="1" applyFill="1" applyBorder="1"/>
    <x:xf numFmtId="202" fontId="1" fillId="5" borderId="0" xfId="0" applyNumberFormat="1" applyFont="1" applyFill="1" applyBorder="1"/>
    <x:xf numFmtId="207" fontId="1" fillId="5" borderId="0" xfId="0" applyNumberFormat="1" applyFont="1" applyFill="1" applyBorder="1"/>
    <x:xf numFmtId="0" fontId="2" fillId="0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9C2F18"/>
      </x:font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ont>
        <x:color rgb="FF9C2F18"/>
      </x:font>
      <x:fill>
        <x:patternFill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e3ad570c704a33" /><Relationship Type="http://schemas.openxmlformats.org/officeDocument/2006/relationships/theme" Target="/xl/theme/theme1.xml" Id="Rec85757100b1467b" /><Relationship Type="http://schemas.openxmlformats.org/officeDocument/2006/relationships/sharedStrings" Target="/xl/sharedStrings.xml" Id="R3f3dd1aef18d4f48" /><Relationship Type="http://schemas.openxmlformats.org/officeDocument/2006/relationships/worksheet" Target="/xl/worksheets/sheet1.xml" Id="Rf49caddea2254936" /><Relationship Type="http://schemas.openxmlformats.org/officeDocument/2006/relationships/worksheet" Target="/xl/worksheets/sheet2.xml" Id="R7b9e3601d6c54000" /><Relationship Type="http://schemas.openxmlformats.org/officeDocument/2006/relationships/worksheet" Target="/xl/worksheets/sheet3.xml" Id="R1b68d399e21444ef" /><Relationship Type="http://schemas.openxmlformats.org/officeDocument/2006/relationships/worksheet" Target="/xl/worksheets/sheet4.xml" Id="Rb22e430dc41c4c98" /></Relationships>
</file>

<file path=xl/tables/table1.xml><?xml version="1.0" encoding="utf-8"?>
<x:table xmlns:x="http://schemas.openxmlformats.org/spreadsheetml/2006/main" id="1" name="SOWRegister" displayName="SOWRegister" ref="A6:J36" headerRowCount="1" totalsRowCount="0" totalsRowShown="0">
  <x:tableColumns count="10">
    <x:tableColumn id="1" name="SOW ID"/>
    <x:tableColumn id="2" name="SOW name"/>
    <x:tableColumn id="3" name="Current status"/>
    <x:tableColumn id="4" name="Status evidence / confirmed on"/>
    <x:tableColumn id="5" name="Exact QBO product / service"/>
    <x:tableColumn id="6" name="Existing useful product wording"/>
    <x:tableColumn id="7" name="QBO rate / hour"/>
    <x:tableColumn id="8" name="Rate checked on"/>
    <x:tableColumn id="9" name="Override rate / hour"/>
    <x:tableColumn id="10" name="Override instruction / 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TimeEntries" displayName="TimeEntries" ref="A6:AB506" headerRowCount="1" totalsRowCount="0" totalsRowShown="0">
  <x:tableColumns count="28">
    <x:tableColumn id="1" name="Time Entry ID"/>
    <x:tableColumn id="2" name="Work date (local)"/>
    <x:tableColumn id="3" name="Person"/>
    <x:tableColumn id="4" name="Confirmed SOW ID"/>
    <x:tableColumn id="5" name="Task name"/>
    <x:tableColumn id="6" name="Source hours"/>
    <x:tableColumn id="7" name="Billing decision"/>
    <x:tableColumn id="8" name="Task URL"/>
    <x:tableColumn id="9" name="Entry check"/>
    <x:tableColumn id="10" name="ClickUp project"/>
    <x:tableColumn id="11" name="Task ID"/>
    <x:tableColumn id="12" name="Parent Task ID"/>
    <x:tableColumn id="13" name="Person ID"/>
    <x:tableColumn id="14" name="Duration ms"/>
    <x:tableColumn id="15" name="Duration status"/>
    <x:tableColumn id="16" name="Project Code"/>
    <x:tableColumn id="17" name="Code field ID"/>
    <x:tableColumn id="18" name="Code option ID"/>
    <x:tableColumn id="19" name="Coding status"/>
    <x:tableColumn id="20" name="ClickUp Billable"/>
    <x:tableColumn id="21" name="Mapping key"/>
    <x:tableColumn id="22" name="Entry description"/>
    <x:tableColumn id="23" name="Task status"/>
    <x:tableColumn id="24" name="Start (local)"/>
    <x:tableColumn id="25" name="End (local)"/>
    <x:tableColumn id="26" name="Start epoch ms"/>
    <x:tableColumn id="27" name="End epoch ms"/>
    <x:tableColumn id="28" name="Billing decision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rojectCodes" displayName="ProjectCodes" ref="A6:I106" headerRowCount="1" totalsRowCount="0" totalsRowShown="0">
  <x:tableColumns count="9">
    <x:tableColumn id="1" name="Mapping key"/>
    <x:tableColumn id="2" name="ClickUp project"/>
    <x:tableColumn id="3" name="Project Code field ID"/>
    <x:tableColumn id="4" name="Project Code option ID"/>
    <x:tableColumn id="5" name="Project Code label"/>
    <x:tableColumn id="6" name="Treatment"/>
    <x:tableColumn id="7" name="Confirmed SOW ID"/>
    <x:tableColumn id="8" name="Mapping confirmation / resolution"/>
    <x:tableColumn id="9" name="Approved S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ddc7e50c5344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860119e17443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01d605e15948f4" /></Relationships>
</file>

<file path=xl/worksheets/sheet1.xml><?xml version="1.0" encoding="utf-8"?>
<x:worksheet xmlns:x="http://schemas.openxmlformats.org/spreadsheetml/2006/main">
  <x:sheetPr>
    <x:tabColor rgb="FF20344B"/>
  </x:sheetPr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9" hidden="0" customWidth="1"/>
    <x:col min="5" max="5" width="18" hidden="0" customWidth="1"/>
    <x:col min="6" max="6" width="17" hidden="0" customWidth="1"/>
    <x:col min="7" max="7" width="19" hidden="0" customWidth="1"/>
    <x:col min="8" max="8" width="29" hidden="0" customWidth="1"/>
    <x:col min="9" max="9" width="58" hidden="0" customWidth="1"/>
    <x:col min="10" max="10" width="2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Timesheet for QBO estimate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4" customHeight="1">
      <x:c r="A4" s="2" t="str">
        <x:v>QBO company</x:v>
      </x:c>
      <x:c r="B4" s="4"/>
      <x:c r="C4" s="2"/>
      <x:c r="D4" s="2" t="str">
        <x:v>QBO customer</x:v>
      </x:c>
      <x:c r="E4" s="28"/>
      <x:c r="F4" s="2"/>
      <x:c r="G4" s="2" t="str">
        <x:v>Currency</x:v>
      </x:c>
      <x:c r="H4" s="4"/>
      <x:c r="I4" s="2" t="str">
        <x:v>Timezone</x:v>
      </x:c>
      <x:c r="J4" s="24" t="str">
        <x:v>America/Chicago</x:v>
      </x:c>
    </x:row>
    <x:row r="5" ht="23" customHeight="1">
      <x:c r="A5" s="2" t="str">
        <x:v>Period start</x:v>
      </x:c>
      <x:c r="B5" s="5"/>
      <x:c r="C5" s="2"/>
      <x:c r="D5" s="2" t="str">
        <x:v>Period end (exclusive)</x:v>
      </x:c>
      <x:c r="E5" s="5"/>
      <x:c r="F5" s="2"/>
      <x:c r="G5" s="2" t="str">
        <x:v>Prepared by</x:v>
      </x:c>
      <x:c r="H5" s="4"/>
      <x:c r="I5" s="2" t="str">
        <x:v>ClickUp project</x:v>
      </x:c>
      <x:c r="J5" s="24" t="str">
        <x:v>Project Battlestar</x:v>
      </x:c>
    </x:row>
    <x:row r="6" ht="23" customHeight="1">
      <x:c r="A6" s="2" t="str">
        <x:v>Source file / export</x:v>
      </x:c>
      <x:c r="B6" s="4"/>
      <x:c r="C6" s="2"/>
      <x:c r="D6" s="2" t="str">
        <x:v>Prepared on</x:v>
      </x:c>
      <x:c r="E6" s="5"/>
      <x:c r="F6" s="2"/>
      <x:c r="G6" s="2"/>
      <x:c r="H6" s="2"/>
      <x:c r="I6" s="2"/>
    </x:row>
    <x:row r="7" ht="23" customHeight="1">
      <x:c r="A7" s="2" t="str">
        <x:v>ClickUp workspace ID</x:v>
      </x:c>
      <x:c r="B7" s="2"/>
      <x:c r="C7" s="2"/>
      <x:c r="D7" s="2" t="str">
        <x:v>Extracted at (UTC)</x:v>
      </x:c>
      <x:c r="E7" s="22"/>
      <x:c r="F7" s="2"/>
      <x:c r="G7" s="2"/>
      <x:c r="H7" s="2"/>
      <x:c r="I7" s="2"/>
    </x:row>
    <x:row r="8" ht="23" customHeight="1">
      <x:c r="A8" s="2" t="str">
        <x:v>Entry issues</x:v>
      </x:c>
      <x:c r="B8" s="2" t="n">
        <x:f>COUNTIF('Time entries'!I7:I506,"Review: missing entry ID")+COUNTIF('Time entries'!I7:I506,"Review: duplicate entry ID")+COUNTIF('Time entries'!I7:I506,"Review: work date")+COUNTIF('Time entries'!I7:I506,"Review: source details")+COUNTIF('Time entries'!I7:I506,"Review: duration")+COUNTIF('Time entries'!I7:I506,"Review: billability")+COUNTIF('Time entries'!I7:I506,"Review: SOW mapping")+COUNTIF('Time entries'!I7:I506,"Review: coding status")+COUNTIF('Time entries'!I7:I506,"Review: allocation hold")+COUNTIF('Time entries'!I7:I506,"Review: billing evidence")+COUNTIF('Time entries'!I7:I506,"Review: project scope")+COUNTIF('Time entries'!I7:I506,"Review: duplicate code")</x:f>
        <x:v>0</x:v>
      </x:c>
      <x:c r="C8" s="2"/>
      <x:c r="D8" s="2" t="str">
        <x:v>Input check</x:v>
      </x:c>
      <x:c r="E8" s="2" t="str">
        <x:f>IF(OR(B4="",E4="",H4="",J4="",J5="",NOT(ISNUMBER(B5)),NOT(ISNUMBER(E5))),"Complete header",IF(B5&gt;=E5,"Check period","Header complete"))</x:f>
        <x:v>Complete header</x:v>
      </x:c>
      <x:c r="F8" s="2"/>
      <x:c r="G8" s="2" t="str">
        <x:v>SOWs to review</x:v>
      </x:c>
      <x:c r="H8" s="2" t="n">
        <x:f>COUNTIF(H11:H40,"Review: duplicate SOW")+COUNTIF(H11:H40,"Review: header")+COUNTIF(H11:H40,"Review: SOW status")+COUNTIF(H11:H40,"Review: negative hours")+COUNTIF(H11:H40,"Review: product mapping")+COUNTIF(H11:H40,"Review: missing rate")+COUNTIF(H11:H40,"Review: nonpositive rate")+COUNTIF(H11:H40,"Review: override reason")+COUNTIF(H11:H40,"Review: rate check date")</x:f>
        <x:v>0</x:v>
      </x:c>
      <x:c r="I8" s="2"/>
    </x:row>
    <x:row r="9" ht="23" customHeight="1">
      <x:c r="A9" s="6" t="str">
        <x:v>Map Project Codes to confirmed SOWs, then review billing decisions. Source detail is counted once.</x:v>
      </x:c>
      <x:c r="B9" s="2"/>
      <x:c r="C9" s="2"/>
      <x:c r="D9" s="2"/>
      <x:c r="E9" s="2"/>
      <x:c r="F9" s="2"/>
      <x:c r="G9" s="2"/>
      <x:c r="H9" s="2"/>
      <x:c r="I9" s="2"/>
    </x:row>
    <x:row r="10" ht="36" customHeight="1">
      <x:c r="A10" s="10" t="str">
        <x:v>SOW ID</x:v>
      </x:c>
      <x:c r="B10" s="10" t="str">
        <x:v>QBO product / service</x:v>
      </x:c>
      <x:c r="C10" s="10" t="str">
        <x:v>Source hours in period</x:v>
      </x:c>
      <x:c r="D10" s="10" t="str">
        <x:v>Billable hours in period</x:v>
      </x:c>
      <x:c r="E10" s="10" t="str">
        <x:v>Rounded hours (qty)</x:v>
      </x:c>
      <x:c r="F10" s="10" t="str">
        <x:v>Effective rate / hour</x:v>
      </x:c>
      <x:c r="G10" s="10" t="str">
        <x:v>Line amount</x:v>
      </x:c>
      <x:c r="H10" s="10" t="str">
        <x:v>Treatment</x:v>
      </x:c>
      <x:c r="I10" s="10" t="str">
        <x:v>Proposed description</x:v>
      </x:c>
    </x:row>
    <x:row r="11" ht="40" customHeight="1">
      <x:c r="A11" s="27" t="str">
        <x:f>IF('SOW register'!A7="","",'SOW register'!A7)</x:f>
      </x:c>
      <x:c r="B11" s="27" t="str">
        <x:f>IF(A11="","",IF('SOW register'!E7="","",'SOW register'!E7))</x:f>
      </x:c>
      <x:c r="C11" s="12" t="str">
        <x:f>IF(OR(A11="",$E$8&lt;&gt;"Header complete"),"",SUMIFS('Time entries'!$F$7:$F$506,'Time entries'!$D$7:$D$506,A11,'Time entries'!$B$7:$B$506,"&gt;="&amp;$B$5,'Time entries'!$B$7:$B$506,"&lt;"&amp;$E$5))</x:f>
      </x:c>
      <x:c r="D11" s="12" t="str">
        <x:f>IF(C11="","",SUMIFS('Time entries'!$F$7:$F$506,'Time entries'!$D$7:$D$506,A11,'Time entries'!$B$7:$B$506,"&gt;="&amp;$B$5,'Time entries'!$B$7:$B$506,"&lt;"&amp;$E$5,'Time entries'!$G$7:$G$506,"Yes"))</x:f>
      </x:c>
      <x:c r="E11" s="13" t="str">
        <x:f>IF(OR(NOT(ISNUMBER(D11)),D11&lt;=0,'SOW register'!C7&lt;&gt;"Open"),"",ROUNDUP(SUMIFS('Time entries'!$N$7:$N$506,'Time entries'!$D$7:$D$506,A11,'Time entries'!$B$7:$B$506,"&gt;="&amp;$B$5,'Time entries'!$B$7:$B$506,"&lt;"&amp;$E$5,'Time entries'!$G$7:$G$506,"Yes",'Time entries'!$O$7:$O$506,"Complete")/3600000,0))</x:f>
      </x:c>
      <x:c r="F11" s="14" t="str">
        <x:f>IF(E11="","",IF(ISNUMBER('SOW register'!I7),'SOW register'!I7,IF(ISNUMBER('SOW register'!G7),'SOW register'!G7,"")))</x:f>
      </x:c>
      <x:c r="G11" s="14" t="str">
        <x:f>IF(OR(NOT(ISNUMBER(E11)),NOT(ISNUMBER(F11))),"",ROUND(E11*F11,2))</x:f>
      </x:c>
      <x:c r="H11" s="27" t="str">
        <x:f>IF(A11="","",IF(COUNTIF('SOW register'!$A$7:$A$36,A11)&gt;1,"Review: duplicate SOW",IF($E$8&lt;&gt;"Header complete","Review: header",IF(OR('SOW register'!C7="",'SOW register'!C7="Unclear",'SOW register'!D7=""),"Review: SOW status",IF('SOW register'!C7="Closed","Omit: closed SOW",IF(D11&lt;0,"Review: negative hours",IF(D11=0,"Omit: zero billable hours",IF(B11="","Review: product mapping",IF(NOT(ISNUMBER(F11)),"Review: missing rate",IF(F11&lt;=0,"Review: nonpositive rate",IF(AND('SOW register'!I7&lt;&gt;"",'SOW register'!J7=""),"Review: override reason",IF(AND('SOW register'!I7="",NOT(ISNUMBER('SOW register'!H7))),"Review: rate check date","Include; verify in QBO"))))))))))))</x:f>
      </x:c>
      <x:c r="I11" s="27" t="str">
        <x:f>IF(OR(A11="",$E$8&lt;&gt;"Header complete"),"",IF('SOW register'!F7="",'SOW register'!B7,'SOW register'!F7)&amp;" — "&amp;A11&amp;" — "&amp;TEXT($B$5,"mmm d, yyyy")&amp;" to "&amp;TEXT($E$5-1,"mmm d, yyyy"))</x:f>
      </x:c>
    </x:row>
    <x:row r="12" ht="40" customHeight="1">
      <x:c r="A12" s="27" t="str">
        <x:f>IF('SOW register'!A8="","",'SOW register'!A8)</x:f>
      </x:c>
      <x:c r="B12" s="27" t="str">
        <x:f>IF(A12="","",IF('SOW register'!E8="","",'SOW register'!E8))</x:f>
      </x:c>
      <x:c r="C12" s="12" t="str">
        <x:f>IF(OR(A12="",$E$8&lt;&gt;"Header complete"),"",SUMIFS('Time entries'!$F$7:$F$506,'Time entries'!$D$7:$D$506,A12,'Time entries'!$B$7:$B$506,"&gt;="&amp;$B$5,'Time entries'!$B$7:$B$506,"&lt;"&amp;$E$5))</x:f>
      </x:c>
      <x:c r="D12" s="12" t="str">
        <x:f>IF(C12="","",SUMIFS('Time entries'!$F$7:$F$506,'Time entries'!$D$7:$D$506,A12,'Time entries'!$B$7:$B$506,"&gt;="&amp;$B$5,'Time entries'!$B$7:$B$506,"&lt;"&amp;$E$5,'Time entries'!$G$7:$G$506,"Yes"))</x:f>
      </x:c>
      <x:c r="E12" s="13" t="str">
        <x:f>IF(OR(NOT(ISNUMBER(D12)),D12&lt;=0,'SOW register'!C8&lt;&gt;"Open"),"",ROUNDUP(SUMIFS('Time entries'!$N$7:$N$506,'Time entries'!$D$7:$D$506,A12,'Time entries'!$B$7:$B$506,"&gt;="&amp;$B$5,'Time entries'!$B$7:$B$506,"&lt;"&amp;$E$5,'Time entries'!$G$7:$G$506,"Yes",'Time entries'!$O$7:$O$506,"Complete")/3600000,0))</x:f>
      </x:c>
      <x:c r="F12" s="14" t="str">
        <x:f>IF(E12="","",IF(ISNUMBER('SOW register'!I8),'SOW register'!I8,IF(ISNUMBER('SOW register'!G8),'SOW register'!G8,"")))</x:f>
      </x:c>
      <x:c r="G12" s="14" t="str">
        <x:f>IF(OR(NOT(ISNUMBER(E12)),NOT(ISNUMBER(F12))),"",ROUND(E12*F12,2))</x:f>
      </x:c>
      <x:c r="H12" s="27" t="str">
        <x:f>IF(A12="","",IF(COUNTIF('SOW register'!$A$7:$A$36,A12)&gt;1,"Review: duplicate SOW",IF($E$8&lt;&gt;"Header complete","Review: header",IF(OR('SOW register'!C8="",'SOW register'!C8="Unclear",'SOW register'!D8=""),"Review: SOW status",IF('SOW register'!C8="Closed","Omit: closed SOW",IF(D12&lt;0,"Review: negative hours",IF(D12=0,"Omit: zero billable hours",IF(B12="","Review: product mapping",IF(NOT(ISNUMBER(F12)),"Review: missing rate",IF(F12&lt;=0,"Review: nonpositive rate",IF(AND('SOW register'!I8&lt;&gt;"",'SOW register'!J8=""),"Review: override reason",IF(AND('SOW register'!I8="",NOT(ISNUMBER('SOW register'!H8))),"Review: rate check date","Include; verify in QBO"))))))))))))</x:f>
      </x:c>
      <x:c r="I12" s="27" t="str">
        <x:f>IF(OR(A12="",$E$8&lt;&gt;"Header complete"),"",IF('SOW register'!F8="",'SOW register'!B8,'SOW register'!F8)&amp;" — "&amp;A12&amp;" — "&amp;TEXT($B$5,"mmm d, yyyy")&amp;" to "&amp;TEXT($E$5-1,"mmm d, yyyy"))</x:f>
      </x:c>
    </x:row>
    <x:row r="13" ht="40" customHeight="1">
      <x:c r="A13" s="27" t="str">
        <x:f>IF('SOW register'!A9="","",'SOW register'!A9)</x:f>
      </x:c>
      <x:c r="B13" s="27" t="str">
        <x:f>IF(A13="","",IF('SOW register'!E9="","",'SOW register'!E9))</x:f>
      </x:c>
      <x:c r="C13" s="12" t="str">
        <x:f>IF(OR(A13="",$E$8&lt;&gt;"Header complete"),"",SUMIFS('Time entries'!$F$7:$F$506,'Time entries'!$D$7:$D$506,A13,'Time entries'!$B$7:$B$506,"&gt;="&amp;$B$5,'Time entries'!$B$7:$B$506,"&lt;"&amp;$E$5))</x:f>
      </x:c>
      <x:c r="D13" s="12" t="str">
        <x:f>IF(C13="","",SUMIFS('Time entries'!$F$7:$F$506,'Time entries'!$D$7:$D$506,A13,'Time entries'!$B$7:$B$506,"&gt;="&amp;$B$5,'Time entries'!$B$7:$B$506,"&lt;"&amp;$E$5,'Time entries'!$G$7:$G$506,"Yes"))</x:f>
      </x:c>
      <x:c r="E13" s="13" t="str">
        <x:f>IF(OR(NOT(ISNUMBER(D13)),D13&lt;=0,'SOW register'!C9&lt;&gt;"Open"),"",ROUNDUP(SUMIFS('Time entries'!$N$7:$N$506,'Time entries'!$D$7:$D$506,A13,'Time entries'!$B$7:$B$506,"&gt;="&amp;$B$5,'Time entries'!$B$7:$B$506,"&lt;"&amp;$E$5,'Time entries'!$G$7:$G$506,"Yes",'Time entries'!$O$7:$O$506,"Complete")/3600000,0))</x:f>
      </x:c>
      <x:c r="F13" s="14" t="str">
        <x:f>IF(E13="","",IF(ISNUMBER('SOW register'!I9),'SOW register'!I9,IF(ISNUMBER('SOW register'!G9),'SOW register'!G9,"")))</x:f>
      </x:c>
      <x:c r="G13" s="14" t="str">
        <x:f>IF(OR(NOT(ISNUMBER(E13)),NOT(ISNUMBER(F13))),"",ROUND(E13*F13,2))</x:f>
      </x:c>
      <x:c r="H13" s="27" t="str">
        <x:f>IF(A13="","",IF(COUNTIF('SOW register'!$A$7:$A$36,A13)&gt;1,"Review: duplicate SOW",IF($E$8&lt;&gt;"Header complete","Review: header",IF(OR('SOW register'!C9="",'SOW register'!C9="Unclear",'SOW register'!D9=""),"Review: SOW status",IF('SOW register'!C9="Closed","Omit: closed SOW",IF(D13&lt;0,"Review: negative hours",IF(D13=0,"Omit: zero billable hours",IF(B13="","Review: product mapping",IF(NOT(ISNUMBER(F13)),"Review: missing rate",IF(F13&lt;=0,"Review: nonpositive rate",IF(AND('SOW register'!I9&lt;&gt;"",'SOW register'!J9=""),"Review: override reason",IF(AND('SOW register'!I9="",NOT(ISNUMBER('SOW register'!H9))),"Review: rate check date","Include; verify in QBO"))))))))))))</x:f>
      </x:c>
      <x:c r="I13" s="27" t="str">
        <x:f>IF(OR(A13="",$E$8&lt;&gt;"Header complete"),"",IF('SOW register'!F9="",'SOW register'!B9,'SOW register'!F9)&amp;" — "&amp;A13&amp;" — "&amp;TEXT($B$5,"mmm d, yyyy")&amp;" to "&amp;TEXT($E$5-1,"mmm d, yyyy"))</x:f>
      </x:c>
    </x:row>
    <x:row r="14" ht="40" customHeight="1">
      <x:c r="A14" s="27" t="str">
        <x:f>IF('SOW register'!A10="","",'SOW register'!A10)</x:f>
      </x:c>
      <x:c r="B14" s="27" t="str">
        <x:f>IF(A14="","",IF('SOW register'!E10="","",'SOW register'!E10))</x:f>
      </x:c>
      <x:c r="C14" s="12" t="str">
        <x:f>IF(OR(A14="",$E$8&lt;&gt;"Header complete"),"",SUMIFS('Time entries'!$F$7:$F$506,'Time entries'!$D$7:$D$506,A14,'Time entries'!$B$7:$B$506,"&gt;="&amp;$B$5,'Time entries'!$B$7:$B$506,"&lt;"&amp;$E$5))</x:f>
      </x:c>
      <x:c r="D14" s="12" t="str">
        <x:f>IF(C14="","",SUMIFS('Time entries'!$F$7:$F$506,'Time entries'!$D$7:$D$506,A14,'Time entries'!$B$7:$B$506,"&gt;="&amp;$B$5,'Time entries'!$B$7:$B$506,"&lt;"&amp;$E$5,'Time entries'!$G$7:$G$506,"Yes"))</x:f>
      </x:c>
      <x:c r="E14" s="13" t="str">
        <x:f>IF(OR(NOT(ISNUMBER(D14)),D14&lt;=0,'SOW register'!C10&lt;&gt;"Open"),"",ROUNDUP(SUMIFS('Time entries'!$N$7:$N$506,'Time entries'!$D$7:$D$506,A14,'Time entries'!$B$7:$B$506,"&gt;="&amp;$B$5,'Time entries'!$B$7:$B$506,"&lt;"&amp;$E$5,'Time entries'!$G$7:$G$506,"Yes",'Time entries'!$O$7:$O$506,"Complete")/3600000,0))</x:f>
      </x:c>
      <x:c r="F14" s="14" t="str">
        <x:f>IF(E14="","",IF(ISNUMBER('SOW register'!I10),'SOW register'!I10,IF(ISNUMBER('SOW register'!G10),'SOW register'!G10,"")))</x:f>
      </x:c>
      <x:c r="G14" s="14" t="str">
        <x:f>IF(OR(NOT(ISNUMBER(E14)),NOT(ISNUMBER(F14))),"",ROUND(E14*F14,2))</x:f>
      </x:c>
      <x:c r="H14" s="27" t="str">
        <x:f>IF(A14="","",IF(COUNTIF('SOW register'!$A$7:$A$36,A14)&gt;1,"Review: duplicate SOW",IF($E$8&lt;&gt;"Header complete","Review: header",IF(OR('SOW register'!C10="",'SOW register'!C10="Unclear",'SOW register'!D10=""),"Review: SOW status",IF('SOW register'!C10="Closed","Omit: closed SOW",IF(D14&lt;0,"Review: negative hours",IF(D14=0,"Omit: zero billable hours",IF(B14="","Review: product mapping",IF(NOT(ISNUMBER(F14)),"Review: missing rate",IF(F14&lt;=0,"Review: nonpositive rate",IF(AND('SOW register'!I10&lt;&gt;"",'SOW register'!J10=""),"Review: override reason",IF(AND('SOW register'!I10="",NOT(ISNUMBER('SOW register'!H10))),"Review: rate check date","Include; verify in QBO"))))))))))))</x:f>
      </x:c>
      <x:c r="I14" s="27" t="str">
        <x:f>IF(OR(A14="",$E$8&lt;&gt;"Header complete"),"",IF('SOW register'!F10="",'SOW register'!B10,'SOW register'!F10)&amp;" — "&amp;A14&amp;" — "&amp;TEXT($B$5,"mmm d, yyyy")&amp;" to "&amp;TEXT($E$5-1,"mmm d, yyyy"))</x:f>
      </x:c>
    </x:row>
    <x:row r="15" ht="40" customHeight="1">
      <x:c r="A15" s="27" t="str">
        <x:f>IF('SOW register'!A11="","",'SOW register'!A11)</x:f>
      </x:c>
      <x:c r="B15" s="27" t="str">
        <x:f>IF(A15="","",IF('SOW register'!E11="","",'SOW register'!E11))</x:f>
      </x:c>
      <x:c r="C15" s="12" t="str">
        <x:f>IF(OR(A15="",$E$8&lt;&gt;"Header complete"),"",SUMIFS('Time entries'!$F$7:$F$506,'Time entries'!$D$7:$D$506,A15,'Time entries'!$B$7:$B$506,"&gt;="&amp;$B$5,'Time entries'!$B$7:$B$506,"&lt;"&amp;$E$5))</x:f>
      </x:c>
      <x:c r="D15" s="12" t="str">
        <x:f>IF(C15="","",SUMIFS('Time entries'!$F$7:$F$506,'Time entries'!$D$7:$D$506,A15,'Time entries'!$B$7:$B$506,"&gt;="&amp;$B$5,'Time entries'!$B$7:$B$506,"&lt;"&amp;$E$5,'Time entries'!$G$7:$G$506,"Yes"))</x:f>
      </x:c>
      <x:c r="E15" s="13" t="str">
        <x:f>IF(OR(NOT(ISNUMBER(D15)),D15&lt;=0,'SOW register'!C11&lt;&gt;"Open"),"",ROUNDUP(SUMIFS('Time entries'!$N$7:$N$506,'Time entries'!$D$7:$D$506,A15,'Time entries'!$B$7:$B$506,"&gt;="&amp;$B$5,'Time entries'!$B$7:$B$506,"&lt;"&amp;$E$5,'Time entries'!$G$7:$G$506,"Yes",'Time entries'!$O$7:$O$506,"Complete")/3600000,0))</x:f>
      </x:c>
      <x:c r="F15" s="14" t="str">
        <x:f>IF(E15="","",IF(ISNUMBER('SOW register'!I11),'SOW register'!I11,IF(ISNUMBER('SOW register'!G11),'SOW register'!G11,"")))</x:f>
      </x:c>
      <x:c r="G15" s="14" t="str">
        <x:f>IF(OR(NOT(ISNUMBER(E15)),NOT(ISNUMBER(F15))),"",ROUND(E15*F15,2))</x:f>
      </x:c>
      <x:c r="H15" s="27" t="str">
        <x:f>IF(A15="","",IF(COUNTIF('SOW register'!$A$7:$A$36,A15)&gt;1,"Review: duplicate SOW",IF($E$8&lt;&gt;"Header complete","Review: header",IF(OR('SOW register'!C11="",'SOW register'!C11="Unclear",'SOW register'!D11=""),"Review: SOW status",IF('SOW register'!C11="Closed","Omit: closed SOW",IF(D15&lt;0,"Review: negative hours",IF(D15=0,"Omit: zero billable hours",IF(B15="","Review: product mapping",IF(NOT(ISNUMBER(F15)),"Review: missing rate",IF(F15&lt;=0,"Review: nonpositive rate",IF(AND('SOW register'!I11&lt;&gt;"",'SOW register'!J11=""),"Review: override reason",IF(AND('SOW register'!I11="",NOT(ISNUMBER('SOW register'!H11))),"Review: rate check date","Include; verify in QBO"))))))))))))</x:f>
      </x:c>
      <x:c r="I15" s="27" t="str">
        <x:f>IF(OR(A15="",$E$8&lt;&gt;"Header complete"),"",IF('SOW register'!F11="",'SOW register'!B11,'SOW register'!F11)&amp;" — "&amp;A15&amp;" — "&amp;TEXT($B$5,"mmm d, yyyy")&amp;" to "&amp;TEXT($E$5-1,"mmm d, yyyy"))</x:f>
      </x:c>
    </x:row>
    <x:row r="16" ht="40" customHeight="1">
      <x:c r="A16" s="27" t="str">
        <x:f>IF('SOW register'!A12="","",'SOW register'!A12)</x:f>
      </x:c>
      <x:c r="B16" s="27" t="str">
        <x:f>IF(A16="","",IF('SOW register'!E12="","",'SOW register'!E12))</x:f>
      </x:c>
      <x:c r="C16" s="12" t="str">
        <x:f>IF(OR(A16="",$E$8&lt;&gt;"Header complete"),"",SUMIFS('Time entries'!$F$7:$F$506,'Time entries'!$D$7:$D$506,A16,'Time entries'!$B$7:$B$506,"&gt;="&amp;$B$5,'Time entries'!$B$7:$B$506,"&lt;"&amp;$E$5))</x:f>
      </x:c>
      <x:c r="D16" s="12" t="str">
        <x:f>IF(C16="","",SUMIFS('Time entries'!$F$7:$F$506,'Time entries'!$D$7:$D$506,A16,'Time entries'!$B$7:$B$506,"&gt;="&amp;$B$5,'Time entries'!$B$7:$B$506,"&lt;"&amp;$E$5,'Time entries'!$G$7:$G$506,"Yes"))</x:f>
      </x:c>
      <x:c r="E16" s="13" t="str">
        <x:f>IF(OR(NOT(ISNUMBER(D16)),D16&lt;=0,'SOW register'!C12&lt;&gt;"Open"),"",ROUNDUP(SUMIFS('Time entries'!$N$7:$N$506,'Time entries'!$D$7:$D$506,A16,'Time entries'!$B$7:$B$506,"&gt;="&amp;$B$5,'Time entries'!$B$7:$B$506,"&lt;"&amp;$E$5,'Time entries'!$G$7:$G$506,"Yes",'Time entries'!$O$7:$O$506,"Complete")/3600000,0))</x:f>
      </x:c>
      <x:c r="F16" s="14" t="str">
        <x:f>IF(E16="","",IF(ISNUMBER('SOW register'!I12),'SOW register'!I12,IF(ISNUMBER('SOW register'!G12),'SOW register'!G12,"")))</x:f>
      </x:c>
      <x:c r="G16" s="14" t="str">
        <x:f>IF(OR(NOT(ISNUMBER(E16)),NOT(ISNUMBER(F16))),"",ROUND(E16*F16,2))</x:f>
      </x:c>
      <x:c r="H16" s="27" t="str">
        <x:f>IF(A16="","",IF(COUNTIF('SOW register'!$A$7:$A$36,A16)&gt;1,"Review: duplicate SOW",IF($E$8&lt;&gt;"Header complete","Review: header",IF(OR('SOW register'!C12="",'SOW register'!C12="Unclear",'SOW register'!D12=""),"Review: SOW status",IF('SOW register'!C12="Closed","Omit: closed SOW",IF(D16&lt;0,"Review: negative hours",IF(D16=0,"Omit: zero billable hours",IF(B16="","Review: product mapping",IF(NOT(ISNUMBER(F16)),"Review: missing rate",IF(F16&lt;=0,"Review: nonpositive rate",IF(AND('SOW register'!I12&lt;&gt;"",'SOW register'!J12=""),"Review: override reason",IF(AND('SOW register'!I12="",NOT(ISNUMBER('SOW register'!H12))),"Review: rate check date","Include; verify in QBO"))))))))))))</x:f>
      </x:c>
      <x:c r="I16" s="27" t="str">
        <x:f>IF(OR(A16="",$E$8&lt;&gt;"Header complete"),"",IF('SOW register'!F12="",'SOW register'!B12,'SOW register'!F12)&amp;" — "&amp;A16&amp;" — "&amp;TEXT($B$5,"mmm d, yyyy")&amp;" to "&amp;TEXT($E$5-1,"mmm d, yyyy"))</x:f>
      </x:c>
    </x:row>
    <x:row r="17" ht="40" customHeight="1">
      <x:c r="A17" s="27" t="str">
        <x:f>IF('SOW register'!A13="","",'SOW register'!A13)</x:f>
      </x:c>
      <x:c r="B17" s="27" t="str">
        <x:f>IF(A17="","",IF('SOW register'!E13="","",'SOW register'!E13))</x:f>
      </x:c>
      <x:c r="C17" s="12" t="str">
        <x:f>IF(OR(A17="",$E$8&lt;&gt;"Header complete"),"",SUMIFS('Time entries'!$F$7:$F$506,'Time entries'!$D$7:$D$506,A17,'Time entries'!$B$7:$B$506,"&gt;="&amp;$B$5,'Time entries'!$B$7:$B$506,"&lt;"&amp;$E$5))</x:f>
      </x:c>
      <x:c r="D17" s="12" t="str">
        <x:f>IF(C17="","",SUMIFS('Time entries'!$F$7:$F$506,'Time entries'!$D$7:$D$506,A17,'Time entries'!$B$7:$B$506,"&gt;="&amp;$B$5,'Time entries'!$B$7:$B$506,"&lt;"&amp;$E$5,'Time entries'!$G$7:$G$506,"Yes"))</x:f>
      </x:c>
      <x:c r="E17" s="13" t="str">
        <x:f>IF(OR(NOT(ISNUMBER(D17)),D17&lt;=0,'SOW register'!C13&lt;&gt;"Open"),"",ROUNDUP(SUMIFS('Time entries'!$N$7:$N$506,'Time entries'!$D$7:$D$506,A17,'Time entries'!$B$7:$B$506,"&gt;="&amp;$B$5,'Time entries'!$B$7:$B$506,"&lt;"&amp;$E$5,'Time entries'!$G$7:$G$506,"Yes",'Time entries'!$O$7:$O$506,"Complete")/3600000,0))</x:f>
      </x:c>
      <x:c r="F17" s="14" t="str">
        <x:f>IF(E17="","",IF(ISNUMBER('SOW register'!I13),'SOW register'!I13,IF(ISNUMBER('SOW register'!G13),'SOW register'!G13,"")))</x:f>
      </x:c>
      <x:c r="G17" s="14" t="str">
        <x:f>IF(OR(NOT(ISNUMBER(E17)),NOT(ISNUMBER(F17))),"",ROUND(E17*F17,2))</x:f>
      </x:c>
      <x:c r="H17" s="27" t="str">
        <x:f>IF(A17="","",IF(COUNTIF('SOW register'!$A$7:$A$36,A17)&gt;1,"Review: duplicate SOW",IF($E$8&lt;&gt;"Header complete","Review: header",IF(OR('SOW register'!C13="",'SOW register'!C13="Unclear",'SOW register'!D13=""),"Review: SOW status",IF('SOW register'!C13="Closed","Omit: closed SOW",IF(D17&lt;0,"Review: negative hours",IF(D17=0,"Omit: zero billable hours",IF(B17="","Review: product mapping",IF(NOT(ISNUMBER(F17)),"Review: missing rate",IF(F17&lt;=0,"Review: nonpositive rate",IF(AND('SOW register'!I13&lt;&gt;"",'SOW register'!J13=""),"Review: override reason",IF(AND('SOW register'!I13="",NOT(ISNUMBER('SOW register'!H13))),"Review: rate check date","Include; verify in QBO"))))))))))))</x:f>
      </x:c>
      <x:c r="I17" s="27" t="str">
        <x:f>IF(OR(A17="",$E$8&lt;&gt;"Header complete"),"",IF('SOW register'!F13="",'SOW register'!B13,'SOW register'!F13)&amp;" — "&amp;A17&amp;" — "&amp;TEXT($B$5,"mmm d, yyyy")&amp;" to "&amp;TEXT($E$5-1,"mmm d, yyyy"))</x:f>
      </x:c>
    </x:row>
    <x:row r="18" ht="40" customHeight="1">
      <x:c r="A18" s="27" t="str">
        <x:f>IF('SOW register'!A14="","",'SOW register'!A14)</x:f>
      </x:c>
      <x:c r="B18" s="27" t="str">
        <x:f>IF(A18="","",IF('SOW register'!E14="","",'SOW register'!E14))</x:f>
      </x:c>
      <x:c r="C18" s="12" t="str">
        <x:f>IF(OR(A18="",$E$8&lt;&gt;"Header complete"),"",SUMIFS('Time entries'!$F$7:$F$506,'Time entries'!$D$7:$D$506,A18,'Time entries'!$B$7:$B$506,"&gt;="&amp;$B$5,'Time entries'!$B$7:$B$506,"&lt;"&amp;$E$5))</x:f>
      </x:c>
      <x:c r="D18" s="12" t="str">
        <x:f>IF(C18="","",SUMIFS('Time entries'!$F$7:$F$506,'Time entries'!$D$7:$D$506,A18,'Time entries'!$B$7:$B$506,"&gt;="&amp;$B$5,'Time entries'!$B$7:$B$506,"&lt;"&amp;$E$5,'Time entries'!$G$7:$G$506,"Yes"))</x:f>
      </x:c>
      <x:c r="E18" s="13" t="str">
        <x:f>IF(OR(NOT(ISNUMBER(D18)),D18&lt;=0,'SOW register'!C14&lt;&gt;"Open"),"",ROUNDUP(SUMIFS('Time entries'!$N$7:$N$506,'Time entries'!$D$7:$D$506,A18,'Time entries'!$B$7:$B$506,"&gt;="&amp;$B$5,'Time entries'!$B$7:$B$506,"&lt;"&amp;$E$5,'Time entries'!$G$7:$G$506,"Yes",'Time entries'!$O$7:$O$506,"Complete")/3600000,0))</x:f>
      </x:c>
      <x:c r="F18" s="14" t="str">
        <x:f>IF(E18="","",IF(ISNUMBER('SOW register'!I14),'SOW register'!I14,IF(ISNUMBER('SOW register'!G14),'SOW register'!G14,"")))</x:f>
      </x:c>
      <x:c r="G18" s="14" t="str">
        <x:f>IF(OR(NOT(ISNUMBER(E18)),NOT(ISNUMBER(F18))),"",ROUND(E18*F18,2))</x:f>
      </x:c>
      <x:c r="H18" s="27" t="str">
        <x:f>IF(A18="","",IF(COUNTIF('SOW register'!$A$7:$A$36,A18)&gt;1,"Review: duplicate SOW",IF($E$8&lt;&gt;"Header complete","Review: header",IF(OR('SOW register'!C14="",'SOW register'!C14="Unclear",'SOW register'!D14=""),"Review: SOW status",IF('SOW register'!C14="Closed","Omit: closed SOW",IF(D18&lt;0,"Review: negative hours",IF(D18=0,"Omit: zero billable hours",IF(B18="","Review: product mapping",IF(NOT(ISNUMBER(F18)),"Review: missing rate",IF(F18&lt;=0,"Review: nonpositive rate",IF(AND('SOW register'!I14&lt;&gt;"",'SOW register'!J14=""),"Review: override reason",IF(AND('SOW register'!I14="",NOT(ISNUMBER('SOW register'!H14))),"Review: rate check date","Include; verify in QBO"))))))))))))</x:f>
      </x:c>
      <x:c r="I18" s="27" t="str">
        <x:f>IF(OR(A18="",$E$8&lt;&gt;"Header complete"),"",IF('SOW register'!F14="",'SOW register'!B14,'SOW register'!F14)&amp;" — "&amp;A18&amp;" — "&amp;TEXT($B$5,"mmm d, yyyy")&amp;" to "&amp;TEXT($E$5-1,"mmm d, yyyy"))</x:f>
      </x:c>
    </x:row>
    <x:row r="19" ht="40" customHeight="1">
      <x:c r="A19" s="27" t="str">
        <x:f>IF('SOW register'!A15="","",'SOW register'!A15)</x:f>
      </x:c>
      <x:c r="B19" s="27" t="str">
        <x:f>IF(A19="","",IF('SOW register'!E15="","",'SOW register'!E15))</x:f>
      </x:c>
      <x:c r="C19" s="12" t="str">
        <x:f>IF(OR(A19="",$E$8&lt;&gt;"Header complete"),"",SUMIFS('Time entries'!$F$7:$F$506,'Time entries'!$D$7:$D$506,A19,'Time entries'!$B$7:$B$506,"&gt;="&amp;$B$5,'Time entries'!$B$7:$B$506,"&lt;"&amp;$E$5))</x:f>
      </x:c>
      <x:c r="D19" s="12" t="str">
        <x:f>IF(C19="","",SUMIFS('Time entries'!$F$7:$F$506,'Time entries'!$D$7:$D$506,A19,'Time entries'!$B$7:$B$506,"&gt;="&amp;$B$5,'Time entries'!$B$7:$B$506,"&lt;"&amp;$E$5,'Time entries'!$G$7:$G$506,"Yes"))</x:f>
      </x:c>
      <x:c r="E19" s="13" t="str">
        <x:f>IF(OR(NOT(ISNUMBER(D19)),D19&lt;=0,'SOW register'!C15&lt;&gt;"Open"),"",ROUNDUP(SUMIFS('Time entries'!$N$7:$N$506,'Time entries'!$D$7:$D$506,A19,'Time entries'!$B$7:$B$506,"&gt;="&amp;$B$5,'Time entries'!$B$7:$B$506,"&lt;"&amp;$E$5,'Time entries'!$G$7:$G$506,"Yes",'Time entries'!$O$7:$O$506,"Complete")/3600000,0))</x:f>
      </x:c>
      <x:c r="F19" s="14" t="str">
        <x:f>IF(E19="","",IF(ISNUMBER('SOW register'!I15),'SOW register'!I15,IF(ISNUMBER('SOW register'!G15),'SOW register'!G15,"")))</x:f>
      </x:c>
      <x:c r="G19" s="14" t="str">
        <x:f>IF(OR(NOT(ISNUMBER(E19)),NOT(ISNUMBER(F19))),"",ROUND(E19*F19,2))</x:f>
      </x:c>
      <x:c r="H19" s="27" t="str">
        <x:f>IF(A19="","",IF(COUNTIF('SOW register'!$A$7:$A$36,A19)&gt;1,"Review: duplicate SOW",IF($E$8&lt;&gt;"Header complete","Review: header",IF(OR('SOW register'!C15="",'SOW register'!C15="Unclear",'SOW register'!D15=""),"Review: SOW status",IF('SOW register'!C15="Closed","Omit: closed SOW",IF(D19&lt;0,"Review: negative hours",IF(D19=0,"Omit: zero billable hours",IF(B19="","Review: product mapping",IF(NOT(ISNUMBER(F19)),"Review: missing rate",IF(F19&lt;=0,"Review: nonpositive rate",IF(AND('SOW register'!I15&lt;&gt;"",'SOW register'!J15=""),"Review: override reason",IF(AND('SOW register'!I15="",NOT(ISNUMBER('SOW register'!H15))),"Review: rate check date","Include; verify in QBO"))))))))))))</x:f>
      </x:c>
      <x:c r="I19" s="27" t="str">
        <x:f>IF(OR(A19="",$E$8&lt;&gt;"Header complete"),"",IF('SOW register'!F15="",'SOW register'!B15,'SOW register'!F15)&amp;" — "&amp;A19&amp;" — "&amp;TEXT($B$5,"mmm d, yyyy")&amp;" to "&amp;TEXT($E$5-1,"mmm d, yyyy"))</x:f>
      </x:c>
    </x:row>
    <x:row r="20" ht="40" customHeight="1">
      <x:c r="A20" s="27" t="str">
        <x:f>IF('SOW register'!A16="","",'SOW register'!A16)</x:f>
      </x:c>
      <x:c r="B20" s="27" t="str">
        <x:f>IF(A20="","",IF('SOW register'!E16="","",'SOW register'!E16))</x:f>
      </x:c>
      <x:c r="C20" s="12" t="str">
        <x:f>IF(OR(A20="",$E$8&lt;&gt;"Header complete"),"",SUMIFS('Time entries'!$F$7:$F$506,'Time entries'!$D$7:$D$506,A20,'Time entries'!$B$7:$B$506,"&gt;="&amp;$B$5,'Time entries'!$B$7:$B$506,"&lt;"&amp;$E$5))</x:f>
      </x:c>
      <x:c r="D20" s="12" t="str">
        <x:f>IF(C20="","",SUMIFS('Time entries'!$F$7:$F$506,'Time entries'!$D$7:$D$506,A20,'Time entries'!$B$7:$B$506,"&gt;="&amp;$B$5,'Time entries'!$B$7:$B$506,"&lt;"&amp;$E$5,'Time entries'!$G$7:$G$506,"Yes"))</x:f>
      </x:c>
      <x:c r="E20" s="13" t="str">
        <x:f>IF(OR(NOT(ISNUMBER(D20)),D20&lt;=0,'SOW register'!C16&lt;&gt;"Open"),"",ROUNDUP(SUMIFS('Time entries'!$N$7:$N$506,'Time entries'!$D$7:$D$506,A20,'Time entries'!$B$7:$B$506,"&gt;="&amp;$B$5,'Time entries'!$B$7:$B$506,"&lt;"&amp;$E$5,'Time entries'!$G$7:$G$506,"Yes",'Time entries'!$O$7:$O$506,"Complete")/3600000,0))</x:f>
      </x:c>
      <x:c r="F20" s="14" t="str">
        <x:f>IF(E20="","",IF(ISNUMBER('SOW register'!I16),'SOW register'!I16,IF(ISNUMBER('SOW register'!G16),'SOW register'!G16,"")))</x:f>
      </x:c>
      <x:c r="G20" s="14" t="str">
        <x:f>IF(OR(NOT(ISNUMBER(E20)),NOT(ISNUMBER(F20))),"",ROUND(E20*F20,2))</x:f>
      </x:c>
      <x:c r="H20" s="27" t="str">
        <x:f>IF(A20="","",IF(COUNTIF('SOW register'!$A$7:$A$36,A20)&gt;1,"Review: duplicate SOW",IF($E$8&lt;&gt;"Header complete","Review: header",IF(OR('SOW register'!C16="",'SOW register'!C16="Unclear",'SOW register'!D16=""),"Review: SOW status",IF('SOW register'!C16="Closed","Omit: closed SOW",IF(D20&lt;0,"Review: negative hours",IF(D20=0,"Omit: zero billable hours",IF(B20="","Review: product mapping",IF(NOT(ISNUMBER(F20)),"Review: missing rate",IF(F20&lt;=0,"Review: nonpositive rate",IF(AND('SOW register'!I16&lt;&gt;"",'SOW register'!J16=""),"Review: override reason",IF(AND('SOW register'!I16="",NOT(ISNUMBER('SOW register'!H16))),"Review: rate check date","Include; verify in QBO"))))))))))))</x:f>
      </x:c>
      <x:c r="I20" s="27" t="str">
        <x:f>IF(OR(A20="",$E$8&lt;&gt;"Header complete"),"",IF('SOW register'!F16="",'SOW register'!B16,'SOW register'!F16)&amp;" — "&amp;A20&amp;" — "&amp;TEXT($B$5,"mmm d, yyyy")&amp;" to "&amp;TEXT($E$5-1,"mmm d, yyyy"))</x:f>
      </x:c>
    </x:row>
    <x:row r="21" ht="40" customHeight="1">
      <x:c r="A21" s="27" t="str">
        <x:f>IF('SOW register'!A17="","",'SOW register'!A17)</x:f>
      </x:c>
      <x:c r="B21" s="27" t="str">
        <x:f>IF(A21="","",IF('SOW register'!E17="","",'SOW register'!E17))</x:f>
      </x:c>
      <x:c r="C21" s="12" t="str">
        <x:f>IF(OR(A21="",$E$8&lt;&gt;"Header complete"),"",SUMIFS('Time entries'!$F$7:$F$506,'Time entries'!$D$7:$D$506,A21,'Time entries'!$B$7:$B$506,"&gt;="&amp;$B$5,'Time entries'!$B$7:$B$506,"&lt;"&amp;$E$5))</x:f>
      </x:c>
      <x:c r="D21" s="12" t="str">
        <x:f>IF(C21="","",SUMIFS('Time entries'!$F$7:$F$506,'Time entries'!$D$7:$D$506,A21,'Time entries'!$B$7:$B$506,"&gt;="&amp;$B$5,'Time entries'!$B$7:$B$506,"&lt;"&amp;$E$5,'Time entries'!$G$7:$G$506,"Yes"))</x:f>
      </x:c>
      <x:c r="E21" s="13" t="str">
        <x:f>IF(OR(NOT(ISNUMBER(D21)),D21&lt;=0,'SOW register'!C17&lt;&gt;"Open"),"",ROUNDUP(SUMIFS('Time entries'!$N$7:$N$506,'Time entries'!$D$7:$D$506,A21,'Time entries'!$B$7:$B$506,"&gt;="&amp;$B$5,'Time entries'!$B$7:$B$506,"&lt;"&amp;$E$5,'Time entries'!$G$7:$G$506,"Yes",'Time entries'!$O$7:$O$506,"Complete")/3600000,0))</x:f>
      </x:c>
      <x:c r="F21" s="14" t="str">
        <x:f>IF(E21="","",IF(ISNUMBER('SOW register'!I17),'SOW register'!I17,IF(ISNUMBER('SOW register'!G17),'SOW register'!G17,"")))</x:f>
      </x:c>
      <x:c r="G21" s="14" t="str">
        <x:f>IF(OR(NOT(ISNUMBER(E21)),NOT(ISNUMBER(F21))),"",ROUND(E21*F21,2))</x:f>
      </x:c>
      <x:c r="H21" s="27" t="str">
        <x:f>IF(A21="","",IF(COUNTIF('SOW register'!$A$7:$A$36,A21)&gt;1,"Review: duplicate SOW",IF($E$8&lt;&gt;"Header complete","Review: header",IF(OR('SOW register'!C17="",'SOW register'!C17="Unclear",'SOW register'!D17=""),"Review: SOW status",IF('SOW register'!C17="Closed","Omit: closed SOW",IF(D21&lt;0,"Review: negative hours",IF(D21=0,"Omit: zero billable hours",IF(B21="","Review: product mapping",IF(NOT(ISNUMBER(F21)),"Review: missing rate",IF(F21&lt;=0,"Review: nonpositive rate",IF(AND('SOW register'!I17&lt;&gt;"",'SOW register'!J17=""),"Review: override reason",IF(AND('SOW register'!I17="",NOT(ISNUMBER('SOW register'!H17))),"Review: rate check date","Include; verify in QBO"))))))))))))</x:f>
      </x:c>
      <x:c r="I21" s="27" t="str">
        <x:f>IF(OR(A21="",$E$8&lt;&gt;"Header complete"),"",IF('SOW register'!F17="",'SOW register'!B17,'SOW register'!F17)&amp;" — "&amp;A21&amp;" — "&amp;TEXT($B$5,"mmm d, yyyy")&amp;" to "&amp;TEXT($E$5-1,"mmm d, yyyy"))</x:f>
      </x:c>
    </x:row>
    <x:row r="22" ht="40" customHeight="1">
      <x:c r="A22" s="27" t="str">
        <x:f>IF('SOW register'!A18="","",'SOW register'!A18)</x:f>
      </x:c>
      <x:c r="B22" s="27" t="str">
        <x:f>IF(A22="","",IF('SOW register'!E18="","",'SOW register'!E18))</x:f>
      </x:c>
      <x:c r="C22" s="12" t="str">
        <x:f>IF(OR(A22="",$E$8&lt;&gt;"Header complete"),"",SUMIFS('Time entries'!$F$7:$F$506,'Time entries'!$D$7:$D$506,A22,'Time entries'!$B$7:$B$506,"&gt;="&amp;$B$5,'Time entries'!$B$7:$B$506,"&lt;"&amp;$E$5))</x:f>
      </x:c>
      <x:c r="D22" s="12" t="str">
        <x:f>IF(C22="","",SUMIFS('Time entries'!$F$7:$F$506,'Time entries'!$D$7:$D$506,A22,'Time entries'!$B$7:$B$506,"&gt;="&amp;$B$5,'Time entries'!$B$7:$B$506,"&lt;"&amp;$E$5,'Time entries'!$G$7:$G$506,"Yes"))</x:f>
      </x:c>
      <x:c r="E22" s="13" t="str">
        <x:f>IF(OR(NOT(ISNUMBER(D22)),D22&lt;=0,'SOW register'!C18&lt;&gt;"Open"),"",ROUNDUP(SUMIFS('Time entries'!$N$7:$N$506,'Time entries'!$D$7:$D$506,A22,'Time entries'!$B$7:$B$506,"&gt;="&amp;$B$5,'Time entries'!$B$7:$B$506,"&lt;"&amp;$E$5,'Time entries'!$G$7:$G$506,"Yes",'Time entries'!$O$7:$O$506,"Complete")/3600000,0))</x:f>
      </x:c>
      <x:c r="F22" s="14" t="str">
        <x:f>IF(E22="","",IF(ISNUMBER('SOW register'!I18),'SOW register'!I18,IF(ISNUMBER('SOW register'!G18),'SOW register'!G18,"")))</x:f>
      </x:c>
      <x:c r="G22" s="14" t="str">
        <x:f>IF(OR(NOT(ISNUMBER(E22)),NOT(ISNUMBER(F22))),"",ROUND(E22*F22,2))</x:f>
      </x:c>
      <x:c r="H22" s="27" t="str">
        <x:f>IF(A22="","",IF(COUNTIF('SOW register'!$A$7:$A$36,A22)&gt;1,"Review: duplicate SOW",IF($E$8&lt;&gt;"Header complete","Review: header",IF(OR('SOW register'!C18="",'SOW register'!C18="Unclear",'SOW register'!D18=""),"Review: SOW status",IF('SOW register'!C18="Closed","Omit: closed SOW",IF(D22&lt;0,"Review: negative hours",IF(D22=0,"Omit: zero billable hours",IF(B22="","Review: product mapping",IF(NOT(ISNUMBER(F22)),"Review: missing rate",IF(F22&lt;=0,"Review: nonpositive rate",IF(AND('SOW register'!I18&lt;&gt;"",'SOW register'!J18=""),"Review: override reason",IF(AND('SOW register'!I18="",NOT(ISNUMBER('SOW register'!H18))),"Review: rate check date","Include; verify in QBO"))))))))))))</x:f>
      </x:c>
      <x:c r="I22" s="27" t="str">
        <x:f>IF(OR(A22="",$E$8&lt;&gt;"Header complete"),"",IF('SOW register'!F18="",'SOW register'!B18,'SOW register'!F18)&amp;" — "&amp;A22&amp;" — "&amp;TEXT($B$5,"mmm d, yyyy")&amp;" to "&amp;TEXT($E$5-1,"mmm d, yyyy"))</x:f>
      </x:c>
    </x:row>
    <x:row r="23" ht="40" customHeight="1">
      <x:c r="A23" s="27" t="str">
        <x:f>IF('SOW register'!A19="","",'SOW register'!A19)</x:f>
      </x:c>
      <x:c r="B23" s="27" t="str">
        <x:f>IF(A23="","",IF('SOW register'!E19="","",'SOW register'!E19))</x:f>
      </x:c>
      <x:c r="C23" s="12" t="str">
        <x:f>IF(OR(A23="",$E$8&lt;&gt;"Header complete"),"",SUMIFS('Time entries'!$F$7:$F$506,'Time entries'!$D$7:$D$506,A23,'Time entries'!$B$7:$B$506,"&gt;="&amp;$B$5,'Time entries'!$B$7:$B$506,"&lt;"&amp;$E$5))</x:f>
      </x:c>
      <x:c r="D23" s="12" t="str">
        <x:f>IF(C23="","",SUMIFS('Time entries'!$F$7:$F$506,'Time entries'!$D$7:$D$506,A23,'Time entries'!$B$7:$B$506,"&gt;="&amp;$B$5,'Time entries'!$B$7:$B$506,"&lt;"&amp;$E$5,'Time entries'!$G$7:$G$506,"Yes"))</x:f>
      </x:c>
      <x:c r="E23" s="13" t="str">
        <x:f>IF(OR(NOT(ISNUMBER(D23)),D23&lt;=0,'SOW register'!C19&lt;&gt;"Open"),"",ROUNDUP(SUMIFS('Time entries'!$N$7:$N$506,'Time entries'!$D$7:$D$506,A23,'Time entries'!$B$7:$B$506,"&gt;="&amp;$B$5,'Time entries'!$B$7:$B$506,"&lt;"&amp;$E$5,'Time entries'!$G$7:$G$506,"Yes",'Time entries'!$O$7:$O$506,"Complete")/3600000,0))</x:f>
      </x:c>
      <x:c r="F23" s="14" t="str">
        <x:f>IF(E23="","",IF(ISNUMBER('SOW register'!I19),'SOW register'!I19,IF(ISNUMBER('SOW register'!G19),'SOW register'!G19,"")))</x:f>
      </x:c>
      <x:c r="G23" s="14" t="str">
        <x:f>IF(OR(NOT(ISNUMBER(E23)),NOT(ISNUMBER(F23))),"",ROUND(E23*F23,2))</x:f>
      </x:c>
      <x:c r="H23" s="27" t="str">
        <x:f>IF(A23="","",IF(COUNTIF('SOW register'!$A$7:$A$36,A23)&gt;1,"Review: duplicate SOW",IF($E$8&lt;&gt;"Header complete","Review: header",IF(OR('SOW register'!C19="",'SOW register'!C19="Unclear",'SOW register'!D19=""),"Review: SOW status",IF('SOW register'!C19="Closed","Omit: closed SOW",IF(D23&lt;0,"Review: negative hours",IF(D23=0,"Omit: zero billable hours",IF(B23="","Review: product mapping",IF(NOT(ISNUMBER(F23)),"Review: missing rate",IF(F23&lt;=0,"Review: nonpositive rate",IF(AND('SOW register'!I19&lt;&gt;"",'SOW register'!J19=""),"Review: override reason",IF(AND('SOW register'!I19="",NOT(ISNUMBER('SOW register'!H19))),"Review: rate check date","Include; verify in QBO"))))))))))))</x:f>
      </x:c>
      <x:c r="I23" s="27" t="str">
        <x:f>IF(OR(A23="",$E$8&lt;&gt;"Header complete"),"",IF('SOW register'!F19="",'SOW register'!B19,'SOW register'!F19)&amp;" — "&amp;A23&amp;" — "&amp;TEXT($B$5,"mmm d, yyyy")&amp;" to "&amp;TEXT($E$5-1,"mmm d, yyyy"))</x:f>
      </x:c>
    </x:row>
    <x:row r="24" ht="40" customHeight="1">
      <x:c r="A24" s="27" t="str">
        <x:f>IF('SOW register'!A20="","",'SOW register'!A20)</x:f>
      </x:c>
      <x:c r="B24" s="27" t="str">
        <x:f>IF(A24="","",IF('SOW register'!E20="","",'SOW register'!E20))</x:f>
      </x:c>
      <x:c r="C24" s="12" t="str">
        <x:f>IF(OR(A24="",$E$8&lt;&gt;"Header complete"),"",SUMIFS('Time entries'!$F$7:$F$506,'Time entries'!$D$7:$D$506,A24,'Time entries'!$B$7:$B$506,"&gt;="&amp;$B$5,'Time entries'!$B$7:$B$506,"&lt;"&amp;$E$5))</x:f>
      </x:c>
      <x:c r="D24" s="12" t="str">
        <x:f>IF(C24="","",SUMIFS('Time entries'!$F$7:$F$506,'Time entries'!$D$7:$D$506,A24,'Time entries'!$B$7:$B$506,"&gt;="&amp;$B$5,'Time entries'!$B$7:$B$506,"&lt;"&amp;$E$5,'Time entries'!$G$7:$G$506,"Yes"))</x:f>
      </x:c>
      <x:c r="E24" s="13" t="str">
        <x:f>IF(OR(NOT(ISNUMBER(D24)),D24&lt;=0,'SOW register'!C20&lt;&gt;"Open"),"",ROUNDUP(SUMIFS('Time entries'!$N$7:$N$506,'Time entries'!$D$7:$D$506,A24,'Time entries'!$B$7:$B$506,"&gt;="&amp;$B$5,'Time entries'!$B$7:$B$506,"&lt;"&amp;$E$5,'Time entries'!$G$7:$G$506,"Yes",'Time entries'!$O$7:$O$506,"Complete")/3600000,0))</x:f>
      </x:c>
      <x:c r="F24" s="14" t="str">
        <x:f>IF(E24="","",IF(ISNUMBER('SOW register'!I20),'SOW register'!I20,IF(ISNUMBER('SOW register'!G20),'SOW register'!G20,"")))</x:f>
      </x:c>
      <x:c r="G24" s="14" t="str">
        <x:f>IF(OR(NOT(ISNUMBER(E24)),NOT(ISNUMBER(F24))),"",ROUND(E24*F24,2))</x:f>
      </x:c>
      <x:c r="H24" s="27" t="str">
        <x:f>IF(A24="","",IF(COUNTIF('SOW register'!$A$7:$A$36,A24)&gt;1,"Review: duplicate SOW",IF($E$8&lt;&gt;"Header complete","Review: header",IF(OR('SOW register'!C20="",'SOW register'!C20="Unclear",'SOW register'!D20=""),"Review: SOW status",IF('SOW register'!C20="Closed","Omit: closed SOW",IF(D24&lt;0,"Review: negative hours",IF(D24=0,"Omit: zero billable hours",IF(B24="","Review: product mapping",IF(NOT(ISNUMBER(F24)),"Review: missing rate",IF(F24&lt;=0,"Review: nonpositive rate",IF(AND('SOW register'!I20&lt;&gt;"",'SOW register'!J20=""),"Review: override reason",IF(AND('SOW register'!I20="",NOT(ISNUMBER('SOW register'!H20))),"Review: rate check date","Include; verify in QBO"))))))))))))</x:f>
      </x:c>
      <x:c r="I24" s="27" t="str">
        <x:f>IF(OR(A24="",$E$8&lt;&gt;"Header complete"),"",IF('SOW register'!F20="",'SOW register'!B20,'SOW register'!F20)&amp;" — "&amp;A24&amp;" — "&amp;TEXT($B$5,"mmm d, yyyy")&amp;" to "&amp;TEXT($E$5-1,"mmm d, yyyy"))</x:f>
      </x:c>
    </x:row>
    <x:row r="25" ht="40" customHeight="1">
      <x:c r="A25" s="27" t="str">
        <x:f>IF('SOW register'!A21="","",'SOW register'!A21)</x:f>
      </x:c>
      <x:c r="B25" s="27" t="str">
        <x:f>IF(A25="","",IF('SOW register'!E21="","",'SOW register'!E21))</x:f>
      </x:c>
      <x:c r="C25" s="12" t="str">
        <x:f>IF(OR(A25="",$E$8&lt;&gt;"Header complete"),"",SUMIFS('Time entries'!$F$7:$F$506,'Time entries'!$D$7:$D$506,A25,'Time entries'!$B$7:$B$506,"&gt;="&amp;$B$5,'Time entries'!$B$7:$B$506,"&lt;"&amp;$E$5))</x:f>
      </x:c>
      <x:c r="D25" s="12" t="str">
        <x:f>IF(C25="","",SUMIFS('Time entries'!$F$7:$F$506,'Time entries'!$D$7:$D$506,A25,'Time entries'!$B$7:$B$506,"&gt;="&amp;$B$5,'Time entries'!$B$7:$B$506,"&lt;"&amp;$E$5,'Time entries'!$G$7:$G$506,"Yes"))</x:f>
      </x:c>
      <x:c r="E25" s="13" t="str">
        <x:f>IF(OR(NOT(ISNUMBER(D25)),D25&lt;=0,'SOW register'!C21&lt;&gt;"Open"),"",ROUNDUP(SUMIFS('Time entries'!$N$7:$N$506,'Time entries'!$D$7:$D$506,A25,'Time entries'!$B$7:$B$506,"&gt;="&amp;$B$5,'Time entries'!$B$7:$B$506,"&lt;"&amp;$E$5,'Time entries'!$G$7:$G$506,"Yes",'Time entries'!$O$7:$O$506,"Complete")/3600000,0))</x:f>
      </x:c>
      <x:c r="F25" s="14" t="str">
        <x:f>IF(E25="","",IF(ISNUMBER('SOW register'!I21),'SOW register'!I21,IF(ISNUMBER('SOW register'!G21),'SOW register'!G21,"")))</x:f>
      </x:c>
      <x:c r="G25" s="14" t="str">
        <x:f>IF(OR(NOT(ISNUMBER(E25)),NOT(ISNUMBER(F25))),"",ROUND(E25*F25,2))</x:f>
      </x:c>
      <x:c r="H25" s="27" t="str">
        <x:f>IF(A25="","",IF(COUNTIF('SOW register'!$A$7:$A$36,A25)&gt;1,"Review: duplicate SOW",IF($E$8&lt;&gt;"Header complete","Review: header",IF(OR('SOW register'!C21="",'SOW register'!C21="Unclear",'SOW register'!D21=""),"Review: SOW status",IF('SOW register'!C21="Closed","Omit: closed SOW",IF(D25&lt;0,"Review: negative hours",IF(D25=0,"Omit: zero billable hours",IF(B25="","Review: product mapping",IF(NOT(ISNUMBER(F25)),"Review: missing rate",IF(F25&lt;=0,"Review: nonpositive rate",IF(AND('SOW register'!I21&lt;&gt;"",'SOW register'!J21=""),"Review: override reason",IF(AND('SOW register'!I21="",NOT(ISNUMBER('SOW register'!H21))),"Review: rate check date","Include; verify in QBO"))))))))))))</x:f>
      </x:c>
      <x:c r="I25" s="27" t="str">
        <x:f>IF(OR(A25="",$E$8&lt;&gt;"Header complete"),"",IF('SOW register'!F21="",'SOW register'!B21,'SOW register'!F21)&amp;" — "&amp;A25&amp;" — "&amp;TEXT($B$5,"mmm d, yyyy")&amp;" to "&amp;TEXT($E$5-1,"mmm d, yyyy"))</x:f>
      </x:c>
    </x:row>
    <x:row r="26" ht="40" customHeight="1">
      <x:c r="A26" s="27" t="str">
        <x:f>IF('SOW register'!A22="","",'SOW register'!A22)</x:f>
      </x:c>
      <x:c r="B26" s="27" t="str">
        <x:f>IF(A26="","",IF('SOW register'!E22="","",'SOW register'!E22))</x:f>
      </x:c>
      <x:c r="C26" s="12" t="str">
        <x:f>IF(OR(A26="",$E$8&lt;&gt;"Header complete"),"",SUMIFS('Time entries'!$F$7:$F$506,'Time entries'!$D$7:$D$506,A26,'Time entries'!$B$7:$B$506,"&gt;="&amp;$B$5,'Time entries'!$B$7:$B$506,"&lt;"&amp;$E$5))</x:f>
      </x:c>
      <x:c r="D26" s="12" t="str">
        <x:f>IF(C26="","",SUMIFS('Time entries'!$F$7:$F$506,'Time entries'!$D$7:$D$506,A26,'Time entries'!$B$7:$B$506,"&gt;="&amp;$B$5,'Time entries'!$B$7:$B$506,"&lt;"&amp;$E$5,'Time entries'!$G$7:$G$506,"Yes"))</x:f>
      </x:c>
      <x:c r="E26" s="13" t="str">
        <x:f>IF(OR(NOT(ISNUMBER(D26)),D26&lt;=0,'SOW register'!C22&lt;&gt;"Open"),"",ROUNDUP(SUMIFS('Time entries'!$N$7:$N$506,'Time entries'!$D$7:$D$506,A26,'Time entries'!$B$7:$B$506,"&gt;="&amp;$B$5,'Time entries'!$B$7:$B$506,"&lt;"&amp;$E$5,'Time entries'!$G$7:$G$506,"Yes",'Time entries'!$O$7:$O$506,"Complete")/3600000,0))</x:f>
      </x:c>
      <x:c r="F26" s="14" t="str">
        <x:f>IF(E26="","",IF(ISNUMBER('SOW register'!I22),'SOW register'!I22,IF(ISNUMBER('SOW register'!G22),'SOW register'!G22,"")))</x:f>
      </x:c>
      <x:c r="G26" s="14" t="str">
        <x:f>IF(OR(NOT(ISNUMBER(E26)),NOT(ISNUMBER(F26))),"",ROUND(E26*F26,2))</x:f>
      </x:c>
      <x:c r="H26" s="27" t="str">
        <x:f>IF(A26="","",IF(COUNTIF('SOW register'!$A$7:$A$36,A26)&gt;1,"Review: duplicate SOW",IF($E$8&lt;&gt;"Header complete","Review: header",IF(OR('SOW register'!C22="",'SOW register'!C22="Unclear",'SOW register'!D22=""),"Review: SOW status",IF('SOW register'!C22="Closed","Omit: closed SOW",IF(D26&lt;0,"Review: negative hours",IF(D26=0,"Omit: zero billable hours",IF(B26="","Review: product mapping",IF(NOT(ISNUMBER(F26)),"Review: missing rate",IF(F26&lt;=0,"Review: nonpositive rate",IF(AND('SOW register'!I22&lt;&gt;"",'SOW register'!J22=""),"Review: override reason",IF(AND('SOW register'!I22="",NOT(ISNUMBER('SOW register'!H22))),"Review: rate check date","Include; verify in QBO"))))))))))))</x:f>
      </x:c>
      <x:c r="I26" s="27" t="str">
        <x:f>IF(OR(A26="",$E$8&lt;&gt;"Header complete"),"",IF('SOW register'!F22="",'SOW register'!B22,'SOW register'!F22)&amp;" — "&amp;A26&amp;" — "&amp;TEXT($B$5,"mmm d, yyyy")&amp;" to "&amp;TEXT($E$5-1,"mmm d, yyyy"))</x:f>
      </x:c>
    </x:row>
    <x:row r="27" ht="40" customHeight="1">
      <x:c r="A27" s="27" t="str">
        <x:f>IF('SOW register'!A23="","",'SOW register'!A23)</x:f>
      </x:c>
      <x:c r="B27" s="27" t="str">
        <x:f>IF(A27="","",IF('SOW register'!E23="","",'SOW register'!E23))</x:f>
      </x:c>
      <x:c r="C27" s="12" t="str">
        <x:f>IF(OR(A27="",$E$8&lt;&gt;"Header complete"),"",SUMIFS('Time entries'!$F$7:$F$506,'Time entries'!$D$7:$D$506,A27,'Time entries'!$B$7:$B$506,"&gt;="&amp;$B$5,'Time entries'!$B$7:$B$506,"&lt;"&amp;$E$5))</x:f>
      </x:c>
      <x:c r="D27" s="12" t="str">
        <x:f>IF(C27="","",SUMIFS('Time entries'!$F$7:$F$506,'Time entries'!$D$7:$D$506,A27,'Time entries'!$B$7:$B$506,"&gt;="&amp;$B$5,'Time entries'!$B$7:$B$506,"&lt;"&amp;$E$5,'Time entries'!$G$7:$G$506,"Yes"))</x:f>
      </x:c>
      <x:c r="E27" s="13" t="str">
        <x:f>IF(OR(NOT(ISNUMBER(D27)),D27&lt;=0,'SOW register'!C23&lt;&gt;"Open"),"",ROUNDUP(SUMIFS('Time entries'!$N$7:$N$506,'Time entries'!$D$7:$D$506,A27,'Time entries'!$B$7:$B$506,"&gt;="&amp;$B$5,'Time entries'!$B$7:$B$506,"&lt;"&amp;$E$5,'Time entries'!$G$7:$G$506,"Yes",'Time entries'!$O$7:$O$506,"Complete")/3600000,0))</x:f>
      </x:c>
      <x:c r="F27" s="14" t="str">
        <x:f>IF(E27="","",IF(ISNUMBER('SOW register'!I23),'SOW register'!I23,IF(ISNUMBER('SOW register'!G23),'SOW register'!G23,"")))</x:f>
      </x:c>
      <x:c r="G27" s="14" t="str">
        <x:f>IF(OR(NOT(ISNUMBER(E27)),NOT(ISNUMBER(F27))),"",ROUND(E27*F27,2))</x:f>
      </x:c>
      <x:c r="H27" s="27" t="str">
        <x:f>IF(A27="","",IF(COUNTIF('SOW register'!$A$7:$A$36,A27)&gt;1,"Review: duplicate SOW",IF($E$8&lt;&gt;"Header complete","Review: header",IF(OR('SOW register'!C23="",'SOW register'!C23="Unclear",'SOW register'!D23=""),"Review: SOW status",IF('SOW register'!C23="Closed","Omit: closed SOW",IF(D27&lt;0,"Review: negative hours",IF(D27=0,"Omit: zero billable hours",IF(B27="","Review: product mapping",IF(NOT(ISNUMBER(F27)),"Review: missing rate",IF(F27&lt;=0,"Review: nonpositive rate",IF(AND('SOW register'!I23&lt;&gt;"",'SOW register'!J23=""),"Review: override reason",IF(AND('SOW register'!I23="",NOT(ISNUMBER('SOW register'!H23))),"Review: rate check date","Include; verify in QBO"))))))))))))</x:f>
      </x:c>
      <x:c r="I27" s="27" t="str">
        <x:f>IF(OR(A27="",$E$8&lt;&gt;"Header complete"),"",IF('SOW register'!F23="",'SOW register'!B23,'SOW register'!F23)&amp;" — "&amp;A27&amp;" — "&amp;TEXT($B$5,"mmm d, yyyy")&amp;" to "&amp;TEXT($E$5-1,"mmm d, yyyy"))</x:f>
      </x:c>
    </x:row>
    <x:row r="28" ht="40" customHeight="1">
      <x:c r="A28" s="27" t="str">
        <x:f>IF('SOW register'!A24="","",'SOW register'!A24)</x:f>
      </x:c>
      <x:c r="B28" s="27" t="str">
        <x:f>IF(A28="","",IF('SOW register'!E24="","",'SOW register'!E24))</x:f>
      </x:c>
      <x:c r="C28" s="12" t="str">
        <x:f>IF(OR(A28="",$E$8&lt;&gt;"Header complete"),"",SUMIFS('Time entries'!$F$7:$F$506,'Time entries'!$D$7:$D$506,A28,'Time entries'!$B$7:$B$506,"&gt;="&amp;$B$5,'Time entries'!$B$7:$B$506,"&lt;"&amp;$E$5))</x:f>
      </x:c>
      <x:c r="D28" s="12" t="str">
        <x:f>IF(C28="","",SUMIFS('Time entries'!$F$7:$F$506,'Time entries'!$D$7:$D$506,A28,'Time entries'!$B$7:$B$506,"&gt;="&amp;$B$5,'Time entries'!$B$7:$B$506,"&lt;"&amp;$E$5,'Time entries'!$G$7:$G$506,"Yes"))</x:f>
      </x:c>
      <x:c r="E28" s="13" t="str">
        <x:f>IF(OR(NOT(ISNUMBER(D28)),D28&lt;=0,'SOW register'!C24&lt;&gt;"Open"),"",ROUNDUP(SUMIFS('Time entries'!$N$7:$N$506,'Time entries'!$D$7:$D$506,A28,'Time entries'!$B$7:$B$506,"&gt;="&amp;$B$5,'Time entries'!$B$7:$B$506,"&lt;"&amp;$E$5,'Time entries'!$G$7:$G$506,"Yes",'Time entries'!$O$7:$O$506,"Complete")/3600000,0))</x:f>
      </x:c>
      <x:c r="F28" s="14" t="str">
        <x:f>IF(E28="","",IF(ISNUMBER('SOW register'!I24),'SOW register'!I24,IF(ISNUMBER('SOW register'!G24),'SOW register'!G24,"")))</x:f>
      </x:c>
      <x:c r="G28" s="14" t="str">
        <x:f>IF(OR(NOT(ISNUMBER(E28)),NOT(ISNUMBER(F28))),"",ROUND(E28*F28,2))</x:f>
      </x:c>
      <x:c r="H28" s="27" t="str">
        <x:f>IF(A28="","",IF(COUNTIF('SOW register'!$A$7:$A$36,A28)&gt;1,"Review: duplicate SOW",IF($E$8&lt;&gt;"Header complete","Review: header",IF(OR('SOW register'!C24="",'SOW register'!C24="Unclear",'SOW register'!D24=""),"Review: SOW status",IF('SOW register'!C24="Closed","Omit: closed SOW",IF(D28&lt;0,"Review: negative hours",IF(D28=0,"Omit: zero billable hours",IF(B28="","Review: product mapping",IF(NOT(ISNUMBER(F28)),"Review: missing rate",IF(F28&lt;=0,"Review: nonpositive rate",IF(AND('SOW register'!I24&lt;&gt;"",'SOW register'!J24=""),"Review: override reason",IF(AND('SOW register'!I24="",NOT(ISNUMBER('SOW register'!H24))),"Review: rate check date","Include; verify in QBO"))))))))))))</x:f>
      </x:c>
      <x:c r="I28" s="27" t="str">
        <x:f>IF(OR(A28="",$E$8&lt;&gt;"Header complete"),"",IF('SOW register'!F24="",'SOW register'!B24,'SOW register'!F24)&amp;" — "&amp;A28&amp;" — "&amp;TEXT($B$5,"mmm d, yyyy")&amp;" to "&amp;TEXT($E$5-1,"mmm d, yyyy"))</x:f>
      </x:c>
    </x:row>
    <x:row r="29" ht="40" customHeight="1">
      <x:c r="A29" s="27" t="str">
        <x:f>IF('SOW register'!A25="","",'SOW register'!A25)</x:f>
      </x:c>
      <x:c r="B29" s="27" t="str">
        <x:f>IF(A29="","",IF('SOW register'!E25="","",'SOW register'!E25))</x:f>
      </x:c>
      <x:c r="C29" s="12" t="str">
        <x:f>IF(OR(A29="",$E$8&lt;&gt;"Header complete"),"",SUMIFS('Time entries'!$F$7:$F$506,'Time entries'!$D$7:$D$506,A29,'Time entries'!$B$7:$B$506,"&gt;="&amp;$B$5,'Time entries'!$B$7:$B$506,"&lt;"&amp;$E$5))</x:f>
      </x:c>
      <x:c r="D29" s="12" t="str">
        <x:f>IF(C29="","",SUMIFS('Time entries'!$F$7:$F$506,'Time entries'!$D$7:$D$506,A29,'Time entries'!$B$7:$B$506,"&gt;="&amp;$B$5,'Time entries'!$B$7:$B$506,"&lt;"&amp;$E$5,'Time entries'!$G$7:$G$506,"Yes"))</x:f>
      </x:c>
      <x:c r="E29" s="13" t="str">
        <x:f>IF(OR(NOT(ISNUMBER(D29)),D29&lt;=0,'SOW register'!C25&lt;&gt;"Open"),"",ROUNDUP(SUMIFS('Time entries'!$N$7:$N$506,'Time entries'!$D$7:$D$506,A29,'Time entries'!$B$7:$B$506,"&gt;="&amp;$B$5,'Time entries'!$B$7:$B$506,"&lt;"&amp;$E$5,'Time entries'!$G$7:$G$506,"Yes",'Time entries'!$O$7:$O$506,"Complete")/3600000,0))</x:f>
      </x:c>
      <x:c r="F29" s="14" t="str">
        <x:f>IF(E29="","",IF(ISNUMBER('SOW register'!I25),'SOW register'!I25,IF(ISNUMBER('SOW register'!G25),'SOW register'!G25,"")))</x:f>
      </x:c>
      <x:c r="G29" s="14" t="str">
        <x:f>IF(OR(NOT(ISNUMBER(E29)),NOT(ISNUMBER(F29))),"",ROUND(E29*F29,2))</x:f>
      </x:c>
      <x:c r="H29" s="27" t="str">
        <x:f>IF(A29="","",IF(COUNTIF('SOW register'!$A$7:$A$36,A29)&gt;1,"Review: duplicate SOW",IF($E$8&lt;&gt;"Header complete","Review: header",IF(OR('SOW register'!C25="",'SOW register'!C25="Unclear",'SOW register'!D25=""),"Review: SOW status",IF('SOW register'!C25="Closed","Omit: closed SOW",IF(D29&lt;0,"Review: negative hours",IF(D29=0,"Omit: zero billable hours",IF(B29="","Review: product mapping",IF(NOT(ISNUMBER(F29)),"Review: missing rate",IF(F29&lt;=0,"Review: nonpositive rate",IF(AND('SOW register'!I25&lt;&gt;"",'SOW register'!J25=""),"Review: override reason",IF(AND('SOW register'!I25="",NOT(ISNUMBER('SOW register'!H25))),"Review: rate check date","Include; verify in QBO"))))))))))))</x:f>
      </x:c>
      <x:c r="I29" s="27" t="str">
        <x:f>IF(OR(A29="",$E$8&lt;&gt;"Header complete"),"",IF('SOW register'!F25="",'SOW register'!B25,'SOW register'!F25)&amp;" — "&amp;A29&amp;" — "&amp;TEXT($B$5,"mmm d, yyyy")&amp;" to "&amp;TEXT($E$5-1,"mmm d, yyyy"))</x:f>
      </x:c>
    </x:row>
    <x:row r="30" ht="40" customHeight="1">
      <x:c r="A30" s="27" t="str">
        <x:f>IF('SOW register'!A26="","",'SOW register'!A26)</x:f>
      </x:c>
      <x:c r="B30" s="27" t="str">
        <x:f>IF(A30="","",IF('SOW register'!E26="","",'SOW register'!E26))</x:f>
      </x:c>
      <x:c r="C30" s="12" t="str">
        <x:f>IF(OR(A30="",$E$8&lt;&gt;"Header complete"),"",SUMIFS('Time entries'!$F$7:$F$506,'Time entries'!$D$7:$D$506,A30,'Time entries'!$B$7:$B$506,"&gt;="&amp;$B$5,'Time entries'!$B$7:$B$506,"&lt;"&amp;$E$5))</x:f>
      </x:c>
      <x:c r="D30" s="12" t="str">
        <x:f>IF(C30="","",SUMIFS('Time entries'!$F$7:$F$506,'Time entries'!$D$7:$D$506,A30,'Time entries'!$B$7:$B$506,"&gt;="&amp;$B$5,'Time entries'!$B$7:$B$506,"&lt;"&amp;$E$5,'Time entries'!$G$7:$G$506,"Yes"))</x:f>
      </x:c>
      <x:c r="E30" s="13" t="str">
        <x:f>IF(OR(NOT(ISNUMBER(D30)),D30&lt;=0,'SOW register'!C26&lt;&gt;"Open"),"",ROUNDUP(SUMIFS('Time entries'!$N$7:$N$506,'Time entries'!$D$7:$D$506,A30,'Time entries'!$B$7:$B$506,"&gt;="&amp;$B$5,'Time entries'!$B$7:$B$506,"&lt;"&amp;$E$5,'Time entries'!$G$7:$G$506,"Yes",'Time entries'!$O$7:$O$506,"Complete")/3600000,0))</x:f>
      </x:c>
      <x:c r="F30" s="14" t="str">
        <x:f>IF(E30="","",IF(ISNUMBER('SOW register'!I26),'SOW register'!I26,IF(ISNUMBER('SOW register'!G26),'SOW register'!G26,"")))</x:f>
      </x:c>
      <x:c r="G30" s="14" t="str">
        <x:f>IF(OR(NOT(ISNUMBER(E30)),NOT(ISNUMBER(F30))),"",ROUND(E30*F30,2))</x:f>
      </x:c>
      <x:c r="H30" s="27" t="str">
        <x:f>IF(A30="","",IF(COUNTIF('SOW register'!$A$7:$A$36,A30)&gt;1,"Review: duplicate SOW",IF($E$8&lt;&gt;"Header complete","Review: header",IF(OR('SOW register'!C26="",'SOW register'!C26="Unclear",'SOW register'!D26=""),"Review: SOW status",IF('SOW register'!C26="Closed","Omit: closed SOW",IF(D30&lt;0,"Review: negative hours",IF(D30=0,"Omit: zero billable hours",IF(B30="","Review: product mapping",IF(NOT(ISNUMBER(F30)),"Review: missing rate",IF(F30&lt;=0,"Review: nonpositive rate",IF(AND('SOW register'!I26&lt;&gt;"",'SOW register'!J26=""),"Review: override reason",IF(AND('SOW register'!I26="",NOT(ISNUMBER('SOW register'!H26))),"Review: rate check date","Include; verify in QBO"))))))))))))</x:f>
      </x:c>
      <x:c r="I30" s="27" t="str">
        <x:f>IF(OR(A30="",$E$8&lt;&gt;"Header complete"),"",IF('SOW register'!F26="",'SOW register'!B26,'SOW register'!F26)&amp;" — "&amp;A30&amp;" — "&amp;TEXT($B$5,"mmm d, yyyy")&amp;" to "&amp;TEXT($E$5-1,"mmm d, yyyy"))</x:f>
      </x:c>
    </x:row>
    <x:row r="31" ht="40" customHeight="1">
      <x:c r="A31" s="27" t="str">
        <x:f>IF('SOW register'!A27="","",'SOW register'!A27)</x:f>
      </x:c>
      <x:c r="B31" s="27" t="str">
        <x:f>IF(A31="","",IF('SOW register'!E27="","",'SOW register'!E27))</x:f>
      </x:c>
      <x:c r="C31" s="12" t="str">
        <x:f>IF(OR(A31="",$E$8&lt;&gt;"Header complete"),"",SUMIFS('Time entries'!$F$7:$F$506,'Time entries'!$D$7:$D$506,A31,'Time entries'!$B$7:$B$506,"&gt;="&amp;$B$5,'Time entries'!$B$7:$B$506,"&lt;"&amp;$E$5))</x:f>
      </x:c>
      <x:c r="D31" s="12" t="str">
        <x:f>IF(C31="","",SUMIFS('Time entries'!$F$7:$F$506,'Time entries'!$D$7:$D$506,A31,'Time entries'!$B$7:$B$506,"&gt;="&amp;$B$5,'Time entries'!$B$7:$B$506,"&lt;"&amp;$E$5,'Time entries'!$G$7:$G$506,"Yes"))</x:f>
      </x:c>
      <x:c r="E31" s="13" t="str">
        <x:f>IF(OR(NOT(ISNUMBER(D31)),D31&lt;=0,'SOW register'!C27&lt;&gt;"Open"),"",ROUNDUP(SUMIFS('Time entries'!$N$7:$N$506,'Time entries'!$D$7:$D$506,A31,'Time entries'!$B$7:$B$506,"&gt;="&amp;$B$5,'Time entries'!$B$7:$B$506,"&lt;"&amp;$E$5,'Time entries'!$G$7:$G$506,"Yes",'Time entries'!$O$7:$O$506,"Complete")/3600000,0))</x:f>
      </x:c>
      <x:c r="F31" s="14" t="str">
        <x:f>IF(E31="","",IF(ISNUMBER('SOW register'!I27),'SOW register'!I27,IF(ISNUMBER('SOW register'!G27),'SOW register'!G27,"")))</x:f>
      </x:c>
      <x:c r="G31" s="14" t="str">
        <x:f>IF(OR(NOT(ISNUMBER(E31)),NOT(ISNUMBER(F31))),"",ROUND(E31*F31,2))</x:f>
      </x:c>
      <x:c r="H31" s="27" t="str">
        <x:f>IF(A31="","",IF(COUNTIF('SOW register'!$A$7:$A$36,A31)&gt;1,"Review: duplicate SOW",IF($E$8&lt;&gt;"Header complete","Review: header",IF(OR('SOW register'!C27="",'SOW register'!C27="Unclear",'SOW register'!D27=""),"Review: SOW status",IF('SOW register'!C27="Closed","Omit: closed SOW",IF(D31&lt;0,"Review: negative hours",IF(D31=0,"Omit: zero billable hours",IF(B31="","Review: product mapping",IF(NOT(ISNUMBER(F31)),"Review: missing rate",IF(F31&lt;=0,"Review: nonpositive rate",IF(AND('SOW register'!I27&lt;&gt;"",'SOW register'!J27=""),"Review: override reason",IF(AND('SOW register'!I27="",NOT(ISNUMBER('SOW register'!H27))),"Review: rate check date","Include; verify in QBO"))))))))))))</x:f>
      </x:c>
      <x:c r="I31" s="27" t="str">
        <x:f>IF(OR(A31="",$E$8&lt;&gt;"Header complete"),"",IF('SOW register'!F27="",'SOW register'!B27,'SOW register'!F27)&amp;" — "&amp;A31&amp;" — "&amp;TEXT($B$5,"mmm d, yyyy")&amp;" to "&amp;TEXT($E$5-1,"mmm d, yyyy"))</x:f>
      </x:c>
    </x:row>
    <x:row r="32" ht="40" customHeight="1">
      <x:c r="A32" s="27" t="str">
        <x:f>IF('SOW register'!A28="","",'SOW register'!A28)</x:f>
      </x:c>
      <x:c r="B32" s="27" t="str">
        <x:f>IF(A32="","",IF('SOW register'!E28="","",'SOW register'!E28))</x:f>
      </x:c>
      <x:c r="C32" s="12" t="str">
        <x:f>IF(OR(A32="",$E$8&lt;&gt;"Header complete"),"",SUMIFS('Time entries'!$F$7:$F$506,'Time entries'!$D$7:$D$506,A32,'Time entries'!$B$7:$B$506,"&gt;="&amp;$B$5,'Time entries'!$B$7:$B$506,"&lt;"&amp;$E$5))</x:f>
      </x:c>
      <x:c r="D32" s="12" t="str">
        <x:f>IF(C32="","",SUMIFS('Time entries'!$F$7:$F$506,'Time entries'!$D$7:$D$506,A32,'Time entries'!$B$7:$B$506,"&gt;="&amp;$B$5,'Time entries'!$B$7:$B$506,"&lt;"&amp;$E$5,'Time entries'!$G$7:$G$506,"Yes"))</x:f>
      </x:c>
      <x:c r="E32" s="13" t="str">
        <x:f>IF(OR(NOT(ISNUMBER(D32)),D32&lt;=0,'SOW register'!C28&lt;&gt;"Open"),"",ROUNDUP(SUMIFS('Time entries'!$N$7:$N$506,'Time entries'!$D$7:$D$506,A32,'Time entries'!$B$7:$B$506,"&gt;="&amp;$B$5,'Time entries'!$B$7:$B$506,"&lt;"&amp;$E$5,'Time entries'!$G$7:$G$506,"Yes",'Time entries'!$O$7:$O$506,"Complete")/3600000,0))</x:f>
      </x:c>
      <x:c r="F32" s="14" t="str">
        <x:f>IF(E32="","",IF(ISNUMBER('SOW register'!I28),'SOW register'!I28,IF(ISNUMBER('SOW register'!G28),'SOW register'!G28,"")))</x:f>
      </x:c>
      <x:c r="G32" s="14" t="str">
        <x:f>IF(OR(NOT(ISNUMBER(E32)),NOT(ISNUMBER(F32))),"",ROUND(E32*F32,2))</x:f>
      </x:c>
      <x:c r="H32" s="27" t="str">
        <x:f>IF(A32="","",IF(COUNTIF('SOW register'!$A$7:$A$36,A32)&gt;1,"Review: duplicate SOW",IF($E$8&lt;&gt;"Header complete","Review: header",IF(OR('SOW register'!C28="",'SOW register'!C28="Unclear",'SOW register'!D28=""),"Review: SOW status",IF('SOW register'!C28="Closed","Omit: closed SOW",IF(D32&lt;0,"Review: negative hours",IF(D32=0,"Omit: zero billable hours",IF(B32="","Review: product mapping",IF(NOT(ISNUMBER(F32)),"Review: missing rate",IF(F32&lt;=0,"Review: nonpositive rate",IF(AND('SOW register'!I28&lt;&gt;"",'SOW register'!J28=""),"Review: override reason",IF(AND('SOW register'!I28="",NOT(ISNUMBER('SOW register'!H28))),"Review: rate check date","Include; verify in QBO"))))))))))))</x:f>
      </x:c>
      <x:c r="I32" s="27" t="str">
        <x:f>IF(OR(A32="",$E$8&lt;&gt;"Header complete"),"",IF('SOW register'!F28="",'SOW register'!B28,'SOW register'!F28)&amp;" — "&amp;A32&amp;" — "&amp;TEXT($B$5,"mmm d, yyyy")&amp;" to "&amp;TEXT($E$5-1,"mmm d, yyyy"))</x:f>
      </x:c>
    </x:row>
    <x:row r="33" ht="40" customHeight="1">
      <x:c r="A33" s="27" t="str">
        <x:f>IF('SOW register'!A29="","",'SOW register'!A29)</x:f>
      </x:c>
      <x:c r="B33" s="27" t="str">
        <x:f>IF(A33="","",IF('SOW register'!E29="","",'SOW register'!E29))</x:f>
      </x:c>
      <x:c r="C33" s="12" t="str">
        <x:f>IF(OR(A33="",$E$8&lt;&gt;"Header complete"),"",SUMIFS('Time entries'!$F$7:$F$506,'Time entries'!$D$7:$D$506,A33,'Time entries'!$B$7:$B$506,"&gt;="&amp;$B$5,'Time entries'!$B$7:$B$506,"&lt;"&amp;$E$5))</x:f>
      </x:c>
      <x:c r="D33" s="12" t="str">
        <x:f>IF(C33="","",SUMIFS('Time entries'!$F$7:$F$506,'Time entries'!$D$7:$D$506,A33,'Time entries'!$B$7:$B$506,"&gt;="&amp;$B$5,'Time entries'!$B$7:$B$506,"&lt;"&amp;$E$5,'Time entries'!$G$7:$G$506,"Yes"))</x:f>
      </x:c>
      <x:c r="E33" s="13" t="str">
        <x:f>IF(OR(NOT(ISNUMBER(D33)),D33&lt;=0,'SOW register'!C29&lt;&gt;"Open"),"",ROUNDUP(SUMIFS('Time entries'!$N$7:$N$506,'Time entries'!$D$7:$D$506,A33,'Time entries'!$B$7:$B$506,"&gt;="&amp;$B$5,'Time entries'!$B$7:$B$506,"&lt;"&amp;$E$5,'Time entries'!$G$7:$G$506,"Yes",'Time entries'!$O$7:$O$506,"Complete")/3600000,0))</x:f>
      </x:c>
      <x:c r="F33" s="14" t="str">
        <x:f>IF(E33="","",IF(ISNUMBER('SOW register'!I29),'SOW register'!I29,IF(ISNUMBER('SOW register'!G29),'SOW register'!G29,"")))</x:f>
      </x:c>
      <x:c r="G33" s="14" t="str">
        <x:f>IF(OR(NOT(ISNUMBER(E33)),NOT(ISNUMBER(F33))),"",ROUND(E33*F33,2))</x:f>
      </x:c>
      <x:c r="H33" s="27" t="str">
        <x:f>IF(A33="","",IF(COUNTIF('SOW register'!$A$7:$A$36,A33)&gt;1,"Review: duplicate SOW",IF($E$8&lt;&gt;"Header complete","Review: header",IF(OR('SOW register'!C29="",'SOW register'!C29="Unclear",'SOW register'!D29=""),"Review: SOW status",IF('SOW register'!C29="Closed","Omit: closed SOW",IF(D33&lt;0,"Review: negative hours",IF(D33=0,"Omit: zero billable hours",IF(B33="","Review: product mapping",IF(NOT(ISNUMBER(F33)),"Review: missing rate",IF(F33&lt;=0,"Review: nonpositive rate",IF(AND('SOW register'!I29&lt;&gt;"",'SOW register'!J29=""),"Review: override reason",IF(AND('SOW register'!I29="",NOT(ISNUMBER('SOW register'!H29))),"Review: rate check date","Include; verify in QBO"))))))))))))</x:f>
      </x:c>
      <x:c r="I33" s="27" t="str">
        <x:f>IF(OR(A33="",$E$8&lt;&gt;"Header complete"),"",IF('SOW register'!F29="",'SOW register'!B29,'SOW register'!F29)&amp;" — "&amp;A33&amp;" — "&amp;TEXT($B$5,"mmm d, yyyy")&amp;" to "&amp;TEXT($E$5-1,"mmm d, yyyy"))</x:f>
      </x:c>
    </x:row>
    <x:row r="34" ht="40" customHeight="1">
      <x:c r="A34" s="27" t="str">
        <x:f>IF('SOW register'!A30="","",'SOW register'!A30)</x:f>
      </x:c>
      <x:c r="B34" s="27" t="str">
        <x:f>IF(A34="","",IF('SOW register'!E30="","",'SOW register'!E30))</x:f>
      </x:c>
      <x:c r="C34" s="12" t="str">
        <x:f>IF(OR(A34="",$E$8&lt;&gt;"Header complete"),"",SUMIFS('Time entries'!$F$7:$F$506,'Time entries'!$D$7:$D$506,A34,'Time entries'!$B$7:$B$506,"&gt;="&amp;$B$5,'Time entries'!$B$7:$B$506,"&lt;"&amp;$E$5))</x:f>
      </x:c>
      <x:c r="D34" s="12" t="str">
        <x:f>IF(C34="","",SUMIFS('Time entries'!$F$7:$F$506,'Time entries'!$D$7:$D$506,A34,'Time entries'!$B$7:$B$506,"&gt;="&amp;$B$5,'Time entries'!$B$7:$B$506,"&lt;"&amp;$E$5,'Time entries'!$G$7:$G$506,"Yes"))</x:f>
      </x:c>
      <x:c r="E34" s="13" t="str">
        <x:f>IF(OR(NOT(ISNUMBER(D34)),D34&lt;=0,'SOW register'!C30&lt;&gt;"Open"),"",ROUNDUP(SUMIFS('Time entries'!$N$7:$N$506,'Time entries'!$D$7:$D$506,A34,'Time entries'!$B$7:$B$506,"&gt;="&amp;$B$5,'Time entries'!$B$7:$B$506,"&lt;"&amp;$E$5,'Time entries'!$G$7:$G$506,"Yes",'Time entries'!$O$7:$O$506,"Complete")/3600000,0))</x:f>
      </x:c>
      <x:c r="F34" s="14" t="str">
        <x:f>IF(E34="","",IF(ISNUMBER('SOW register'!I30),'SOW register'!I30,IF(ISNUMBER('SOW register'!G30),'SOW register'!G30,"")))</x:f>
      </x:c>
      <x:c r="G34" s="14" t="str">
        <x:f>IF(OR(NOT(ISNUMBER(E34)),NOT(ISNUMBER(F34))),"",ROUND(E34*F34,2))</x:f>
      </x:c>
      <x:c r="H34" s="27" t="str">
        <x:f>IF(A34="","",IF(COUNTIF('SOW register'!$A$7:$A$36,A34)&gt;1,"Review: duplicate SOW",IF($E$8&lt;&gt;"Header complete","Review: header",IF(OR('SOW register'!C30="",'SOW register'!C30="Unclear",'SOW register'!D30=""),"Review: SOW status",IF('SOW register'!C30="Closed","Omit: closed SOW",IF(D34&lt;0,"Review: negative hours",IF(D34=0,"Omit: zero billable hours",IF(B34="","Review: product mapping",IF(NOT(ISNUMBER(F34)),"Review: missing rate",IF(F34&lt;=0,"Review: nonpositive rate",IF(AND('SOW register'!I30&lt;&gt;"",'SOW register'!J30=""),"Review: override reason",IF(AND('SOW register'!I30="",NOT(ISNUMBER('SOW register'!H30))),"Review: rate check date","Include; verify in QBO"))))))))))))</x:f>
      </x:c>
      <x:c r="I34" s="27" t="str">
        <x:f>IF(OR(A34="",$E$8&lt;&gt;"Header complete"),"",IF('SOW register'!F30="",'SOW register'!B30,'SOW register'!F30)&amp;" — "&amp;A34&amp;" — "&amp;TEXT($B$5,"mmm d, yyyy")&amp;" to "&amp;TEXT($E$5-1,"mmm d, yyyy"))</x:f>
      </x:c>
    </x:row>
    <x:row r="35" ht="40" customHeight="1">
      <x:c r="A35" s="27" t="str">
        <x:f>IF('SOW register'!A31="","",'SOW register'!A31)</x:f>
      </x:c>
      <x:c r="B35" s="27" t="str">
        <x:f>IF(A35="","",IF('SOW register'!E31="","",'SOW register'!E31))</x:f>
      </x:c>
      <x:c r="C35" s="12" t="str">
        <x:f>IF(OR(A35="",$E$8&lt;&gt;"Header complete"),"",SUMIFS('Time entries'!$F$7:$F$506,'Time entries'!$D$7:$D$506,A35,'Time entries'!$B$7:$B$506,"&gt;="&amp;$B$5,'Time entries'!$B$7:$B$506,"&lt;"&amp;$E$5))</x:f>
      </x:c>
      <x:c r="D35" s="12" t="str">
        <x:f>IF(C35="","",SUMIFS('Time entries'!$F$7:$F$506,'Time entries'!$D$7:$D$506,A35,'Time entries'!$B$7:$B$506,"&gt;="&amp;$B$5,'Time entries'!$B$7:$B$506,"&lt;"&amp;$E$5,'Time entries'!$G$7:$G$506,"Yes"))</x:f>
      </x:c>
      <x:c r="E35" s="13" t="str">
        <x:f>IF(OR(NOT(ISNUMBER(D35)),D35&lt;=0,'SOW register'!C31&lt;&gt;"Open"),"",ROUNDUP(SUMIFS('Time entries'!$N$7:$N$506,'Time entries'!$D$7:$D$506,A35,'Time entries'!$B$7:$B$506,"&gt;="&amp;$B$5,'Time entries'!$B$7:$B$506,"&lt;"&amp;$E$5,'Time entries'!$G$7:$G$506,"Yes",'Time entries'!$O$7:$O$506,"Complete")/3600000,0))</x:f>
      </x:c>
      <x:c r="F35" s="14" t="str">
        <x:f>IF(E35="","",IF(ISNUMBER('SOW register'!I31),'SOW register'!I31,IF(ISNUMBER('SOW register'!G31),'SOW register'!G31,"")))</x:f>
      </x:c>
      <x:c r="G35" s="14" t="str">
        <x:f>IF(OR(NOT(ISNUMBER(E35)),NOT(ISNUMBER(F35))),"",ROUND(E35*F35,2))</x:f>
      </x:c>
      <x:c r="H35" s="27" t="str">
        <x:f>IF(A35="","",IF(COUNTIF('SOW register'!$A$7:$A$36,A35)&gt;1,"Review: duplicate SOW",IF($E$8&lt;&gt;"Header complete","Review: header",IF(OR('SOW register'!C31="",'SOW register'!C31="Unclear",'SOW register'!D31=""),"Review: SOW status",IF('SOW register'!C31="Closed","Omit: closed SOW",IF(D35&lt;0,"Review: negative hours",IF(D35=0,"Omit: zero billable hours",IF(B35="","Review: product mapping",IF(NOT(ISNUMBER(F35)),"Review: missing rate",IF(F35&lt;=0,"Review: nonpositive rate",IF(AND('SOW register'!I31&lt;&gt;"",'SOW register'!J31=""),"Review: override reason",IF(AND('SOW register'!I31="",NOT(ISNUMBER('SOW register'!H31))),"Review: rate check date","Include; verify in QBO"))))))))))))</x:f>
      </x:c>
      <x:c r="I35" s="27" t="str">
        <x:f>IF(OR(A35="",$E$8&lt;&gt;"Header complete"),"",IF('SOW register'!F31="",'SOW register'!B31,'SOW register'!F31)&amp;" — "&amp;A35&amp;" — "&amp;TEXT($B$5,"mmm d, yyyy")&amp;" to "&amp;TEXT($E$5-1,"mmm d, yyyy"))</x:f>
      </x:c>
    </x:row>
    <x:row r="36" ht="40" customHeight="1">
      <x:c r="A36" s="27" t="str">
        <x:f>IF('SOW register'!A32="","",'SOW register'!A32)</x:f>
      </x:c>
      <x:c r="B36" s="27" t="str">
        <x:f>IF(A36="","",IF('SOW register'!E32="","",'SOW register'!E32))</x:f>
      </x:c>
      <x:c r="C36" s="12" t="str">
        <x:f>IF(OR(A36="",$E$8&lt;&gt;"Header complete"),"",SUMIFS('Time entries'!$F$7:$F$506,'Time entries'!$D$7:$D$506,A36,'Time entries'!$B$7:$B$506,"&gt;="&amp;$B$5,'Time entries'!$B$7:$B$506,"&lt;"&amp;$E$5))</x:f>
      </x:c>
      <x:c r="D36" s="12" t="str">
        <x:f>IF(C36="","",SUMIFS('Time entries'!$F$7:$F$506,'Time entries'!$D$7:$D$506,A36,'Time entries'!$B$7:$B$506,"&gt;="&amp;$B$5,'Time entries'!$B$7:$B$506,"&lt;"&amp;$E$5,'Time entries'!$G$7:$G$506,"Yes"))</x:f>
      </x:c>
      <x:c r="E36" s="13" t="str">
        <x:f>IF(OR(NOT(ISNUMBER(D36)),D36&lt;=0,'SOW register'!C32&lt;&gt;"Open"),"",ROUNDUP(SUMIFS('Time entries'!$N$7:$N$506,'Time entries'!$D$7:$D$506,A36,'Time entries'!$B$7:$B$506,"&gt;="&amp;$B$5,'Time entries'!$B$7:$B$506,"&lt;"&amp;$E$5,'Time entries'!$G$7:$G$506,"Yes",'Time entries'!$O$7:$O$506,"Complete")/3600000,0))</x:f>
      </x:c>
      <x:c r="F36" s="14" t="str">
        <x:f>IF(E36="","",IF(ISNUMBER('SOW register'!I32),'SOW register'!I32,IF(ISNUMBER('SOW register'!G32),'SOW register'!G32,"")))</x:f>
      </x:c>
      <x:c r="G36" s="14" t="str">
        <x:f>IF(OR(NOT(ISNUMBER(E36)),NOT(ISNUMBER(F36))),"",ROUND(E36*F36,2))</x:f>
      </x:c>
      <x:c r="H36" s="27" t="str">
        <x:f>IF(A36="","",IF(COUNTIF('SOW register'!$A$7:$A$36,A36)&gt;1,"Review: duplicate SOW",IF($E$8&lt;&gt;"Header complete","Review: header",IF(OR('SOW register'!C32="",'SOW register'!C32="Unclear",'SOW register'!D32=""),"Review: SOW status",IF('SOW register'!C32="Closed","Omit: closed SOW",IF(D36&lt;0,"Review: negative hours",IF(D36=0,"Omit: zero billable hours",IF(B36="","Review: product mapping",IF(NOT(ISNUMBER(F36)),"Review: missing rate",IF(F36&lt;=0,"Review: nonpositive rate",IF(AND('SOW register'!I32&lt;&gt;"",'SOW register'!J32=""),"Review: override reason",IF(AND('SOW register'!I32="",NOT(ISNUMBER('SOW register'!H32))),"Review: rate check date","Include; verify in QBO"))))))))))))</x:f>
      </x:c>
      <x:c r="I36" s="27" t="str">
        <x:f>IF(OR(A36="",$E$8&lt;&gt;"Header complete"),"",IF('SOW register'!F32="",'SOW register'!B32,'SOW register'!F32)&amp;" — "&amp;A36&amp;" — "&amp;TEXT($B$5,"mmm d, yyyy")&amp;" to "&amp;TEXT($E$5-1,"mmm d, yyyy"))</x:f>
      </x:c>
    </x:row>
    <x:row r="37" ht="40" customHeight="1">
      <x:c r="A37" s="27" t="str">
        <x:f>IF('SOW register'!A33="","",'SOW register'!A33)</x:f>
      </x:c>
      <x:c r="B37" s="27" t="str">
        <x:f>IF(A37="","",IF('SOW register'!E33="","",'SOW register'!E33))</x:f>
      </x:c>
      <x:c r="C37" s="12" t="str">
        <x:f>IF(OR(A37="",$E$8&lt;&gt;"Header complete"),"",SUMIFS('Time entries'!$F$7:$F$506,'Time entries'!$D$7:$D$506,A37,'Time entries'!$B$7:$B$506,"&gt;="&amp;$B$5,'Time entries'!$B$7:$B$506,"&lt;"&amp;$E$5))</x:f>
      </x:c>
      <x:c r="D37" s="12" t="str">
        <x:f>IF(C37="","",SUMIFS('Time entries'!$F$7:$F$506,'Time entries'!$D$7:$D$506,A37,'Time entries'!$B$7:$B$506,"&gt;="&amp;$B$5,'Time entries'!$B$7:$B$506,"&lt;"&amp;$E$5,'Time entries'!$G$7:$G$506,"Yes"))</x:f>
      </x:c>
      <x:c r="E37" s="13" t="str">
        <x:f>IF(OR(NOT(ISNUMBER(D37)),D37&lt;=0,'SOW register'!C33&lt;&gt;"Open"),"",ROUNDUP(SUMIFS('Time entries'!$N$7:$N$506,'Time entries'!$D$7:$D$506,A37,'Time entries'!$B$7:$B$506,"&gt;="&amp;$B$5,'Time entries'!$B$7:$B$506,"&lt;"&amp;$E$5,'Time entries'!$G$7:$G$506,"Yes",'Time entries'!$O$7:$O$506,"Complete")/3600000,0))</x:f>
      </x:c>
      <x:c r="F37" s="14" t="str">
        <x:f>IF(E37="","",IF(ISNUMBER('SOW register'!I33),'SOW register'!I33,IF(ISNUMBER('SOW register'!G33),'SOW register'!G33,"")))</x:f>
      </x:c>
      <x:c r="G37" s="14" t="str">
        <x:f>IF(OR(NOT(ISNUMBER(E37)),NOT(ISNUMBER(F37))),"",ROUND(E37*F37,2))</x:f>
      </x:c>
      <x:c r="H37" s="27" t="str">
        <x:f>IF(A37="","",IF(COUNTIF('SOW register'!$A$7:$A$36,A37)&gt;1,"Review: duplicate SOW",IF($E$8&lt;&gt;"Header complete","Review: header",IF(OR('SOW register'!C33="",'SOW register'!C33="Unclear",'SOW register'!D33=""),"Review: SOW status",IF('SOW register'!C33="Closed","Omit: closed SOW",IF(D37&lt;0,"Review: negative hours",IF(D37=0,"Omit: zero billable hours",IF(B37="","Review: product mapping",IF(NOT(ISNUMBER(F37)),"Review: missing rate",IF(F37&lt;=0,"Review: nonpositive rate",IF(AND('SOW register'!I33&lt;&gt;"",'SOW register'!J33=""),"Review: override reason",IF(AND('SOW register'!I33="",NOT(ISNUMBER('SOW register'!H33))),"Review: rate check date","Include; verify in QBO"))))))))))))</x:f>
      </x:c>
      <x:c r="I37" s="27" t="str">
        <x:f>IF(OR(A37="",$E$8&lt;&gt;"Header complete"),"",IF('SOW register'!F33="",'SOW register'!B33,'SOW register'!F33)&amp;" — "&amp;A37&amp;" — "&amp;TEXT($B$5,"mmm d, yyyy")&amp;" to "&amp;TEXT($E$5-1,"mmm d, yyyy"))</x:f>
      </x:c>
    </x:row>
    <x:row r="38" ht="40" customHeight="1">
      <x:c r="A38" s="27" t="str">
        <x:f>IF('SOW register'!A34="","",'SOW register'!A34)</x:f>
      </x:c>
      <x:c r="B38" s="27" t="str">
        <x:f>IF(A38="","",IF('SOW register'!E34="","",'SOW register'!E34))</x:f>
      </x:c>
      <x:c r="C38" s="12" t="str">
        <x:f>IF(OR(A38="",$E$8&lt;&gt;"Header complete"),"",SUMIFS('Time entries'!$F$7:$F$506,'Time entries'!$D$7:$D$506,A38,'Time entries'!$B$7:$B$506,"&gt;="&amp;$B$5,'Time entries'!$B$7:$B$506,"&lt;"&amp;$E$5))</x:f>
      </x:c>
      <x:c r="D38" s="12" t="str">
        <x:f>IF(C38="","",SUMIFS('Time entries'!$F$7:$F$506,'Time entries'!$D$7:$D$506,A38,'Time entries'!$B$7:$B$506,"&gt;="&amp;$B$5,'Time entries'!$B$7:$B$506,"&lt;"&amp;$E$5,'Time entries'!$G$7:$G$506,"Yes"))</x:f>
      </x:c>
      <x:c r="E38" s="13" t="str">
        <x:f>IF(OR(NOT(ISNUMBER(D38)),D38&lt;=0,'SOW register'!C34&lt;&gt;"Open"),"",ROUNDUP(SUMIFS('Time entries'!$N$7:$N$506,'Time entries'!$D$7:$D$506,A38,'Time entries'!$B$7:$B$506,"&gt;="&amp;$B$5,'Time entries'!$B$7:$B$506,"&lt;"&amp;$E$5,'Time entries'!$G$7:$G$506,"Yes",'Time entries'!$O$7:$O$506,"Complete")/3600000,0))</x:f>
      </x:c>
      <x:c r="F38" s="14" t="str">
        <x:f>IF(E38="","",IF(ISNUMBER('SOW register'!I34),'SOW register'!I34,IF(ISNUMBER('SOW register'!G34),'SOW register'!G34,"")))</x:f>
      </x:c>
      <x:c r="G38" s="14" t="str">
        <x:f>IF(OR(NOT(ISNUMBER(E38)),NOT(ISNUMBER(F38))),"",ROUND(E38*F38,2))</x:f>
      </x:c>
      <x:c r="H38" s="27" t="str">
        <x:f>IF(A38="","",IF(COUNTIF('SOW register'!$A$7:$A$36,A38)&gt;1,"Review: duplicate SOW",IF($E$8&lt;&gt;"Header complete","Review: header",IF(OR('SOW register'!C34="",'SOW register'!C34="Unclear",'SOW register'!D34=""),"Review: SOW status",IF('SOW register'!C34="Closed","Omit: closed SOW",IF(D38&lt;0,"Review: negative hours",IF(D38=0,"Omit: zero billable hours",IF(B38="","Review: product mapping",IF(NOT(ISNUMBER(F38)),"Review: missing rate",IF(F38&lt;=0,"Review: nonpositive rate",IF(AND('SOW register'!I34&lt;&gt;"",'SOW register'!J34=""),"Review: override reason",IF(AND('SOW register'!I34="",NOT(ISNUMBER('SOW register'!H34))),"Review: rate check date","Include; verify in QBO"))))))))))))</x:f>
      </x:c>
      <x:c r="I38" s="27" t="str">
        <x:f>IF(OR(A38="",$E$8&lt;&gt;"Header complete"),"",IF('SOW register'!F34="",'SOW register'!B34,'SOW register'!F34)&amp;" — "&amp;A38&amp;" — "&amp;TEXT($B$5,"mmm d, yyyy")&amp;" to "&amp;TEXT($E$5-1,"mmm d, yyyy"))</x:f>
      </x:c>
    </x:row>
    <x:row r="39" ht="40" customHeight="1">
      <x:c r="A39" s="27" t="str">
        <x:f>IF('SOW register'!A35="","",'SOW register'!A35)</x:f>
      </x:c>
      <x:c r="B39" s="27" t="str">
        <x:f>IF(A39="","",IF('SOW register'!E35="","",'SOW register'!E35))</x:f>
      </x:c>
      <x:c r="C39" s="12" t="str">
        <x:f>IF(OR(A39="",$E$8&lt;&gt;"Header complete"),"",SUMIFS('Time entries'!$F$7:$F$506,'Time entries'!$D$7:$D$506,A39,'Time entries'!$B$7:$B$506,"&gt;="&amp;$B$5,'Time entries'!$B$7:$B$506,"&lt;"&amp;$E$5))</x:f>
      </x:c>
      <x:c r="D39" s="12" t="str">
        <x:f>IF(C39="","",SUMIFS('Time entries'!$F$7:$F$506,'Time entries'!$D$7:$D$506,A39,'Time entries'!$B$7:$B$506,"&gt;="&amp;$B$5,'Time entries'!$B$7:$B$506,"&lt;"&amp;$E$5,'Time entries'!$G$7:$G$506,"Yes"))</x:f>
      </x:c>
      <x:c r="E39" s="13" t="str">
        <x:f>IF(OR(NOT(ISNUMBER(D39)),D39&lt;=0,'SOW register'!C35&lt;&gt;"Open"),"",ROUNDUP(SUMIFS('Time entries'!$N$7:$N$506,'Time entries'!$D$7:$D$506,A39,'Time entries'!$B$7:$B$506,"&gt;="&amp;$B$5,'Time entries'!$B$7:$B$506,"&lt;"&amp;$E$5,'Time entries'!$G$7:$G$506,"Yes",'Time entries'!$O$7:$O$506,"Complete")/3600000,0))</x:f>
      </x:c>
      <x:c r="F39" s="14" t="str">
        <x:f>IF(E39="","",IF(ISNUMBER('SOW register'!I35),'SOW register'!I35,IF(ISNUMBER('SOW register'!G35),'SOW register'!G35,"")))</x:f>
      </x:c>
      <x:c r="G39" s="14" t="str">
        <x:f>IF(OR(NOT(ISNUMBER(E39)),NOT(ISNUMBER(F39))),"",ROUND(E39*F39,2))</x:f>
      </x:c>
      <x:c r="H39" s="27" t="str">
        <x:f>IF(A39="","",IF(COUNTIF('SOW register'!$A$7:$A$36,A39)&gt;1,"Review: duplicate SOW",IF($E$8&lt;&gt;"Header complete","Review: header",IF(OR('SOW register'!C35="",'SOW register'!C35="Unclear",'SOW register'!D35=""),"Review: SOW status",IF('SOW register'!C35="Closed","Omit: closed SOW",IF(D39&lt;0,"Review: negative hours",IF(D39=0,"Omit: zero billable hours",IF(B39="","Review: product mapping",IF(NOT(ISNUMBER(F39)),"Review: missing rate",IF(F39&lt;=0,"Review: nonpositive rate",IF(AND('SOW register'!I35&lt;&gt;"",'SOW register'!J35=""),"Review: override reason",IF(AND('SOW register'!I35="",NOT(ISNUMBER('SOW register'!H35))),"Review: rate check date","Include; verify in QBO"))))))))))))</x:f>
      </x:c>
      <x:c r="I39" s="27" t="str">
        <x:f>IF(OR(A39="",$E$8&lt;&gt;"Header complete"),"",IF('SOW register'!F35="",'SOW register'!B35,'SOW register'!F35)&amp;" — "&amp;A39&amp;" — "&amp;TEXT($B$5,"mmm d, yyyy")&amp;" to "&amp;TEXT($E$5-1,"mmm d, yyyy"))</x:f>
      </x:c>
    </x:row>
    <x:row r="40" ht="40" customHeight="1">
      <x:c r="A40" s="27" t="str">
        <x:f>IF('SOW register'!A36="","",'SOW register'!A36)</x:f>
      </x:c>
      <x:c r="B40" s="27" t="str">
        <x:f>IF(A40="","",IF('SOW register'!E36="","",'SOW register'!E36))</x:f>
      </x:c>
      <x:c r="C40" s="12" t="str">
        <x:f>IF(OR(A40="",$E$8&lt;&gt;"Header complete"),"",SUMIFS('Time entries'!$F$7:$F$506,'Time entries'!$D$7:$D$506,A40,'Time entries'!$B$7:$B$506,"&gt;="&amp;$B$5,'Time entries'!$B$7:$B$506,"&lt;"&amp;$E$5))</x:f>
      </x:c>
      <x:c r="D40" s="12" t="str">
        <x:f>IF(C40="","",SUMIFS('Time entries'!$F$7:$F$506,'Time entries'!$D$7:$D$506,A40,'Time entries'!$B$7:$B$506,"&gt;="&amp;$B$5,'Time entries'!$B$7:$B$506,"&lt;"&amp;$E$5,'Time entries'!$G$7:$G$506,"Yes"))</x:f>
      </x:c>
      <x:c r="E40" s="13" t="str">
        <x:f>IF(OR(NOT(ISNUMBER(D40)),D40&lt;=0,'SOW register'!C36&lt;&gt;"Open"),"",ROUNDUP(SUMIFS('Time entries'!$N$7:$N$506,'Time entries'!$D$7:$D$506,A40,'Time entries'!$B$7:$B$506,"&gt;="&amp;$B$5,'Time entries'!$B$7:$B$506,"&lt;"&amp;$E$5,'Time entries'!$G$7:$G$506,"Yes",'Time entries'!$O$7:$O$506,"Complete")/3600000,0))</x:f>
      </x:c>
      <x:c r="F40" s="14" t="str">
        <x:f>IF(E40="","",IF(ISNUMBER('SOW register'!I36),'SOW register'!I36,IF(ISNUMBER('SOW register'!G36),'SOW register'!G36,"")))</x:f>
      </x:c>
      <x:c r="G40" s="14" t="str">
        <x:f>IF(OR(NOT(ISNUMBER(E40)),NOT(ISNUMBER(F40))),"",ROUND(E40*F40,2))</x:f>
      </x:c>
      <x:c r="H40" s="27" t="str">
        <x:f>IF(A40="","",IF(COUNTIF('SOW register'!$A$7:$A$36,A40)&gt;1,"Review: duplicate SOW",IF($E$8&lt;&gt;"Header complete","Review: header",IF(OR('SOW register'!C36="",'SOW register'!C36="Unclear",'SOW register'!D36=""),"Review: SOW status",IF('SOW register'!C36="Closed","Omit: closed SOW",IF(D40&lt;0,"Review: negative hours",IF(D40=0,"Omit: zero billable hours",IF(B40="","Review: product mapping",IF(NOT(ISNUMBER(F40)),"Review: missing rate",IF(F40&lt;=0,"Review: nonpositive rate",IF(AND('SOW register'!I36&lt;&gt;"",'SOW register'!J36=""),"Review: override reason",IF(AND('SOW register'!I36="",NOT(ISNUMBER('SOW register'!H36))),"Review: rate check date","Include; verify in QBO"))))))))))))</x:f>
      </x:c>
      <x:c r="I40" s="27" t="str">
        <x:f>IF(OR(A40="",$E$8&lt;&gt;"Header complete"),"",IF('SOW register'!F36="",'SOW register'!B36,'SOW register'!F36)&amp;" — "&amp;A40&amp;" — "&amp;TEXT($B$5,"mmm d, yyyy")&amp;" to "&amp;TEXT($E$5-1,"mmm d, yyyy"))</x:f>
      </x:c>
    </x:row>
    <x:row r="41" ht="23" customHeight="1">
      <x:c r="A41" s="2"/>
      <x:c r="B41" s="2"/>
      <x:c r="C41" s="2"/>
      <x:c r="D41" s="2"/>
      <x:c r="E41" s="2"/>
      <x:c r="F41" s="15"/>
      <x:c r="G41" s="15"/>
      <x:c r="H41" s="2"/>
      <x:c r="I41" s="2"/>
    </x:row>
    <x:row r="42" ht="23" customHeight="1">
      <x:c r="A42" s="2"/>
      <x:c r="B42" s="2"/>
      <x:c r="C42" s="2"/>
      <x:c r="D42" s="2"/>
      <x:c r="E42" s="2"/>
      <x:c r="F42" s="15"/>
      <x:c r="G42" s="15"/>
      <x:c r="H42" s="2"/>
      <x:c r="I42" s="2"/>
    </x:row>
    <x:row r="43" ht="23" customHeight="1">
      <x:c r="A43" s="18" t="str">
        <x:v>Source hours in period</x:v>
      </x:c>
      <x:c r="B43" s="25" t="str">
        <x:f>IF(E8&lt;&gt;"Header complete","",SUMIFS('Time entries'!F7:F506,'Time entries'!B7:B506,"&gt;="&amp;B5,'Time entries'!B7:B506,"&lt;"&amp;E5))</x:f>
      </x:c>
      <x:c r="C43" s="2"/>
      <x:c r="D43" s="2"/>
      <x:c r="E43" s="2"/>
      <x:c r="F43" s="19" t="str">
        <x:v>Line subtotal</x:v>
      </x:c>
      <x:c r="G43" s="19" t="str">
        <x:f>IF(OR(E8&lt;&gt;"Header complete",B8&gt;0,H8&gt;0,COUNT(E11:E40)=0),"",SUM(G11:G40))</x:f>
      </x:c>
      <x:c r="H43" s="2"/>
      <x:c r="I43" s="2"/>
    </x:row>
    <x:row r="44" ht="23" customHeight="1">
      <x:c r="A44" s="18" t="str">
        <x:v>Outside-period hours</x:v>
      </x:c>
      <x:c r="B44" s="25" t="str">
        <x:f>IF(B43="","",SUM('Time entries'!F7:F506)-B43)</x:f>
      </x:c>
      <x:c r="C44" s="2"/>
      <x:c r="D44" s="2"/>
      <x:c r="E44" s="2"/>
      <x:c r="F44" s="2" t="str">
        <x:v>QBO tax amount</x:v>
      </x:c>
      <x:c r="G44" s="16"/>
      <x:c r="H44" s="2"/>
      <x:c r="I44" s="2"/>
    </x:row>
    <x:row r="45" ht="23" customHeight="1">
      <x:c r="A45" s="2" t="str">
        <x:v>Unallocated period hours</x:v>
      </x:c>
      <x:c r="B45" s="26" t="str">
        <x:f>IF(E8&lt;&gt;"Header complete","",B43-SUM(C11:C40))</x:f>
      </x:c>
      <x:c r="C45" s="2"/>
      <x:c r="D45" s="2"/>
      <x:c r="E45" s="2"/>
      <x:c r="F45" s="2" t="str">
        <x:v>QBO discount (−)</x:v>
      </x:c>
      <x:c r="G45" s="16"/>
      <x:c r="H45" s="2"/>
      <x:c r="I45" s="2"/>
    </x:row>
    <x:row r="46" ht="23" customHeight="1">
      <x:c r="A46" s="17" t="str">
        <x:v>Use one workbook per company, customer, and period. Capacity: 30 SOWs and 500 detail entries.</x:v>
      </x:c>
      <x:c r="B46" s="2"/>
      <x:c r="C46" s="2"/>
      <x:c r="D46" s="2"/>
      <x:c r="E46" s="2"/>
      <x:c r="F46" s="2" t="str">
        <x:v>Other adjustment (+/−)</x:v>
      </x:c>
      <x:c r="G46" s="16"/>
      <x:c r="H46" s="2"/>
      <x:c r="I46" s="2"/>
    </x:row>
    <x:row r="47" ht="23" customHeight="1">
      <x:c r="A47" s="2"/>
      <x:c r="B47" s="2"/>
      <x:c r="C47" s="2"/>
      <x:c r="D47" s="2"/>
      <x:c r="E47" s="2"/>
      <x:c r="F47" s="18" t="str">
        <x:v>Expected QBO total</x:v>
      </x:c>
      <x:c r="G47" s="19" t="str">
        <x:f>IF(OR(G43="",COUNT(G44:G46)&lt;3),"",G43+G44+G45+G46)</x:f>
      </x:c>
      <x:c r="H47" s="2"/>
      <x:c r="I47" s="2"/>
    </x:row>
    <x:row r="48" ht="23" customHeight="1">
      <x:c r="A48" s="17" t="str">
        <x:v>Billing decisions require evidence in Time entries column AB. ClickUp Billable is preserved separately, never assumed.</x:v>
      </x:c>
      <x:c r="B48" s="2"/>
      <x:c r="C48" s="2"/>
      <x:c r="D48" s="2"/>
      <x:c r="E48" s="2"/>
      <x:c r="F48" s="2"/>
      <x:c r="G48" s="2"/>
      <x:c r="H48" s="2"/>
      <x:c r="I48" s="2"/>
    </x:row>
    <x:row r="49" ht="23" customHeight="1">
      <x:c r="A49" s="17" t="str">
        <x:v>Rates and SOW status must be verified each run. Check duplicates before creation; save unsent and read back.</x:v>
      </x:c>
      <x:c r="B49" s="2"/>
      <x:c r="C49" s="2"/>
      <x:c r="D49" s="2"/>
      <x:c r="E49" s="2"/>
      <x:c r="F49" s="2"/>
      <x:c r="G49" s="2"/>
      <x:c r="H49" s="2"/>
      <x:c r="I49" s="2"/>
    </x:row>
    <x:row r="50" ht="23" customHeight="1">
      <x:c r="A50" s="17" t="str">
        <x:v>Use Time entries as source. Project Code uses the current task snapshot; parent codes and task status are not SOW authority.</x:v>
      </x:c>
      <x:c r="B50" s="2"/>
      <x:c r="C50" s="2"/>
      <x:c r="D50" s="2"/>
      <x:c r="E50" s="2"/>
      <x:c r="F50" s="2"/>
      <x:c r="G50" s="2"/>
      <x:c r="H50" s="2"/>
      <x:c r="I50" s="2"/>
    </x:row>
    <x:row r="51" ht="23" customHeight="1">
      <x:c r="A51" s="17" t="str">
        <x:v>Quantities use the exact sum of eligible Duration ms ÷ 3,600,000, rounded up once per SOW.</x:v>
      </x:c>
      <x:c r="B51" s="2"/>
      <x:c r="C51" s="2"/>
      <x:c r="D51" s="2"/>
      <x:c r="E51" s="2"/>
      <x:c r="F51" s="2"/>
      <x:c r="G51" s="2"/>
      <x:c r="H51" s="2"/>
      <x:c r="I51" s="2"/>
    </x:row>
    <x:row r="52" ht="23" customHeight="1">
      <x:c r="A52" s="17" t="str">
        <x:v>Period: local start date inclusive; end date exclusive. Whole duration belongs to its start date. Reconfirm status and rates each run.</x:v>
      </x:c>
      <x:c r="B52" s="2"/>
      <x:c r="C52" s="2"/>
      <x:c r="D52" s="2"/>
      <x:c r="E52" s="2"/>
      <x:c r="F52" s="2"/>
      <x:c r="G52" s="2"/>
      <x:c r="H52" s="2"/>
      <x:c r="I52" s="2"/>
    </x:row>
    <x:row r="53" ht="23" customHeight="1">
      <x:c r="A53" s="17" t="str">
        <x:v>Capacity: 500 entries, 100 Project Code mappings, 30 SOWs. The importer stops rather than truncating overflow.</x:v>
      </x:c>
      <x:c r="B53" s="2"/>
      <x:c r="C53" s="2"/>
      <x:c r="D53" s="2"/>
      <x:c r="E53" s="2"/>
      <x:c r="F53" s="2"/>
      <x:c r="G53" s="2"/>
      <x:c r="H53" s="2"/>
      <x:c r="I53" s="2"/>
    </x:row>
    <x:row r="54" ht="23" customHeight="1">
      <x:c r="A54" s="17" t="str">
        <x:v>LEGACY and Pending allocation are held until explicitly resolved. A task marked done does not close a SOW.</x:v>
      </x:c>
      <x:c r="B54" s="2"/>
      <x:c r="C54" s="2"/>
      <x:c r="D54" s="2"/>
      <x:c r="E54" s="2"/>
      <x:c r="F54" s="2"/>
      <x:c r="G54" s="2"/>
      <x:c r="H54" s="2"/>
      <x:c r="I54" s="2"/>
    </x:row>
    <x:row r="56">
      <x:c r="A56" t="str">
        <x:v>Enter observed QBO adjustments in G44:G46, using 0 for none. Preserve tax/discount settings and flag unexpected amounts.</x:v>
      </x:c>
    </x:row>
  </x:sheetData>
  <x:conditionalFormatting sqref="H11:H40">
    <x:cfRule type="containsText" dxfId="0" priority="1" operator="containsText" text="Review:"/>
  </x:conditionalFormatting>
  <x:conditionalFormatting sqref="B8:B8">
    <x:cfRule type="cellIs" dxfId="1" priority="2" operator="greaterThan">
      <x:formula>0</x:formula>
    </x:cfRule>
  </x:conditionalFormatting>
  <x:conditionalFormatting sqref="H8:H8">
    <x:cfRule type="cellIs" dxfId="2" priority="3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B809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16" hidden="0" customWidth="1"/>
    <x:col min="4" max="4" width="48" hidden="0" customWidth="1"/>
    <x:col min="5" max="5" width="36" hidden="0" customWidth="1"/>
    <x:col min="6" max="6" width="48" hidden="0" customWidth="1"/>
    <x:col min="7" max="7" width="18" hidden="0" customWidth="1"/>
    <x:col min="8" max="8" width="20" hidden="0" customWidth="1"/>
    <x:col min="9" max="9" width="18" hidden="0" customWidth="1"/>
    <x:col min="10" max="10" width="4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SOW register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17" t="str">
        <x:v>List each SOW once, including open SOWs with zero hours. Use exact QBO product names; do not invent mappings.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17" t="str">
        <x:v>Status evidence: record the source, confirmation date, and person or record confirming the current status.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17" t="str">
        <x:v>Rates are observations for this run. Leave unknown rates blank. Overrides require an explicit user instruction.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36" customHeight="1">
      <x:c r="A6" s="10" t="str">
        <x:v>SOW ID</x:v>
      </x:c>
      <x:c r="B6" s="10" t="str">
        <x:v>SOW name</x:v>
      </x:c>
      <x:c r="C6" s="10" t="str">
        <x:v>Current status</x:v>
      </x:c>
      <x:c r="D6" s="10" t="str">
        <x:v>Status evidence / confirmed on</x:v>
      </x:c>
      <x:c r="E6" s="10" t="str">
        <x:v>Exact QBO product / service</x:v>
      </x:c>
      <x:c r="F6" s="10" t="str">
        <x:v>Existing useful product wording</x:v>
      </x:c>
      <x:c r="G6" s="10" t="str">
        <x:v>QBO rate / hour</x:v>
      </x:c>
      <x:c r="H6" s="10" t="str">
        <x:v>Rate checked on</x:v>
      </x:c>
      <x:c r="I6" s="10" t="str">
        <x:v>Override rate / hour</x:v>
      </x:c>
      <x:c r="J6" s="10" t="str">
        <x:v>Override instruction / scope</x:v>
      </x:c>
    </x:row>
    <x:row r="7" ht="23" customHeight="1">
      <x:c r="A7" s="20"/>
      <x:c r="B7" s="20"/>
      <x:c r="C7" s="4"/>
      <x:c r="D7" s="4"/>
      <x:c r="E7" s="4"/>
      <x:c r="F7" s="4"/>
      <x:c r="G7" s="16"/>
      <x:c r="H7" s="5"/>
      <x:c r="I7" s="16"/>
      <x:c r="J7" s="4"/>
    </x:row>
    <x:row r="8" ht="23" customHeight="1">
      <x:c r="A8" s="20"/>
      <x:c r="B8" s="20"/>
      <x:c r="C8" s="4"/>
      <x:c r="D8" s="4"/>
      <x:c r="E8" s="4"/>
      <x:c r="F8" s="4"/>
      <x:c r="G8" s="16"/>
      <x:c r="H8" s="5"/>
      <x:c r="I8" s="16"/>
      <x:c r="J8" s="4"/>
    </x:row>
    <x:row r="9" ht="23" customHeight="1">
      <x:c r="A9" s="20"/>
      <x:c r="B9" s="20"/>
      <x:c r="C9" s="4"/>
      <x:c r="D9" s="4"/>
      <x:c r="E9" s="4"/>
      <x:c r="F9" s="4"/>
      <x:c r="G9" s="16"/>
      <x:c r="H9" s="5"/>
      <x:c r="I9" s="16"/>
      <x:c r="J9" s="4"/>
    </x:row>
    <x:row r="10" ht="23" customHeight="1">
      <x:c r="A10" s="20"/>
      <x:c r="B10" s="20"/>
      <x:c r="C10" s="4"/>
      <x:c r="D10" s="4"/>
      <x:c r="E10" s="4"/>
      <x:c r="F10" s="4"/>
      <x:c r="G10" s="16"/>
      <x:c r="H10" s="5"/>
      <x:c r="I10" s="16"/>
      <x:c r="J10" s="4"/>
    </x:row>
    <x:row r="11" ht="23" customHeight="1">
      <x:c r="A11" s="20"/>
      <x:c r="B11" s="20"/>
      <x:c r="C11" s="4"/>
      <x:c r="D11" s="4"/>
      <x:c r="E11" s="4"/>
      <x:c r="F11" s="4"/>
      <x:c r="G11" s="16"/>
      <x:c r="H11" s="5"/>
      <x:c r="I11" s="16"/>
      <x:c r="J11" s="4"/>
    </x:row>
    <x:row r="12" ht="23" customHeight="1">
      <x:c r="A12" s="20"/>
      <x:c r="B12" s="20"/>
      <x:c r="C12" s="4"/>
      <x:c r="D12" s="4"/>
      <x:c r="E12" s="4"/>
      <x:c r="F12" s="4"/>
      <x:c r="G12" s="16"/>
      <x:c r="H12" s="5"/>
      <x:c r="I12" s="16"/>
      <x:c r="J12" s="4"/>
    </x:row>
    <x:row r="13" ht="23" customHeight="1">
      <x:c r="A13" s="20"/>
      <x:c r="B13" s="20"/>
      <x:c r="C13" s="4"/>
      <x:c r="D13" s="4"/>
      <x:c r="E13" s="4"/>
      <x:c r="F13" s="4"/>
      <x:c r="G13" s="16"/>
      <x:c r="H13" s="5"/>
      <x:c r="I13" s="16"/>
      <x:c r="J13" s="4"/>
    </x:row>
    <x:row r="14" ht="23" customHeight="1">
      <x:c r="A14" s="20"/>
      <x:c r="B14" s="20"/>
      <x:c r="C14" s="4"/>
      <x:c r="D14" s="4"/>
      <x:c r="E14" s="4"/>
      <x:c r="F14" s="4"/>
      <x:c r="G14" s="16"/>
      <x:c r="H14" s="5"/>
      <x:c r="I14" s="16"/>
      <x:c r="J14" s="4"/>
    </x:row>
    <x:row r="15" ht="23" customHeight="1">
      <x:c r="A15" s="20"/>
      <x:c r="B15" s="20"/>
      <x:c r="C15" s="4"/>
      <x:c r="D15" s="4"/>
      <x:c r="E15" s="4"/>
      <x:c r="F15" s="4"/>
      <x:c r="G15" s="16"/>
      <x:c r="H15" s="5"/>
      <x:c r="I15" s="16"/>
      <x:c r="J15" s="4"/>
    </x:row>
    <x:row r="16" ht="23" customHeight="1">
      <x:c r="A16" s="20"/>
      <x:c r="B16" s="20"/>
      <x:c r="C16" s="4"/>
      <x:c r="D16" s="4"/>
      <x:c r="E16" s="4"/>
      <x:c r="F16" s="4"/>
      <x:c r="G16" s="16"/>
      <x:c r="H16" s="5"/>
      <x:c r="I16" s="16"/>
      <x:c r="J16" s="4"/>
    </x:row>
    <x:row r="17" ht="23" customHeight="1">
      <x:c r="A17" s="20"/>
      <x:c r="B17" s="20"/>
      <x:c r="C17" s="4"/>
      <x:c r="D17" s="4"/>
      <x:c r="E17" s="4"/>
      <x:c r="F17" s="4"/>
      <x:c r="G17" s="16"/>
      <x:c r="H17" s="5"/>
      <x:c r="I17" s="16"/>
      <x:c r="J17" s="4"/>
    </x:row>
    <x:row r="18" ht="23" customHeight="1">
      <x:c r="A18" s="20"/>
      <x:c r="B18" s="20"/>
      <x:c r="C18" s="4"/>
      <x:c r="D18" s="4"/>
      <x:c r="E18" s="4"/>
      <x:c r="F18" s="4"/>
      <x:c r="G18" s="16"/>
      <x:c r="H18" s="5"/>
      <x:c r="I18" s="16"/>
      <x:c r="J18" s="4"/>
    </x:row>
    <x:row r="19" ht="23" customHeight="1">
      <x:c r="A19" s="20"/>
      <x:c r="B19" s="20"/>
      <x:c r="C19" s="4"/>
      <x:c r="D19" s="4"/>
      <x:c r="E19" s="4"/>
      <x:c r="F19" s="4"/>
      <x:c r="G19" s="16"/>
      <x:c r="H19" s="5"/>
      <x:c r="I19" s="16"/>
      <x:c r="J19" s="4"/>
    </x:row>
    <x:row r="20" ht="23" customHeight="1">
      <x:c r="A20" s="20"/>
      <x:c r="B20" s="20"/>
      <x:c r="C20" s="4"/>
      <x:c r="D20" s="4"/>
      <x:c r="E20" s="4"/>
      <x:c r="F20" s="4"/>
      <x:c r="G20" s="16"/>
      <x:c r="H20" s="5"/>
      <x:c r="I20" s="16"/>
      <x:c r="J20" s="4"/>
    </x:row>
    <x:row r="21" ht="23" customHeight="1">
      <x:c r="A21" s="20"/>
      <x:c r="B21" s="20"/>
      <x:c r="C21" s="4"/>
      <x:c r="D21" s="4"/>
      <x:c r="E21" s="4"/>
      <x:c r="F21" s="4"/>
      <x:c r="G21" s="16"/>
      <x:c r="H21" s="5"/>
      <x:c r="I21" s="16"/>
      <x:c r="J21" s="4"/>
    </x:row>
    <x:row r="22" ht="23" customHeight="1">
      <x:c r="A22" s="20"/>
      <x:c r="B22" s="20"/>
      <x:c r="C22" s="4"/>
      <x:c r="D22" s="4"/>
      <x:c r="E22" s="4"/>
      <x:c r="F22" s="4"/>
      <x:c r="G22" s="16"/>
      <x:c r="H22" s="5"/>
      <x:c r="I22" s="16"/>
      <x:c r="J22" s="4"/>
    </x:row>
    <x:row r="23" ht="23" customHeight="1">
      <x:c r="A23" s="20"/>
      <x:c r="B23" s="20"/>
      <x:c r="C23" s="4"/>
      <x:c r="D23" s="4"/>
      <x:c r="E23" s="4"/>
      <x:c r="F23" s="4"/>
      <x:c r="G23" s="16"/>
      <x:c r="H23" s="5"/>
      <x:c r="I23" s="16"/>
      <x:c r="J23" s="4"/>
    </x:row>
    <x:row r="24" ht="23" customHeight="1">
      <x:c r="A24" s="20"/>
      <x:c r="B24" s="20"/>
      <x:c r="C24" s="4"/>
      <x:c r="D24" s="4"/>
      <x:c r="E24" s="4"/>
      <x:c r="F24" s="4"/>
      <x:c r="G24" s="16"/>
      <x:c r="H24" s="5"/>
      <x:c r="I24" s="16"/>
      <x:c r="J24" s="4"/>
    </x:row>
    <x:row r="25" ht="23" customHeight="1">
      <x:c r="A25" s="20"/>
      <x:c r="B25" s="20"/>
      <x:c r="C25" s="4"/>
      <x:c r="D25" s="4"/>
      <x:c r="E25" s="4"/>
      <x:c r="F25" s="4"/>
      <x:c r="G25" s="16"/>
      <x:c r="H25" s="5"/>
      <x:c r="I25" s="16"/>
      <x:c r="J25" s="4"/>
    </x:row>
    <x:row r="26" ht="23" customHeight="1">
      <x:c r="A26" s="20"/>
      <x:c r="B26" s="20"/>
      <x:c r="C26" s="4"/>
      <x:c r="D26" s="4"/>
      <x:c r="E26" s="4"/>
      <x:c r="F26" s="4"/>
      <x:c r="G26" s="16"/>
      <x:c r="H26" s="5"/>
      <x:c r="I26" s="16"/>
      <x:c r="J26" s="4"/>
    </x:row>
    <x:row r="27" ht="23" customHeight="1">
      <x:c r="A27" s="20"/>
      <x:c r="B27" s="20"/>
      <x:c r="C27" s="4"/>
      <x:c r="D27" s="4"/>
      <x:c r="E27" s="4"/>
      <x:c r="F27" s="4"/>
      <x:c r="G27" s="16"/>
      <x:c r="H27" s="5"/>
      <x:c r="I27" s="16"/>
      <x:c r="J27" s="4"/>
    </x:row>
    <x:row r="28" ht="23" customHeight="1">
      <x:c r="A28" s="20"/>
      <x:c r="B28" s="20"/>
      <x:c r="C28" s="4"/>
      <x:c r="D28" s="4"/>
      <x:c r="E28" s="4"/>
      <x:c r="F28" s="4"/>
      <x:c r="G28" s="16"/>
      <x:c r="H28" s="5"/>
      <x:c r="I28" s="16"/>
      <x:c r="J28" s="4"/>
    </x:row>
    <x:row r="29" ht="23" customHeight="1">
      <x:c r="A29" s="20"/>
      <x:c r="B29" s="20"/>
      <x:c r="C29" s="4"/>
      <x:c r="D29" s="4"/>
      <x:c r="E29" s="4"/>
      <x:c r="F29" s="4"/>
      <x:c r="G29" s="16"/>
      <x:c r="H29" s="5"/>
      <x:c r="I29" s="16"/>
      <x:c r="J29" s="4"/>
    </x:row>
    <x:row r="30" ht="23" customHeight="1">
      <x:c r="A30" s="20"/>
      <x:c r="B30" s="20"/>
      <x:c r="C30" s="4"/>
      <x:c r="D30" s="4"/>
      <x:c r="E30" s="4"/>
      <x:c r="F30" s="4"/>
      <x:c r="G30" s="16"/>
      <x:c r="H30" s="5"/>
      <x:c r="I30" s="16"/>
      <x:c r="J30" s="4"/>
    </x:row>
    <x:row r="31" ht="23" customHeight="1">
      <x:c r="A31" s="20"/>
      <x:c r="B31" s="20"/>
      <x:c r="C31" s="4"/>
      <x:c r="D31" s="4"/>
      <x:c r="E31" s="4"/>
      <x:c r="F31" s="4"/>
      <x:c r="G31" s="16"/>
      <x:c r="H31" s="5"/>
      <x:c r="I31" s="16"/>
      <x:c r="J31" s="4"/>
    </x:row>
    <x:row r="32" ht="23" customHeight="1">
      <x:c r="A32" s="20"/>
      <x:c r="B32" s="20"/>
      <x:c r="C32" s="4"/>
      <x:c r="D32" s="4"/>
      <x:c r="E32" s="4"/>
      <x:c r="F32" s="4"/>
      <x:c r="G32" s="16"/>
      <x:c r="H32" s="5"/>
      <x:c r="I32" s="16"/>
      <x:c r="J32" s="4"/>
    </x:row>
    <x:row r="33" ht="23" customHeight="1">
      <x:c r="A33" s="20"/>
      <x:c r="B33" s="20"/>
      <x:c r="C33" s="4"/>
      <x:c r="D33" s="4"/>
      <x:c r="E33" s="4"/>
      <x:c r="F33" s="4"/>
      <x:c r="G33" s="16"/>
      <x:c r="H33" s="5"/>
      <x:c r="I33" s="16"/>
      <x:c r="J33" s="4"/>
    </x:row>
    <x:row r="34" ht="23" customHeight="1">
      <x:c r="A34" s="20"/>
      <x:c r="B34" s="20"/>
      <x:c r="C34" s="4"/>
      <x:c r="D34" s="4"/>
      <x:c r="E34" s="4"/>
      <x:c r="F34" s="4"/>
      <x:c r="G34" s="16"/>
      <x:c r="H34" s="5"/>
      <x:c r="I34" s="16"/>
      <x:c r="J34" s="4"/>
    </x:row>
    <x:row r="35" ht="23" customHeight="1">
      <x:c r="A35" s="20"/>
      <x:c r="B35" s="20"/>
      <x:c r="C35" s="4"/>
      <x:c r="D35" s="4"/>
      <x:c r="E35" s="4"/>
      <x:c r="F35" s="4"/>
      <x:c r="G35" s="16"/>
      <x:c r="H35" s="5"/>
      <x:c r="I35" s="16"/>
      <x:c r="J35" s="4"/>
    </x:row>
    <x:row r="36" ht="23" customHeight="1">
      <x:c r="A36" s="20"/>
      <x:c r="B36" s="20"/>
      <x:c r="C36" s="4"/>
      <x:c r="D36" s="4"/>
      <x:c r="E36" s="4"/>
      <x:c r="F36" s="4"/>
      <x:c r="G36" s="16"/>
      <x:c r="H36" s="5"/>
      <x:c r="I36" s="16"/>
      <x:c r="J36" s="4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3" customHeight="1">
      <x:c r="A39" s="17" t="str">
        <x:v>One-estimate overrides are not standing preferences. Useful product wording is preserved in the proposed description.</x:v>
      </x:c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3" customHeight="1">
      <x:c r="A40" s="17" t="str">
        <x:v>Copy confirmed mappings to the skill preference reference after use; verify open status and live rates again next run.</x:v>
      </x:c>
      <x:c r="B40" s="2"/>
      <x:c r="C40" s="2"/>
      <x:c r="D40" s="2"/>
      <x:c r="E40" s="2"/>
      <x:c r="F40" s="2"/>
      <x:c r="G40" s="2"/>
      <x:c r="H40" s="2"/>
      <x:c r="I40" s="2"/>
      <x:c r="J40" s="2"/>
    </x:row>
  </x:sheetData>
  <x:conditionalFormatting sqref="A7:A36">
    <x:cfRule type="expression" dxfId="3" priority="1">
      <x:formula>AND(A7&lt;&gt;"",COUNTIF($A$7:$A$36,A7)&gt;1)</x:formula>
    </x:cfRule>
  </x:conditionalFormatting>
  <x:dataValidations count="1">
    <x:dataValidation type="list" sqref="C7:C36">
      <x:formula1>"Open,Closed,Unclear"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ddc7e50c5344c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5" hidden="0" customWidth="1"/>
    <x:col min="4" max="4" width="22" hidden="0" customWidth="1"/>
    <x:col min="5" max="5" width="48" hidden="0" customWidth="1"/>
    <x:col min="6" max="6" width="18" hidden="0" customWidth="1"/>
    <x:col min="7" max="7" width="18" hidden="0" customWidth="1"/>
    <x:col min="8" max="8" width="46" hidden="0" customWidth="1"/>
    <x:col min="9" max="9" width="32" hidden="0" customWidth="1"/>
    <x:col min="10" max="10" width="24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8" hidden="0" customWidth="1"/>
    <x:col min="16" max="16" width="48" hidden="0" customWidth="1"/>
    <x:col min="17" max="17" width="40" hidden="0" customWidth="1"/>
    <x:col min="18" max="18" width="40" hidden="0" customWidth="1"/>
    <x:col min="19" max="19" width="34" hidden="0" customWidth="1"/>
    <x:col min="20" max="20" width="20" hidden="0" customWidth="1"/>
    <x:col min="21" max="21" width="70" hidden="0" customWidth="1"/>
    <x:col min="22" max="22" width="40" hidden="0" customWidth="1"/>
    <x:col min="23" max="23" width="20" hidden="0" customWidth="1"/>
    <x:col min="24" max="24" width="25" hidden="0" customWidth="1"/>
    <x:col min="25" max="25" width="25" hidden="0" customWidth="1"/>
    <x:col min="26" max="26" width="23" hidden="0" customWidth="1"/>
    <x:col min="27" max="27" width="23" hidden="0" customWidth="1"/>
    <x:col min="28" max="28" width="4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Time entries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17" t="str">
        <x:v>Import original ClickUp detail. Keep source milliseconds, task/user IDs, and each task’s own Project Code.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17" t="str">
        <x:v>G is the reviewed billing decision; T preserves ClickUp’s flag. Record the approval or exclusion basis in AB.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17" t="str">
        <x:v>D, F, I and U calculate. Empty entry descriptions are allowed. Never paste task time_spent or summary rows.</x:v>
      </x:c>
      <x:c r="B5" s="2"/>
      <x:c r="C5" s="2"/>
      <x:c r="D5" s="2"/>
      <x:c r="E5" s="2"/>
      <x:c r="F5" s="2"/>
      <x:c r="G5" s="2"/>
      <x:c r="H5" s="2"/>
      <x:c r="I5" s="2"/>
    </x:row>
    <x:row r="6" ht="36" customHeight="1">
      <x:c r="A6" s="29" t="str">
        <x:v>Time Entry ID</x:v>
      </x:c>
      <x:c r="B6" s="29" t="str">
        <x:v>Work date (local)</x:v>
      </x:c>
      <x:c r="C6" s="29" t="str">
        <x:v>Person</x:v>
      </x:c>
      <x:c r="D6" s="29" t="str">
        <x:v>Confirmed SOW ID</x:v>
      </x:c>
      <x:c r="E6" s="29" t="str">
        <x:v>Task name</x:v>
      </x:c>
      <x:c r="F6" s="29" t="str">
        <x:v>Source hours</x:v>
      </x:c>
      <x:c r="G6" s="29" t="str">
        <x:v>Billing decision</x:v>
      </x:c>
      <x:c r="H6" s="29" t="str">
        <x:v>Task URL</x:v>
      </x:c>
      <x:c r="I6" s="29" t="str">
        <x:v>Entry check</x:v>
      </x:c>
      <x:c r="J6" s="33" t="str">
        <x:v>ClickUp project</x:v>
      </x:c>
      <x:c r="K6" s="33" t="str">
        <x:v>Task ID</x:v>
      </x:c>
      <x:c r="L6" s="33" t="str">
        <x:v>Parent Task ID</x:v>
      </x:c>
      <x:c r="M6" s="33" t="str">
        <x:v>Person ID</x:v>
      </x:c>
      <x:c r="N6" s="33" t="str">
        <x:v>Duration ms</x:v>
      </x:c>
      <x:c r="O6" s="33" t="str">
        <x:v>Duration status</x:v>
      </x:c>
      <x:c r="P6" s="33" t="str">
        <x:v>Project Code</x:v>
      </x:c>
      <x:c r="Q6" s="33" t="str">
        <x:v>Code field ID</x:v>
      </x:c>
      <x:c r="R6" s="33" t="str">
        <x:v>Code option ID</x:v>
      </x:c>
      <x:c r="S6" s="33" t="str">
        <x:v>Coding status</x:v>
      </x:c>
      <x:c r="T6" s="33" t="str">
        <x:v>ClickUp Billable</x:v>
      </x:c>
      <x:c r="U6" s="33" t="str">
        <x:v>Mapping key</x:v>
      </x:c>
      <x:c r="V6" s="33" t="str">
        <x:v>Entry description</x:v>
      </x:c>
      <x:c r="W6" s="33" t="str">
        <x:v>Task status</x:v>
      </x:c>
      <x:c r="X6" s="33" t="str">
        <x:v>Start (local)</x:v>
      </x:c>
      <x:c r="Y6" s="33" t="str">
        <x:v>End (local)</x:v>
      </x:c>
      <x:c r="Z6" s="33" t="str">
        <x:v>Start epoch ms</x:v>
      </x:c>
      <x:c r="AA6" s="33" t="str">
        <x:v>End epoch ms</x:v>
      </x:c>
      <x:c r="AB6" s="33" t="str">
        <x:v>Billing decision evidence</x:v>
      </x:c>
    </x:row>
    <x:row r="7" ht="23" customHeight="1">
      <x:c r="A7" s="20"/>
      <x:c r="B7" s="5"/>
      <x:c r="C7" s="4"/>
      <x:c r="D7" s="34" t="str">
        <x:f>IF(OR(A7="",U7="",COUNTIF('Project codes'!$A$7:$A$106,U7)&lt;&gt;1),"",_xlfn.XLOOKUP(U7,'Project codes'!$A$7:$A$106,'Project codes'!$I$7:$I$106,"",0))</x:f>
      </x:c>
      <x:c r="E7" s="4"/>
      <x:c r="F7" s="35" t="str">
        <x:f>IF(AND(ISNUMBER(N7),N7&gt;=0,O7="Complete"),N7/3600000,"")</x:f>
      </x:c>
      <x:c r="G7" s="4"/>
      <x:c r="H7" s="4"/>
      <x:c r="I7" s="36" t="str">
        <x:f>IF(COUNTA(A7:C7,E7,G7:H7,J7:T7,V7:AB7)=0,"",IF(A7="","Review: missing entry ID",IF(COUNTIF($A$7:$A$506,A7)&gt;1,"Review: duplicate entry ID",IF(NOT(ISNUMBER(B7)),"Review: work date",IF(OR(C7="",E7="",K7="",M7="",H7=""),"Review: source details",IF(J7&lt;&gt;'Estimate review'!$J$5,"Review: project scope",IF(OR(NOT(ISNUMBER(N7)),N7&lt;0,O7&lt;&gt;"Complete"),"Review: duration",IF(S7&lt;&gt;"Coded","Review: coding status",IF(OR(U7="",COUNTIF('Project codes'!$A$7:$A$106,U7)=0),"Review: SOW mapping",IF(COUNTIF('Project codes'!$A$7:$A$106,U7)&gt;1,"Review: duplicate code",IF(_xlfn.XLOOKUP(U7,'Project codes'!$A$7:$A$106,'Project codes'!$F$7:$F$106,"Review",0)="Hold","Review: allocation hold",IF(OR(D7="",COUNTIF('SOW register'!$A$7:$A$36,D7)&lt;&gt;1),"Review: SOW mapping",IF(AND(G7&lt;&gt;"Yes",G7&lt;&gt;"No"),"Review: billability",IF(AB7="","Review: billing evidence","OK"))))))))))))))</x:f>
      </x:c>
      <x:c r="J7" s="24"/>
      <x:c r="K7" s="38"/>
      <x:c r="L7" s="38"/>
      <x:c r="M7" s="38"/>
      <x:c r="N7" s="39"/>
      <x:c r="O7" s="24"/>
      <x:c r="P7" s="24"/>
      <x:c r="Q7" s="38"/>
      <x:c r="R7" s="38"/>
      <x:c r="S7" s="24"/>
      <x:c r="T7" s="24"/>
      <x:c r="U7" s="37" t="str">
        <x:f>IF(OR(J7="",Q7="",R7=""),"",J7&amp;"|"&amp;Q7&amp;"|"&amp;R7)</x:f>
      </x:c>
      <x:c r="V7" s="24"/>
      <x:c r="W7" s="24"/>
      <x:c r="X7" s="40"/>
      <x:c r="Y7" s="40"/>
      <x:c r="Z7" s="39"/>
      <x:c r="AA7" s="39"/>
      <x:c r="AB7" s="24"/>
    </x:row>
    <x:row r="8" ht="23" customHeight="1">
      <x:c r="A8" s="20"/>
      <x:c r="B8" s="5"/>
      <x:c r="C8" s="4"/>
      <x:c r="D8" s="34" t="str">
        <x:f>IF(OR(A8="",U8="",COUNTIF('Project codes'!$A$7:$A$106,U8)&lt;&gt;1),"",_xlfn.XLOOKUP(U8,'Project codes'!$A$7:$A$106,'Project codes'!$I$7:$I$106,"",0))</x:f>
      </x:c>
      <x:c r="E8" s="4"/>
      <x:c r="F8" s="35" t="str">
        <x:f>IF(AND(ISNUMBER(N8),N8&gt;=0,O8="Complete"),N8/3600000,"")</x:f>
      </x:c>
      <x:c r="G8" s="4"/>
      <x:c r="H8" s="4"/>
      <x:c r="I8" s="36" t="str">
        <x:f>IF(COUNTA(A8:C8,E8,G8:H8,J8:T8,V8:AB8)=0,"",IF(A8="","Review: missing entry ID",IF(COUNTIF($A$7:$A$506,A8)&gt;1,"Review: duplicate entry ID",IF(NOT(ISNUMBER(B8)),"Review: work date",IF(OR(C8="",E8="",K8="",M8="",H8=""),"Review: source details",IF(J8&lt;&gt;'Estimate review'!$J$5,"Review: project scope",IF(OR(NOT(ISNUMBER(N8)),N8&lt;0,O8&lt;&gt;"Complete"),"Review: duration",IF(S8&lt;&gt;"Coded","Review: coding status",IF(OR(U8="",COUNTIF('Project codes'!$A$7:$A$106,U8)=0),"Review: SOW mapping",IF(COUNTIF('Project codes'!$A$7:$A$106,U8)&gt;1,"Review: duplicate code",IF(_xlfn.XLOOKUP(U8,'Project codes'!$A$7:$A$106,'Project codes'!$F$7:$F$106,"Review",0)="Hold","Review: allocation hold",IF(OR(D8="",COUNTIF('SOW register'!$A$7:$A$36,D8)&lt;&gt;1),"Review: SOW mapping",IF(AND(G8&lt;&gt;"Yes",G8&lt;&gt;"No"),"Review: billability",IF(AB8="","Review: billing evidence","OK"))))))))))))))</x:f>
      </x:c>
      <x:c r="J8" s="24"/>
      <x:c r="K8" s="38"/>
      <x:c r="L8" s="38"/>
      <x:c r="M8" s="38"/>
      <x:c r="N8" s="39"/>
      <x:c r="O8" s="24"/>
      <x:c r="P8" s="24"/>
      <x:c r="Q8" s="38"/>
      <x:c r="R8" s="38"/>
      <x:c r="S8" s="24"/>
      <x:c r="T8" s="24"/>
      <x:c r="U8" s="37" t="str">
        <x:f>IF(OR(J8="",Q8="",R8=""),"",J8&amp;"|"&amp;Q8&amp;"|"&amp;R8)</x:f>
      </x:c>
      <x:c r="V8" s="24"/>
      <x:c r="W8" s="24"/>
      <x:c r="X8" s="40"/>
      <x:c r="Y8" s="40"/>
      <x:c r="Z8" s="39"/>
      <x:c r="AA8" s="39"/>
      <x:c r="AB8" s="24"/>
    </x:row>
    <x:row r="9" ht="23" customHeight="1">
      <x:c r="A9" s="20"/>
      <x:c r="B9" s="5"/>
      <x:c r="C9" s="4"/>
      <x:c r="D9" s="34" t="str">
        <x:f>IF(OR(A9="",U9="",COUNTIF('Project codes'!$A$7:$A$106,U9)&lt;&gt;1),"",_xlfn.XLOOKUP(U9,'Project codes'!$A$7:$A$106,'Project codes'!$I$7:$I$106,"",0))</x:f>
      </x:c>
      <x:c r="E9" s="4"/>
      <x:c r="F9" s="35" t="str">
        <x:f>IF(AND(ISNUMBER(N9),N9&gt;=0,O9="Complete"),N9/3600000,"")</x:f>
      </x:c>
      <x:c r="G9" s="4"/>
      <x:c r="H9" s="4"/>
      <x:c r="I9" s="36" t="str">
        <x:f>IF(COUNTA(A9:C9,E9,G9:H9,J9:T9,V9:AB9)=0,"",IF(A9="","Review: missing entry ID",IF(COUNTIF($A$7:$A$506,A9)&gt;1,"Review: duplicate entry ID",IF(NOT(ISNUMBER(B9)),"Review: work date",IF(OR(C9="",E9="",K9="",M9="",H9=""),"Review: source details",IF(J9&lt;&gt;'Estimate review'!$J$5,"Review: project scope",IF(OR(NOT(ISNUMBER(N9)),N9&lt;0,O9&lt;&gt;"Complete"),"Review: duration",IF(S9&lt;&gt;"Coded","Review: coding status",IF(OR(U9="",COUNTIF('Project codes'!$A$7:$A$106,U9)=0),"Review: SOW mapping",IF(COUNTIF('Project codes'!$A$7:$A$106,U9)&gt;1,"Review: duplicate code",IF(_xlfn.XLOOKUP(U9,'Project codes'!$A$7:$A$106,'Project codes'!$F$7:$F$106,"Review",0)="Hold","Review: allocation hold",IF(OR(D9="",COUNTIF('SOW register'!$A$7:$A$36,D9)&lt;&gt;1),"Review: SOW mapping",IF(AND(G9&lt;&gt;"Yes",G9&lt;&gt;"No"),"Review: billability",IF(AB9="","Review: billing evidence","OK"))))))))))))))</x:f>
      </x:c>
      <x:c r="J9" s="24"/>
      <x:c r="K9" s="38"/>
      <x:c r="L9" s="38"/>
      <x:c r="M9" s="38"/>
      <x:c r="N9" s="39"/>
      <x:c r="O9" s="24"/>
      <x:c r="P9" s="24"/>
      <x:c r="Q9" s="38"/>
      <x:c r="R9" s="38"/>
      <x:c r="S9" s="24"/>
      <x:c r="T9" s="24"/>
      <x:c r="U9" s="37" t="str">
        <x:f>IF(OR(J9="",Q9="",R9=""),"",J9&amp;"|"&amp;Q9&amp;"|"&amp;R9)</x:f>
      </x:c>
      <x:c r="V9" s="24"/>
      <x:c r="W9" s="24"/>
      <x:c r="X9" s="40"/>
      <x:c r="Y9" s="40"/>
      <x:c r="Z9" s="39"/>
      <x:c r="AA9" s="39"/>
      <x:c r="AB9" s="24"/>
    </x:row>
    <x:row r="10" ht="23" customHeight="1">
      <x:c r="A10" s="20"/>
      <x:c r="B10" s="5"/>
      <x:c r="C10" s="4"/>
      <x:c r="D10" s="34" t="str">
        <x:f>IF(OR(A10="",U10="",COUNTIF('Project codes'!$A$7:$A$106,U10)&lt;&gt;1),"",_xlfn.XLOOKUP(U10,'Project codes'!$A$7:$A$106,'Project codes'!$I$7:$I$106,"",0))</x:f>
      </x:c>
      <x:c r="E10" s="4"/>
      <x:c r="F10" s="35" t="str">
        <x:f>IF(AND(ISNUMBER(N10),N10&gt;=0,O10="Complete"),N10/3600000,"")</x:f>
      </x:c>
      <x:c r="G10" s="4"/>
      <x:c r="H10" s="4"/>
      <x:c r="I10" s="36" t="str">
        <x:f>IF(COUNTA(A10:C10,E10,G10:H10,J10:T10,V10:AB10)=0,"",IF(A10="","Review: missing entry ID",IF(COUNTIF($A$7:$A$506,A10)&gt;1,"Review: duplicate entry ID",IF(NOT(ISNUMBER(B10)),"Review: work date",IF(OR(C10="",E10="",K10="",M10="",H10=""),"Review: source details",IF(J10&lt;&gt;'Estimate review'!$J$5,"Review: project scope",IF(OR(NOT(ISNUMBER(N10)),N10&lt;0,O10&lt;&gt;"Complete"),"Review: duration",IF(S10&lt;&gt;"Coded","Review: coding status",IF(OR(U10="",COUNTIF('Project codes'!$A$7:$A$106,U10)=0),"Review: SOW mapping",IF(COUNTIF('Project codes'!$A$7:$A$106,U10)&gt;1,"Review: duplicate code",IF(_xlfn.XLOOKUP(U10,'Project codes'!$A$7:$A$106,'Project codes'!$F$7:$F$106,"Review",0)="Hold","Review: allocation hold",IF(OR(D10="",COUNTIF('SOW register'!$A$7:$A$36,D10)&lt;&gt;1),"Review: SOW mapping",IF(AND(G10&lt;&gt;"Yes",G10&lt;&gt;"No"),"Review: billability",IF(AB10="","Review: billing evidence","OK"))))))))))))))</x:f>
      </x:c>
      <x:c r="J10" s="24"/>
      <x:c r="K10" s="38"/>
      <x:c r="L10" s="38"/>
      <x:c r="M10" s="38"/>
      <x:c r="N10" s="39"/>
      <x:c r="O10" s="24"/>
      <x:c r="P10" s="24"/>
      <x:c r="Q10" s="38"/>
      <x:c r="R10" s="38"/>
      <x:c r="S10" s="24"/>
      <x:c r="T10" s="24"/>
      <x:c r="U10" s="37" t="str">
        <x:f>IF(OR(J10="",Q10="",R10=""),"",J10&amp;"|"&amp;Q10&amp;"|"&amp;R10)</x:f>
      </x:c>
      <x:c r="V10" s="24"/>
      <x:c r="W10" s="24"/>
      <x:c r="X10" s="40"/>
      <x:c r="Y10" s="40"/>
      <x:c r="Z10" s="39"/>
      <x:c r="AA10" s="39"/>
      <x:c r="AB10" s="24"/>
    </x:row>
    <x:row r="11" ht="23" customHeight="1">
      <x:c r="A11" s="20"/>
      <x:c r="B11" s="5"/>
      <x:c r="C11" s="4"/>
      <x:c r="D11" s="34" t="str">
        <x:f>IF(OR(A11="",U11="",COUNTIF('Project codes'!$A$7:$A$106,U11)&lt;&gt;1),"",_xlfn.XLOOKUP(U11,'Project codes'!$A$7:$A$106,'Project codes'!$I$7:$I$106,"",0))</x:f>
      </x:c>
      <x:c r="E11" s="4"/>
      <x:c r="F11" s="35" t="str">
        <x:f>IF(AND(ISNUMBER(N11),N11&gt;=0,O11="Complete"),N11/3600000,"")</x:f>
      </x:c>
      <x:c r="G11" s="4"/>
      <x:c r="H11" s="4"/>
      <x:c r="I11" s="36" t="str">
        <x:f>IF(COUNTA(A11:C11,E11,G11:H11,J11:T11,V11:AB11)=0,"",IF(A11="","Review: missing entry ID",IF(COUNTIF($A$7:$A$506,A11)&gt;1,"Review: duplicate entry ID",IF(NOT(ISNUMBER(B11)),"Review: work date",IF(OR(C11="",E11="",K11="",M11="",H11=""),"Review: source details",IF(J11&lt;&gt;'Estimate review'!$J$5,"Review: project scope",IF(OR(NOT(ISNUMBER(N11)),N11&lt;0,O11&lt;&gt;"Complete"),"Review: duration",IF(S11&lt;&gt;"Coded","Review: coding status",IF(OR(U11="",COUNTIF('Project codes'!$A$7:$A$106,U11)=0),"Review: SOW mapping",IF(COUNTIF('Project codes'!$A$7:$A$106,U11)&gt;1,"Review: duplicate code",IF(_xlfn.XLOOKUP(U11,'Project codes'!$A$7:$A$106,'Project codes'!$F$7:$F$106,"Review",0)="Hold","Review: allocation hold",IF(OR(D11="",COUNTIF('SOW register'!$A$7:$A$36,D11)&lt;&gt;1),"Review: SOW mapping",IF(AND(G11&lt;&gt;"Yes",G11&lt;&gt;"No"),"Review: billability",IF(AB11="","Review: billing evidence","OK"))))))))))))))</x:f>
      </x:c>
      <x:c r="J11" s="24"/>
      <x:c r="K11" s="38"/>
      <x:c r="L11" s="38"/>
      <x:c r="M11" s="38"/>
      <x:c r="N11" s="39"/>
      <x:c r="O11" s="24"/>
      <x:c r="P11" s="24"/>
      <x:c r="Q11" s="38"/>
      <x:c r="R11" s="38"/>
      <x:c r="S11" s="24"/>
      <x:c r="T11" s="24"/>
      <x:c r="U11" s="37" t="str">
        <x:f>IF(OR(J11="",Q11="",R11=""),"",J11&amp;"|"&amp;Q11&amp;"|"&amp;R11)</x:f>
      </x:c>
      <x:c r="V11" s="24"/>
      <x:c r="W11" s="24"/>
      <x:c r="X11" s="40"/>
      <x:c r="Y11" s="40"/>
      <x:c r="Z11" s="39"/>
      <x:c r="AA11" s="39"/>
      <x:c r="AB11" s="24"/>
    </x:row>
    <x:row r="12" ht="23" customHeight="1">
      <x:c r="A12" s="20"/>
      <x:c r="B12" s="5"/>
      <x:c r="C12" s="4"/>
      <x:c r="D12" s="34" t="str">
        <x:f>IF(OR(A12="",U12="",COUNTIF('Project codes'!$A$7:$A$106,U12)&lt;&gt;1),"",_xlfn.XLOOKUP(U12,'Project codes'!$A$7:$A$106,'Project codes'!$I$7:$I$106,"",0))</x:f>
      </x:c>
      <x:c r="E12" s="4"/>
      <x:c r="F12" s="35" t="str">
        <x:f>IF(AND(ISNUMBER(N12),N12&gt;=0,O12="Complete"),N12/3600000,"")</x:f>
      </x:c>
      <x:c r="G12" s="4"/>
      <x:c r="H12" s="4"/>
      <x:c r="I12" s="36" t="str">
        <x:f>IF(COUNTA(A12:C12,E12,G12:H12,J12:T12,V12:AB12)=0,"",IF(A12="","Review: missing entry ID",IF(COUNTIF($A$7:$A$506,A12)&gt;1,"Review: duplicate entry ID",IF(NOT(ISNUMBER(B12)),"Review: work date",IF(OR(C12="",E12="",K12="",M12="",H12=""),"Review: source details",IF(J12&lt;&gt;'Estimate review'!$J$5,"Review: project scope",IF(OR(NOT(ISNUMBER(N12)),N12&lt;0,O12&lt;&gt;"Complete"),"Review: duration",IF(S12&lt;&gt;"Coded","Review: coding status",IF(OR(U12="",COUNTIF('Project codes'!$A$7:$A$106,U12)=0),"Review: SOW mapping",IF(COUNTIF('Project codes'!$A$7:$A$106,U12)&gt;1,"Review: duplicate code",IF(_xlfn.XLOOKUP(U12,'Project codes'!$A$7:$A$106,'Project codes'!$F$7:$F$106,"Review",0)="Hold","Review: allocation hold",IF(OR(D12="",COUNTIF('SOW register'!$A$7:$A$36,D12)&lt;&gt;1),"Review: SOW mapping",IF(AND(G12&lt;&gt;"Yes",G12&lt;&gt;"No"),"Review: billability",IF(AB12="","Review: billing evidence","OK"))))))))))))))</x:f>
      </x:c>
      <x:c r="J12" s="24"/>
      <x:c r="K12" s="38"/>
      <x:c r="L12" s="38"/>
      <x:c r="M12" s="38"/>
      <x:c r="N12" s="39"/>
      <x:c r="O12" s="24"/>
      <x:c r="P12" s="24"/>
      <x:c r="Q12" s="38"/>
      <x:c r="R12" s="38"/>
      <x:c r="S12" s="24"/>
      <x:c r="T12" s="24"/>
      <x:c r="U12" s="37" t="str">
        <x:f>IF(OR(J12="",Q12="",R12=""),"",J12&amp;"|"&amp;Q12&amp;"|"&amp;R12)</x:f>
      </x:c>
      <x:c r="V12" s="24"/>
      <x:c r="W12" s="24"/>
      <x:c r="X12" s="40"/>
      <x:c r="Y12" s="40"/>
      <x:c r="Z12" s="39"/>
      <x:c r="AA12" s="39"/>
      <x:c r="AB12" s="24"/>
    </x:row>
    <x:row r="13" ht="23" customHeight="1">
      <x:c r="A13" s="20"/>
      <x:c r="B13" s="5"/>
      <x:c r="C13" s="4"/>
      <x:c r="D13" s="34" t="str">
        <x:f>IF(OR(A13="",U13="",COUNTIF('Project codes'!$A$7:$A$106,U13)&lt;&gt;1),"",_xlfn.XLOOKUP(U13,'Project codes'!$A$7:$A$106,'Project codes'!$I$7:$I$106,"",0))</x:f>
      </x:c>
      <x:c r="E13" s="4"/>
      <x:c r="F13" s="35" t="str">
        <x:f>IF(AND(ISNUMBER(N13),N13&gt;=0,O13="Complete"),N13/3600000,"")</x:f>
      </x:c>
      <x:c r="G13" s="4"/>
      <x:c r="H13" s="4"/>
      <x:c r="I13" s="36" t="str">
        <x:f>IF(COUNTA(A13:C13,E13,G13:H13,J13:T13,V13:AB13)=0,"",IF(A13="","Review: missing entry ID",IF(COUNTIF($A$7:$A$506,A13)&gt;1,"Review: duplicate entry ID",IF(NOT(ISNUMBER(B13)),"Review: work date",IF(OR(C13="",E13="",K13="",M13="",H13=""),"Review: source details",IF(J13&lt;&gt;'Estimate review'!$J$5,"Review: project scope",IF(OR(NOT(ISNUMBER(N13)),N13&lt;0,O13&lt;&gt;"Complete"),"Review: duration",IF(S13&lt;&gt;"Coded","Review: coding status",IF(OR(U13="",COUNTIF('Project codes'!$A$7:$A$106,U13)=0),"Review: SOW mapping",IF(COUNTIF('Project codes'!$A$7:$A$106,U13)&gt;1,"Review: duplicate code",IF(_xlfn.XLOOKUP(U13,'Project codes'!$A$7:$A$106,'Project codes'!$F$7:$F$106,"Review",0)="Hold","Review: allocation hold",IF(OR(D13="",COUNTIF('SOW register'!$A$7:$A$36,D13)&lt;&gt;1),"Review: SOW mapping",IF(AND(G13&lt;&gt;"Yes",G13&lt;&gt;"No"),"Review: billability",IF(AB13="","Review: billing evidence","OK"))))))))))))))</x:f>
      </x:c>
      <x:c r="J13" s="24"/>
      <x:c r="K13" s="38"/>
      <x:c r="L13" s="38"/>
      <x:c r="M13" s="38"/>
      <x:c r="N13" s="39"/>
      <x:c r="O13" s="24"/>
      <x:c r="P13" s="24"/>
      <x:c r="Q13" s="38"/>
      <x:c r="R13" s="38"/>
      <x:c r="S13" s="24"/>
      <x:c r="T13" s="24"/>
      <x:c r="U13" s="37" t="str">
        <x:f>IF(OR(J13="",Q13="",R13=""),"",J13&amp;"|"&amp;Q13&amp;"|"&amp;R13)</x:f>
      </x:c>
      <x:c r="V13" s="24"/>
      <x:c r="W13" s="24"/>
      <x:c r="X13" s="40"/>
      <x:c r="Y13" s="40"/>
      <x:c r="Z13" s="39"/>
      <x:c r="AA13" s="39"/>
      <x:c r="AB13" s="24"/>
    </x:row>
    <x:row r="14" ht="23" customHeight="1">
      <x:c r="A14" s="20"/>
      <x:c r="B14" s="5"/>
      <x:c r="C14" s="4"/>
      <x:c r="D14" s="34" t="str">
        <x:f>IF(OR(A14="",U14="",COUNTIF('Project codes'!$A$7:$A$106,U14)&lt;&gt;1),"",_xlfn.XLOOKUP(U14,'Project codes'!$A$7:$A$106,'Project codes'!$I$7:$I$106,"",0))</x:f>
      </x:c>
      <x:c r="E14" s="4"/>
      <x:c r="F14" s="35" t="str">
        <x:f>IF(AND(ISNUMBER(N14),N14&gt;=0,O14="Complete"),N14/3600000,"")</x:f>
      </x:c>
      <x:c r="G14" s="4"/>
      <x:c r="H14" s="4"/>
      <x:c r="I14" s="36" t="str">
        <x:f>IF(COUNTA(A14:C14,E14,G14:H14,J14:T14,V14:AB14)=0,"",IF(A14="","Review: missing entry ID",IF(COUNTIF($A$7:$A$506,A14)&gt;1,"Review: duplicate entry ID",IF(NOT(ISNUMBER(B14)),"Review: work date",IF(OR(C14="",E14="",K14="",M14="",H14=""),"Review: source details",IF(J14&lt;&gt;'Estimate review'!$J$5,"Review: project scope",IF(OR(NOT(ISNUMBER(N14)),N14&lt;0,O14&lt;&gt;"Complete"),"Review: duration",IF(S14&lt;&gt;"Coded","Review: coding status",IF(OR(U14="",COUNTIF('Project codes'!$A$7:$A$106,U14)=0),"Review: SOW mapping",IF(COUNTIF('Project codes'!$A$7:$A$106,U14)&gt;1,"Review: duplicate code",IF(_xlfn.XLOOKUP(U14,'Project codes'!$A$7:$A$106,'Project codes'!$F$7:$F$106,"Review",0)="Hold","Review: allocation hold",IF(OR(D14="",COUNTIF('SOW register'!$A$7:$A$36,D14)&lt;&gt;1),"Review: SOW mapping",IF(AND(G14&lt;&gt;"Yes",G14&lt;&gt;"No"),"Review: billability",IF(AB14="","Review: billing evidence","OK"))))))))))))))</x:f>
      </x:c>
      <x:c r="J14" s="24"/>
      <x:c r="K14" s="38"/>
      <x:c r="L14" s="38"/>
      <x:c r="M14" s="38"/>
      <x:c r="N14" s="39"/>
      <x:c r="O14" s="24"/>
      <x:c r="P14" s="24"/>
      <x:c r="Q14" s="38"/>
      <x:c r="R14" s="38"/>
      <x:c r="S14" s="24"/>
      <x:c r="T14" s="24"/>
      <x:c r="U14" s="37" t="str">
        <x:f>IF(OR(J14="",Q14="",R14=""),"",J14&amp;"|"&amp;Q14&amp;"|"&amp;R14)</x:f>
      </x:c>
      <x:c r="V14" s="24"/>
      <x:c r="W14" s="24"/>
      <x:c r="X14" s="40"/>
      <x:c r="Y14" s="40"/>
      <x:c r="Z14" s="39"/>
      <x:c r="AA14" s="39"/>
      <x:c r="AB14" s="24"/>
    </x:row>
    <x:row r="15" ht="23" customHeight="1">
      <x:c r="A15" s="20"/>
      <x:c r="B15" s="5"/>
      <x:c r="C15" s="4"/>
      <x:c r="D15" s="34" t="str">
        <x:f>IF(OR(A15="",U15="",COUNTIF('Project codes'!$A$7:$A$106,U15)&lt;&gt;1),"",_xlfn.XLOOKUP(U15,'Project codes'!$A$7:$A$106,'Project codes'!$I$7:$I$106,"",0))</x:f>
      </x:c>
      <x:c r="E15" s="4"/>
      <x:c r="F15" s="35" t="str">
        <x:f>IF(AND(ISNUMBER(N15),N15&gt;=0,O15="Complete"),N15/3600000,"")</x:f>
      </x:c>
      <x:c r="G15" s="4"/>
      <x:c r="H15" s="4"/>
      <x:c r="I15" s="36" t="str">
        <x:f>IF(COUNTA(A15:C15,E15,G15:H15,J15:T15,V15:AB15)=0,"",IF(A15="","Review: missing entry ID",IF(COUNTIF($A$7:$A$506,A15)&gt;1,"Review: duplicate entry ID",IF(NOT(ISNUMBER(B15)),"Review: work date",IF(OR(C15="",E15="",K15="",M15="",H15=""),"Review: source details",IF(J15&lt;&gt;'Estimate review'!$J$5,"Review: project scope",IF(OR(NOT(ISNUMBER(N15)),N15&lt;0,O15&lt;&gt;"Complete"),"Review: duration",IF(S15&lt;&gt;"Coded","Review: coding status",IF(OR(U15="",COUNTIF('Project codes'!$A$7:$A$106,U15)=0),"Review: SOW mapping",IF(COUNTIF('Project codes'!$A$7:$A$106,U15)&gt;1,"Review: duplicate code",IF(_xlfn.XLOOKUP(U15,'Project codes'!$A$7:$A$106,'Project codes'!$F$7:$F$106,"Review",0)="Hold","Review: allocation hold",IF(OR(D15="",COUNTIF('SOW register'!$A$7:$A$36,D15)&lt;&gt;1),"Review: SOW mapping",IF(AND(G15&lt;&gt;"Yes",G15&lt;&gt;"No"),"Review: billability",IF(AB15="","Review: billing evidence","OK"))))))))))))))</x:f>
      </x:c>
      <x:c r="J15" s="24"/>
      <x:c r="K15" s="38"/>
      <x:c r="L15" s="38"/>
      <x:c r="M15" s="38"/>
      <x:c r="N15" s="39"/>
      <x:c r="O15" s="24"/>
      <x:c r="P15" s="24"/>
      <x:c r="Q15" s="38"/>
      <x:c r="R15" s="38"/>
      <x:c r="S15" s="24"/>
      <x:c r="T15" s="24"/>
      <x:c r="U15" s="37" t="str">
        <x:f>IF(OR(J15="",Q15="",R15=""),"",J15&amp;"|"&amp;Q15&amp;"|"&amp;R15)</x:f>
      </x:c>
      <x:c r="V15" s="24"/>
      <x:c r="W15" s="24"/>
      <x:c r="X15" s="40"/>
      <x:c r="Y15" s="40"/>
      <x:c r="Z15" s="39"/>
      <x:c r="AA15" s="39"/>
      <x:c r="AB15" s="24"/>
    </x:row>
    <x:row r="16" ht="23" customHeight="1">
      <x:c r="A16" s="20"/>
      <x:c r="B16" s="5"/>
      <x:c r="C16" s="4"/>
      <x:c r="D16" s="34" t="str">
        <x:f>IF(OR(A16="",U16="",COUNTIF('Project codes'!$A$7:$A$106,U16)&lt;&gt;1),"",_xlfn.XLOOKUP(U16,'Project codes'!$A$7:$A$106,'Project codes'!$I$7:$I$106,"",0))</x:f>
      </x:c>
      <x:c r="E16" s="4"/>
      <x:c r="F16" s="35" t="str">
        <x:f>IF(AND(ISNUMBER(N16),N16&gt;=0,O16="Complete"),N16/3600000,"")</x:f>
      </x:c>
      <x:c r="G16" s="4"/>
      <x:c r="H16" s="4"/>
      <x:c r="I16" s="36" t="str">
        <x:f>IF(COUNTA(A16:C16,E16,G16:H16,J16:T16,V16:AB16)=0,"",IF(A16="","Review: missing entry ID",IF(COUNTIF($A$7:$A$506,A16)&gt;1,"Review: duplicate entry ID",IF(NOT(ISNUMBER(B16)),"Review: work date",IF(OR(C16="",E16="",K16="",M16="",H16=""),"Review: source details",IF(J16&lt;&gt;'Estimate review'!$J$5,"Review: project scope",IF(OR(NOT(ISNUMBER(N16)),N16&lt;0,O16&lt;&gt;"Complete"),"Review: duration",IF(S16&lt;&gt;"Coded","Review: coding status",IF(OR(U16="",COUNTIF('Project codes'!$A$7:$A$106,U16)=0),"Review: SOW mapping",IF(COUNTIF('Project codes'!$A$7:$A$106,U16)&gt;1,"Review: duplicate code",IF(_xlfn.XLOOKUP(U16,'Project codes'!$A$7:$A$106,'Project codes'!$F$7:$F$106,"Review",0)="Hold","Review: allocation hold",IF(OR(D16="",COUNTIF('SOW register'!$A$7:$A$36,D16)&lt;&gt;1),"Review: SOW mapping",IF(AND(G16&lt;&gt;"Yes",G16&lt;&gt;"No"),"Review: billability",IF(AB16="","Review: billing evidence","OK"))))))))))))))</x:f>
      </x:c>
      <x:c r="J16" s="24"/>
      <x:c r="K16" s="38"/>
      <x:c r="L16" s="38"/>
      <x:c r="M16" s="38"/>
      <x:c r="N16" s="39"/>
      <x:c r="O16" s="24"/>
      <x:c r="P16" s="24"/>
      <x:c r="Q16" s="38"/>
      <x:c r="R16" s="38"/>
      <x:c r="S16" s="24"/>
      <x:c r="T16" s="24"/>
      <x:c r="U16" s="37" t="str">
        <x:f>IF(OR(J16="",Q16="",R16=""),"",J16&amp;"|"&amp;Q16&amp;"|"&amp;R16)</x:f>
      </x:c>
      <x:c r="V16" s="24"/>
      <x:c r="W16" s="24"/>
      <x:c r="X16" s="40"/>
      <x:c r="Y16" s="40"/>
      <x:c r="Z16" s="39"/>
      <x:c r="AA16" s="39"/>
      <x:c r="AB16" s="24"/>
    </x:row>
    <x:row r="17" ht="23" customHeight="1">
      <x:c r="A17" s="20"/>
      <x:c r="B17" s="5"/>
      <x:c r="C17" s="4"/>
      <x:c r="D17" s="34" t="str">
        <x:f>IF(OR(A17="",U17="",COUNTIF('Project codes'!$A$7:$A$106,U17)&lt;&gt;1),"",_xlfn.XLOOKUP(U17,'Project codes'!$A$7:$A$106,'Project codes'!$I$7:$I$106,"",0))</x:f>
      </x:c>
      <x:c r="E17" s="4"/>
      <x:c r="F17" s="35" t="str">
        <x:f>IF(AND(ISNUMBER(N17),N17&gt;=0,O17="Complete"),N17/3600000,"")</x:f>
      </x:c>
      <x:c r="G17" s="4"/>
      <x:c r="H17" s="4"/>
      <x:c r="I17" s="36" t="str">
        <x:f>IF(COUNTA(A17:C17,E17,G17:H17,J17:T17,V17:AB17)=0,"",IF(A17="","Review: missing entry ID",IF(COUNTIF($A$7:$A$506,A17)&gt;1,"Review: duplicate entry ID",IF(NOT(ISNUMBER(B17)),"Review: work date",IF(OR(C17="",E17="",K17="",M17="",H17=""),"Review: source details",IF(J17&lt;&gt;'Estimate review'!$J$5,"Review: project scope",IF(OR(NOT(ISNUMBER(N17)),N17&lt;0,O17&lt;&gt;"Complete"),"Review: duration",IF(S17&lt;&gt;"Coded","Review: coding status",IF(OR(U17="",COUNTIF('Project codes'!$A$7:$A$106,U17)=0),"Review: SOW mapping",IF(COUNTIF('Project codes'!$A$7:$A$106,U17)&gt;1,"Review: duplicate code",IF(_xlfn.XLOOKUP(U17,'Project codes'!$A$7:$A$106,'Project codes'!$F$7:$F$106,"Review",0)="Hold","Review: allocation hold",IF(OR(D17="",COUNTIF('SOW register'!$A$7:$A$36,D17)&lt;&gt;1),"Review: SOW mapping",IF(AND(G17&lt;&gt;"Yes",G17&lt;&gt;"No"),"Review: billability",IF(AB17="","Review: billing evidence","OK"))))))))))))))</x:f>
      </x:c>
      <x:c r="J17" s="24"/>
      <x:c r="K17" s="38"/>
      <x:c r="L17" s="38"/>
      <x:c r="M17" s="38"/>
      <x:c r="N17" s="39"/>
      <x:c r="O17" s="24"/>
      <x:c r="P17" s="24"/>
      <x:c r="Q17" s="38"/>
      <x:c r="R17" s="38"/>
      <x:c r="S17" s="24"/>
      <x:c r="T17" s="24"/>
      <x:c r="U17" s="37" t="str">
        <x:f>IF(OR(J17="",Q17="",R17=""),"",J17&amp;"|"&amp;Q17&amp;"|"&amp;R17)</x:f>
      </x:c>
      <x:c r="V17" s="24"/>
      <x:c r="W17" s="24"/>
      <x:c r="X17" s="40"/>
      <x:c r="Y17" s="40"/>
      <x:c r="Z17" s="39"/>
      <x:c r="AA17" s="39"/>
      <x:c r="AB17" s="24"/>
    </x:row>
    <x:row r="18" ht="23" customHeight="1">
      <x:c r="A18" s="20"/>
      <x:c r="B18" s="5"/>
      <x:c r="C18" s="4"/>
      <x:c r="D18" s="34" t="str">
        <x:f>IF(OR(A18="",U18="",COUNTIF('Project codes'!$A$7:$A$106,U18)&lt;&gt;1),"",_xlfn.XLOOKUP(U18,'Project codes'!$A$7:$A$106,'Project codes'!$I$7:$I$106,"",0))</x:f>
      </x:c>
      <x:c r="E18" s="4"/>
      <x:c r="F18" s="35" t="str">
        <x:f>IF(AND(ISNUMBER(N18),N18&gt;=0,O18="Complete"),N18/3600000,"")</x:f>
      </x:c>
      <x:c r="G18" s="4"/>
      <x:c r="H18" s="4"/>
      <x:c r="I18" s="36" t="str">
        <x:f>IF(COUNTA(A18:C18,E18,G18:H18,J18:T18,V18:AB18)=0,"",IF(A18="","Review: missing entry ID",IF(COUNTIF($A$7:$A$506,A18)&gt;1,"Review: duplicate entry ID",IF(NOT(ISNUMBER(B18)),"Review: work date",IF(OR(C18="",E18="",K18="",M18="",H18=""),"Review: source details",IF(J18&lt;&gt;'Estimate review'!$J$5,"Review: project scope",IF(OR(NOT(ISNUMBER(N18)),N18&lt;0,O18&lt;&gt;"Complete"),"Review: duration",IF(S18&lt;&gt;"Coded","Review: coding status",IF(OR(U18="",COUNTIF('Project codes'!$A$7:$A$106,U18)=0),"Review: SOW mapping",IF(COUNTIF('Project codes'!$A$7:$A$106,U18)&gt;1,"Review: duplicate code",IF(_xlfn.XLOOKUP(U18,'Project codes'!$A$7:$A$106,'Project codes'!$F$7:$F$106,"Review",0)="Hold","Review: allocation hold",IF(OR(D18="",COUNTIF('SOW register'!$A$7:$A$36,D18)&lt;&gt;1),"Review: SOW mapping",IF(AND(G18&lt;&gt;"Yes",G18&lt;&gt;"No"),"Review: billability",IF(AB18="","Review: billing evidence","OK"))))))))))))))</x:f>
      </x:c>
      <x:c r="J18" s="24"/>
      <x:c r="K18" s="38"/>
      <x:c r="L18" s="38"/>
      <x:c r="M18" s="38"/>
      <x:c r="N18" s="39"/>
      <x:c r="O18" s="24"/>
      <x:c r="P18" s="24"/>
      <x:c r="Q18" s="38"/>
      <x:c r="R18" s="38"/>
      <x:c r="S18" s="24"/>
      <x:c r="T18" s="24"/>
      <x:c r="U18" s="37" t="str">
        <x:f>IF(OR(J18="",Q18="",R18=""),"",J18&amp;"|"&amp;Q18&amp;"|"&amp;R18)</x:f>
      </x:c>
      <x:c r="V18" s="24"/>
      <x:c r="W18" s="24"/>
      <x:c r="X18" s="40"/>
      <x:c r="Y18" s="40"/>
      <x:c r="Z18" s="39"/>
      <x:c r="AA18" s="39"/>
      <x:c r="AB18" s="24"/>
    </x:row>
    <x:row r="19" ht="23" customHeight="1">
      <x:c r="A19" s="20"/>
      <x:c r="B19" s="5"/>
      <x:c r="C19" s="4"/>
      <x:c r="D19" s="34" t="str">
        <x:f>IF(OR(A19="",U19="",COUNTIF('Project codes'!$A$7:$A$106,U19)&lt;&gt;1),"",_xlfn.XLOOKUP(U19,'Project codes'!$A$7:$A$106,'Project codes'!$I$7:$I$106,"",0))</x:f>
      </x:c>
      <x:c r="E19" s="4"/>
      <x:c r="F19" s="35" t="str">
        <x:f>IF(AND(ISNUMBER(N19),N19&gt;=0,O19="Complete"),N19/3600000,"")</x:f>
      </x:c>
      <x:c r="G19" s="4"/>
      <x:c r="H19" s="4"/>
      <x:c r="I19" s="36" t="str">
        <x:f>IF(COUNTA(A19:C19,E19,G19:H19,J19:T19,V19:AB19)=0,"",IF(A19="","Review: missing entry ID",IF(COUNTIF($A$7:$A$506,A19)&gt;1,"Review: duplicate entry ID",IF(NOT(ISNUMBER(B19)),"Review: work date",IF(OR(C19="",E19="",K19="",M19="",H19=""),"Review: source details",IF(J19&lt;&gt;'Estimate review'!$J$5,"Review: project scope",IF(OR(NOT(ISNUMBER(N19)),N19&lt;0,O19&lt;&gt;"Complete"),"Review: duration",IF(S19&lt;&gt;"Coded","Review: coding status",IF(OR(U19="",COUNTIF('Project codes'!$A$7:$A$106,U19)=0),"Review: SOW mapping",IF(COUNTIF('Project codes'!$A$7:$A$106,U19)&gt;1,"Review: duplicate code",IF(_xlfn.XLOOKUP(U19,'Project codes'!$A$7:$A$106,'Project codes'!$F$7:$F$106,"Review",0)="Hold","Review: allocation hold",IF(OR(D19="",COUNTIF('SOW register'!$A$7:$A$36,D19)&lt;&gt;1),"Review: SOW mapping",IF(AND(G19&lt;&gt;"Yes",G19&lt;&gt;"No"),"Review: billability",IF(AB19="","Review: billing evidence","OK"))))))))))))))</x:f>
      </x:c>
      <x:c r="J19" s="24"/>
      <x:c r="K19" s="38"/>
      <x:c r="L19" s="38"/>
      <x:c r="M19" s="38"/>
      <x:c r="N19" s="39"/>
      <x:c r="O19" s="24"/>
      <x:c r="P19" s="24"/>
      <x:c r="Q19" s="38"/>
      <x:c r="R19" s="38"/>
      <x:c r="S19" s="24"/>
      <x:c r="T19" s="24"/>
      <x:c r="U19" s="37" t="str">
        <x:f>IF(OR(J19="",Q19="",R19=""),"",J19&amp;"|"&amp;Q19&amp;"|"&amp;R19)</x:f>
      </x:c>
      <x:c r="V19" s="24"/>
      <x:c r="W19" s="24"/>
      <x:c r="X19" s="40"/>
      <x:c r="Y19" s="40"/>
      <x:c r="Z19" s="39"/>
      <x:c r="AA19" s="39"/>
      <x:c r="AB19" s="24"/>
    </x:row>
    <x:row r="20" ht="23" customHeight="1">
      <x:c r="A20" s="20"/>
      <x:c r="B20" s="5"/>
      <x:c r="C20" s="4"/>
      <x:c r="D20" s="34" t="str">
        <x:f>IF(OR(A20="",U20="",COUNTIF('Project codes'!$A$7:$A$106,U20)&lt;&gt;1),"",_xlfn.XLOOKUP(U20,'Project codes'!$A$7:$A$106,'Project codes'!$I$7:$I$106,"",0))</x:f>
      </x:c>
      <x:c r="E20" s="4"/>
      <x:c r="F20" s="35" t="str">
        <x:f>IF(AND(ISNUMBER(N20),N20&gt;=0,O20="Complete"),N20/3600000,"")</x:f>
      </x:c>
      <x:c r="G20" s="4"/>
      <x:c r="H20" s="4"/>
      <x:c r="I20" s="36" t="str">
        <x:f>IF(COUNTA(A20:C20,E20,G20:H20,J20:T20,V20:AB20)=0,"",IF(A20="","Review: missing entry ID",IF(COUNTIF($A$7:$A$506,A20)&gt;1,"Review: duplicate entry ID",IF(NOT(ISNUMBER(B20)),"Review: work date",IF(OR(C20="",E20="",K20="",M20="",H20=""),"Review: source details",IF(J20&lt;&gt;'Estimate review'!$J$5,"Review: project scope",IF(OR(NOT(ISNUMBER(N20)),N20&lt;0,O20&lt;&gt;"Complete"),"Review: duration",IF(S20&lt;&gt;"Coded","Review: coding status",IF(OR(U20="",COUNTIF('Project codes'!$A$7:$A$106,U20)=0),"Review: SOW mapping",IF(COUNTIF('Project codes'!$A$7:$A$106,U20)&gt;1,"Review: duplicate code",IF(_xlfn.XLOOKUP(U20,'Project codes'!$A$7:$A$106,'Project codes'!$F$7:$F$106,"Review",0)="Hold","Review: allocation hold",IF(OR(D20="",COUNTIF('SOW register'!$A$7:$A$36,D20)&lt;&gt;1),"Review: SOW mapping",IF(AND(G20&lt;&gt;"Yes",G20&lt;&gt;"No"),"Review: billability",IF(AB20="","Review: billing evidence","OK"))))))))))))))</x:f>
      </x:c>
      <x:c r="J20" s="24"/>
      <x:c r="K20" s="38"/>
      <x:c r="L20" s="38"/>
      <x:c r="M20" s="38"/>
      <x:c r="N20" s="39"/>
      <x:c r="O20" s="24"/>
      <x:c r="P20" s="24"/>
      <x:c r="Q20" s="38"/>
      <x:c r="R20" s="38"/>
      <x:c r="S20" s="24"/>
      <x:c r="T20" s="24"/>
      <x:c r="U20" s="37" t="str">
        <x:f>IF(OR(J20="",Q20="",R20=""),"",J20&amp;"|"&amp;Q20&amp;"|"&amp;R20)</x:f>
      </x:c>
      <x:c r="V20" s="24"/>
      <x:c r="W20" s="24"/>
      <x:c r="X20" s="40"/>
      <x:c r="Y20" s="40"/>
      <x:c r="Z20" s="39"/>
      <x:c r="AA20" s="39"/>
      <x:c r="AB20" s="24"/>
    </x:row>
    <x:row r="21" ht="23" customHeight="1">
      <x:c r="A21" s="20"/>
      <x:c r="B21" s="5"/>
      <x:c r="C21" s="4"/>
      <x:c r="D21" s="34" t="str">
        <x:f>IF(OR(A21="",U21="",COUNTIF('Project codes'!$A$7:$A$106,U21)&lt;&gt;1),"",_xlfn.XLOOKUP(U21,'Project codes'!$A$7:$A$106,'Project codes'!$I$7:$I$106,"",0))</x:f>
      </x:c>
      <x:c r="E21" s="4"/>
      <x:c r="F21" s="35" t="str">
        <x:f>IF(AND(ISNUMBER(N21),N21&gt;=0,O21="Complete"),N21/3600000,"")</x:f>
      </x:c>
      <x:c r="G21" s="4"/>
      <x:c r="H21" s="4"/>
      <x:c r="I21" s="36" t="str">
        <x:f>IF(COUNTA(A21:C21,E21,G21:H21,J21:T21,V21:AB21)=0,"",IF(A21="","Review: missing entry ID",IF(COUNTIF($A$7:$A$506,A21)&gt;1,"Review: duplicate entry ID",IF(NOT(ISNUMBER(B21)),"Review: work date",IF(OR(C21="",E21="",K21="",M21="",H21=""),"Review: source details",IF(J21&lt;&gt;'Estimate review'!$J$5,"Review: project scope",IF(OR(NOT(ISNUMBER(N21)),N21&lt;0,O21&lt;&gt;"Complete"),"Review: duration",IF(S21&lt;&gt;"Coded","Review: coding status",IF(OR(U21="",COUNTIF('Project codes'!$A$7:$A$106,U21)=0),"Review: SOW mapping",IF(COUNTIF('Project codes'!$A$7:$A$106,U21)&gt;1,"Review: duplicate code",IF(_xlfn.XLOOKUP(U21,'Project codes'!$A$7:$A$106,'Project codes'!$F$7:$F$106,"Review",0)="Hold","Review: allocation hold",IF(OR(D21="",COUNTIF('SOW register'!$A$7:$A$36,D21)&lt;&gt;1),"Review: SOW mapping",IF(AND(G21&lt;&gt;"Yes",G21&lt;&gt;"No"),"Review: billability",IF(AB21="","Review: billing evidence","OK"))))))))))))))</x:f>
      </x:c>
      <x:c r="J21" s="24"/>
      <x:c r="K21" s="38"/>
      <x:c r="L21" s="38"/>
      <x:c r="M21" s="38"/>
      <x:c r="N21" s="39"/>
      <x:c r="O21" s="24"/>
      <x:c r="P21" s="24"/>
      <x:c r="Q21" s="38"/>
      <x:c r="R21" s="38"/>
      <x:c r="S21" s="24"/>
      <x:c r="T21" s="24"/>
      <x:c r="U21" s="37" t="str">
        <x:f>IF(OR(J21="",Q21="",R21=""),"",J21&amp;"|"&amp;Q21&amp;"|"&amp;R21)</x:f>
      </x:c>
      <x:c r="V21" s="24"/>
      <x:c r="W21" s="24"/>
      <x:c r="X21" s="40"/>
      <x:c r="Y21" s="40"/>
      <x:c r="Z21" s="39"/>
      <x:c r="AA21" s="39"/>
      <x:c r="AB21" s="24"/>
    </x:row>
    <x:row r="22" ht="23" customHeight="1">
      <x:c r="A22" s="20"/>
      <x:c r="B22" s="5"/>
      <x:c r="C22" s="4"/>
      <x:c r="D22" s="34" t="str">
        <x:f>IF(OR(A22="",U22="",COUNTIF('Project codes'!$A$7:$A$106,U22)&lt;&gt;1),"",_xlfn.XLOOKUP(U22,'Project codes'!$A$7:$A$106,'Project codes'!$I$7:$I$106,"",0))</x:f>
      </x:c>
      <x:c r="E22" s="4"/>
      <x:c r="F22" s="35" t="str">
        <x:f>IF(AND(ISNUMBER(N22),N22&gt;=0,O22="Complete"),N22/3600000,"")</x:f>
      </x:c>
      <x:c r="G22" s="4"/>
      <x:c r="H22" s="4"/>
      <x:c r="I22" s="36" t="str">
        <x:f>IF(COUNTA(A22:C22,E22,G22:H22,J22:T22,V22:AB22)=0,"",IF(A22="","Review: missing entry ID",IF(COUNTIF($A$7:$A$506,A22)&gt;1,"Review: duplicate entry ID",IF(NOT(ISNUMBER(B22)),"Review: work date",IF(OR(C22="",E22="",K22="",M22="",H22=""),"Review: source details",IF(J22&lt;&gt;'Estimate review'!$J$5,"Review: project scope",IF(OR(NOT(ISNUMBER(N22)),N22&lt;0,O22&lt;&gt;"Complete"),"Review: duration",IF(S22&lt;&gt;"Coded","Review: coding status",IF(OR(U22="",COUNTIF('Project codes'!$A$7:$A$106,U22)=0),"Review: SOW mapping",IF(COUNTIF('Project codes'!$A$7:$A$106,U22)&gt;1,"Review: duplicate code",IF(_xlfn.XLOOKUP(U22,'Project codes'!$A$7:$A$106,'Project codes'!$F$7:$F$106,"Review",0)="Hold","Review: allocation hold",IF(OR(D22="",COUNTIF('SOW register'!$A$7:$A$36,D22)&lt;&gt;1),"Review: SOW mapping",IF(AND(G22&lt;&gt;"Yes",G22&lt;&gt;"No"),"Review: billability",IF(AB22="","Review: billing evidence","OK"))))))))))))))</x:f>
      </x:c>
      <x:c r="J22" s="24"/>
      <x:c r="K22" s="38"/>
      <x:c r="L22" s="38"/>
      <x:c r="M22" s="38"/>
      <x:c r="N22" s="39"/>
      <x:c r="O22" s="24"/>
      <x:c r="P22" s="24"/>
      <x:c r="Q22" s="38"/>
      <x:c r="R22" s="38"/>
      <x:c r="S22" s="24"/>
      <x:c r="T22" s="24"/>
      <x:c r="U22" s="37" t="str">
        <x:f>IF(OR(J22="",Q22="",R22=""),"",J22&amp;"|"&amp;Q22&amp;"|"&amp;R22)</x:f>
      </x:c>
      <x:c r="V22" s="24"/>
      <x:c r="W22" s="24"/>
      <x:c r="X22" s="40"/>
      <x:c r="Y22" s="40"/>
      <x:c r="Z22" s="39"/>
      <x:c r="AA22" s="39"/>
      <x:c r="AB22" s="24"/>
    </x:row>
    <x:row r="23" ht="23" customHeight="1">
      <x:c r="A23" s="20"/>
      <x:c r="B23" s="5"/>
      <x:c r="C23" s="4"/>
      <x:c r="D23" s="34" t="str">
        <x:f>IF(OR(A23="",U23="",COUNTIF('Project codes'!$A$7:$A$106,U23)&lt;&gt;1),"",_xlfn.XLOOKUP(U23,'Project codes'!$A$7:$A$106,'Project codes'!$I$7:$I$106,"",0))</x:f>
      </x:c>
      <x:c r="E23" s="4"/>
      <x:c r="F23" s="35" t="str">
        <x:f>IF(AND(ISNUMBER(N23),N23&gt;=0,O23="Complete"),N23/3600000,"")</x:f>
      </x:c>
      <x:c r="G23" s="4"/>
      <x:c r="H23" s="4"/>
      <x:c r="I23" s="36" t="str">
        <x:f>IF(COUNTA(A23:C23,E23,G23:H23,J23:T23,V23:AB23)=0,"",IF(A23="","Review: missing entry ID",IF(COUNTIF($A$7:$A$506,A23)&gt;1,"Review: duplicate entry ID",IF(NOT(ISNUMBER(B23)),"Review: work date",IF(OR(C23="",E23="",K23="",M23="",H23=""),"Review: source details",IF(J23&lt;&gt;'Estimate review'!$J$5,"Review: project scope",IF(OR(NOT(ISNUMBER(N23)),N23&lt;0,O23&lt;&gt;"Complete"),"Review: duration",IF(S23&lt;&gt;"Coded","Review: coding status",IF(OR(U23="",COUNTIF('Project codes'!$A$7:$A$106,U23)=0),"Review: SOW mapping",IF(COUNTIF('Project codes'!$A$7:$A$106,U23)&gt;1,"Review: duplicate code",IF(_xlfn.XLOOKUP(U23,'Project codes'!$A$7:$A$106,'Project codes'!$F$7:$F$106,"Review",0)="Hold","Review: allocation hold",IF(OR(D23="",COUNTIF('SOW register'!$A$7:$A$36,D23)&lt;&gt;1),"Review: SOW mapping",IF(AND(G23&lt;&gt;"Yes",G23&lt;&gt;"No"),"Review: billability",IF(AB23="","Review: billing evidence","OK"))))))))))))))</x:f>
      </x:c>
      <x:c r="J23" s="24"/>
      <x:c r="K23" s="38"/>
      <x:c r="L23" s="38"/>
      <x:c r="M23" s="38"/>
      <x:c r="N23" s="39"/>
      <x:c r="O23" s="24"/>
      <x:c r="P23" s="24"/>
      <x:c r="Q23" s="38"/>
      <x:c r="R23" s="38"/>
      <x:c r="S23" s="24"/>
      <x:c r="T23" s="24"/>
      <x:c r="U23" s="37" t="str">
        <x:f>IF(OR(J23="",Q23="",R23=""),"",J23&amp;"|"&amp;Q23&amp;"|"&amp;R23)</x:f>
      </x:c>
      <x:c r="V23" s="24"/>
      <x:c r="W23" s="24"/>
      <x:c r="X23" s="40"/>
      <x:c r="Y23" s="40"/>
      <x:c r="Z23" s="39"/>
      <x:c r="AA23" s="39"/>
      <x:c r="AB23" s="24"/>
    </x:row>
    <x:row r="24" ht="23" customHeight="1">
      <x:c r="A24" s="20"/>
      <x:c r="B24" s="5"/>
      <x:c r="C24" s="4"/>
      <x:c r="D24" s="34" t="str">
        <x:f>IF(OR(A24="",U24="",COUNTIF('Project codes'!$A$7:$A$106,U24)&lt;&gt;1),"",_xlfn.XLOOKUP(U24,'Project codes'!$A$7:$A$106,'Project codes'!$I$7:$I$106,"",0))</x:f>
      </x:c>
      <x:c r="E24" s="4"/>
      <x:c r="F24" s="35" t="str">
        <x:f>IF(AND(ISNUMBER(N24),N24&gt;=0,O24="Complete"),N24/3600000,"")</x:f>
      </x:c>
      <x:c r="G24" s="4"/>
      <x:c r="H24" s="4"/>
      <x:c r="I24" s="36" t="str">
        <x:f>IF(COUNTA(A24:C24,E24,G24:H24,J24:T24,V24:AB24)=0,"",IF(A24="","Review: missing entry ID",IF(COUNTIF($A$7:$A$506,A24)&gt;1,"Review: duplicate entry ID",IF(NOT(ISNUMBER(B24)),"Review: work date",IF(OR(C24="",E24="",K24="",M24="",H24=""),"Review: source details",IF(J24&lt;&gt;'Estimate review'!$J$5,"Review: project scope",IF(OR(NOT(ISNUMBER(N24)),N24&lt;0,O24&lt;&gt;"Complete"),"Review: duration",IF(S24&lt;&gt;"Coded","Review: coding status",IF(OR(U24="",COUNTIF('Project codes'!$A$7:$A$106,U24)=0),"Review: SOW mapping",IF(COUNTIF('Project codes'!$A$7:$A$106,U24)&gt;1,"Review: duplicate code",IF(_xlfn.XLOOKUP(U24,'Project codes'!$A$7:$A$106,'Project codes'!$F$7:$F$106,"Review",0)="Hold","Review: allocation hold",IF(OR(D24="",COUNTIF('SOW register'!$A$7:$A$36,D24)&lt;&gt;1),"Review: SOW mapping",IF(AND(G24&lt;&gt;"Yes",G24&lt;&gt;"No"),"Review: billability",IF(AB24="","Review: billing evidence","OK"))))))))))))))</x:f>
      </x:c>
      <x:c r="J24" s="24"/>
      <x:c r="K24" s="38"/>
      <x:c r="L24" s="38"/>
      <x:c r="M24" s="38"/>
      <x:c r="N24" s="39"/>
      <x:c r="O24" s="24"/>
      <x:c r="P24" s="24"/>
      <x:c r="Q24" s="38"/>
      <x:c r="R24" s="38"/>
      <x:c r="S24" s="24"/>
      <x:c r="T24" s="24"/>
      <x:c r="U24" s="37" t="str">
        <x:f>IF(OR(J24="",Q24="",R24=""),"",J24&amp;"|"&amp;Q24&amp;"|"&amp;R24)</x:f>
      </x:c>
      <x:c r="V24" s="24"/>
      <x:c r="W24" s="24"/>
      <x:c r="X24" s="40"/>
      <x:c r="Y24" s="40"/>
      <x:c r="Z24" s="39"/>
      <x:c r="AA24" s="39"/>
      <x:c r="AB24" s="24"/>
    </x:row>
    <x:row r="25" ht="23" customHeight="1">
      <x:c r="A25" s="20"/>
      <x:c r="B25" s="5"/>
      <x:c r="C25" s="4"/>
      <x:c r="D25" s="34" t="str">
        <x:f>IF(OR(A25="",U25="",COUNTIF('Project codes'!$A$7:$A$106,U25)&lt;&gt;1),"",_xlfn.XLOOKUP(U25,'Project codes'!$A$7:$A$106,'Project codes'!$I$7:$I$106,"",0))</x:f>
      </x:c>
      <x:c r="E25" s="4"/>
      <x:c r="F25" s="35" t="str">
        <x:f>IF(AND(ISNUMBER(N25),N25&gt;=0,O25="Complete"),N25/3600000,"")</x:f>
      </x:c>
      <x:c r="G25" s="4"/>
      <x:c r="H25" s="4"/>
      <x:c r="I25" s="36" t="str">
        <x:f>IF(COUNTA(A25:C25,E25,G25:H25,J25:T25,V25:AB25)=0,"",IF(A25="","Review: missing entry ID",IF(COUNTIF($A$7:$A$506,A25)&gt;1,"Review: duplicate entry ID",IF(NOT(ISNUMBER(B25)),"Review: work date",IF(OR(C25="",E25="",K25="",M25="",H25=""),"Review: source details",IF(J25&lt;&gt;'Estimate review'!$J$5,"Review: project scope",IF(OR(NOT(ISNUMBER(N25)),N25&lt;0,O25&lt;&gt;"Complete"),"Review: duration",IF(S25&lt;&gt;"Coded","Review: coding status",IF(OR(U25="",COUNTIF('Project codes'!$A$7:$A$106,U25)=0),"Review: SOW mapping",IF(COUNTIF('Project codes'!$A$7:$A$106,U25)&gt;1,"Review: duplicate code",IF(_xlfn.XLOOKUP(U25,'Project codes'!$A$7:$A$106,'Project codes'!$F$7:$F$106,"Review",0)="Hold","Review: allocation hold",IF(OR(D25="",COUNTIF('SOW register'!$A$7:$A$36,D25)&lt;&gt;1),"Review: SOW mapping",IF(AND(G25&lt;&gt;"Yes",G25&lt;&gt;"No"),"Review: billability",IF(AB25="","Review: billing evidence","OK"))))))))))))))</x:f>
      </x:c>
      <x:c r="J25" s="24"/>
      <x:c r="K25" s="38"/>
      <x:c r="L25" s="38"/>
      <x:c r="M25" s="38"/>
      <x:c r="N25" s="39"/>
      <x:c r="O25" s="24"/>
      <x:c r="P25" s="24"/>
      <x:c r="Q25" s="38"/>
      <x:c r="R25" s="38"/>
      <x:c r="S25" s="24"/>
      <x:c r="T25" s="24"/>
      <x:c r="U25" s="37" t="str">
        <x:f>IF(OR(J25="",Q25="",R25=""),"",J25&amp;"|"&amp;Q25&amp;"|"&amp;R25)</x:f>
      </x:c>
      <x:c r="V25" s="24"/>
      <x:c r="W25" s="24"/>
      <x:c r="X25" s="40"/>
      <x:c r="Y25" s="40"/>
      <x:c r="Z25" s="39"/>
      <x:c r="AA25" s="39"/>
      <x:c r="AB25" s="24"/>
    </x:row>
    <x:row r="26" ht="23" customHeight="1">
      <x:c r="A26" s="20"/>
      <x:c r="B26" s="5"/>
      <x:c r="C26" s="4"/>
      <x:c r="D26" s="34" t="str">
        <x:f>IF(OR(A26="",U26="",COUNTIF('Project codes'!$A$7:$A$106,U26)&lt;&gt;1),"",_xlfn.XLOOKUP(U26,'Project codes'!$A$7:$A$106,'Project codes'!$I$7:$I$106,"",0))</x:f>
      </x:c>
      <x:c r="E26" s="4"/>
      <x:c r="F26" s="35" t="str">
        <x:f>IF(AND(ISNUMBER(N26),N26&gt;=0,O26="Complete"),N26/3600000,"")</x:f>
      </x:c>
      <x:c r="G26" s="4"/>
      <x:c r="H26" s="4"/>
      <x:c r="I26" s="36" t="str">
        <x:f>IF(COUNTA(A26:C26,E26,G26:H26,J26:T26,V26:AB26)=0,"",IF(A26="","Review: missing entry ID",IF(COUNTIF($A$7:$A$506,A26)&gt;1,"Review: duplicate entry ID",IF(NOT(ISNUMBER(B26)),"Review: work date",IF(OR(C26="",E26="",K26="",M26="",H26=""),"Review: source details",IF(J26&lt;&gt;'Estimate review'!$J$5,"Review: project scope",IF(OR(NOT(ISNUMBER(N26)),N26&lt;0,O26&lt;&gt;"Complete"),"Review: duration",IF(S26&lt;&gt;"Coded","Review: coding status",IF(OR(U26="",COUNTIF('Project codes'!$A$7:$A$106,U26)=0),"Review: SOW mapping",IF(COUNTIF('Project codes'!$A$7:$A$106,U26)&gt;1,"Review: duplicate code",IF(_xlfn.XLOOKUP(U26,'Project codes'!$A$7:$A$106,'Project codes'!$F$7:$F$106,"Review",0)="Hold","Review: allocation hold",IF(OR(D26="",COUNTIF('SOW register'!$A$7:$A$36,D26)&lt;&gt;1),"Review: SOW mapping",IF(AND(G26&lt;&gt;"Yes",G26&lt;&gt;"No"),"Review: billability",IF(AB26="","Review: billing evidence","OK"))))))))))))))</x:f>
      </x:c>
      <x:c r="J26" s="24"/>
      <x:c r="K26" s="38"/>
      <x:c r="L26" s="38"/>
      <x:c r="M26" s="38"/>
      <x:c r="N26" s="39"/>
      <x:c r="O26" s="24"/>
      <x:c r="P26" s="24"/>
      <x:c r="Q26" s="38"/>
      <x:c r="R26" s="38"/>
      <x:c r="S26" s="24"/>
      <x:c r="T26" s="24"/>
      <x:c r="U26" s="37" t="str">
        <x:f>IF(OR(J26="",Q26="",R26=""),"",J26&amp;"|"&amp;Q26&amp;"|"&amp;R26)</x:f>
      </x:c>
      <x:c r="V26" s="24"/>
      <x:c r="W26" s="24"/>
      <x:c r="X26" s="40"/>
      <x:c r="Y26" s="40"/>
      <x:c r="Z26" s="39"/>
      <x:c r="AA26" s="39"/>
      <x:c r="AB26" s="24"/>
    </x:row>
    <x:row r="27" ht="23" customHeight="1">
      <x:c r="A27" s="20"/>
      <x:c r="B27" s="5"/>
      <x:c r="C27" s="4"/>
      <x:c r="D27" s="34" t="str">
        <x:f>IF(OR(A27="",U27="",COUNTIF('Project codes'!$A$7:$A$106,U27)&lt;&gt;1),"",_xlfn.XLOOKUP(U27,'Project codes'!$A$7:$A$106,'Project codes'!$I$7:$I$106,"",0))</x:f>
      </x:c>
      <x:c r="E27" s="4"/>
      <x:c r="F27" s="35" t="str">
        <x:f>IF(AND(ISNUMBER(N27),N27&gt;=0,O27="Complete"),N27/3600000,"")</x:f>
      </x:c>
      <x:c r="G27" s="4"/>
      <x:c r="H27" s="4"/>
      <x:c r="I27" s="36" t="str">
        <x:f>IF(COUNTA(A27:C27,E27,G27:H27,J27:T27,V27:AB27)=0,"",IF(A27="","Review: missing entry ID",IF(COUNTIF($A$7:$A$506,A27)&gt;1,"Review: duplicate entry ID",IF(NOT(ISNUMBER(B27)),"Review: work date",IF(OR(C27="",E27="",K27="",M27="",H27=""),"Review: source details",IF(J27&lt;&gt;'Estimate review'!$J$5,"Review: project scope",IF(OR(NOT(ISNUMBER(N27)),N27&lt;0,O27&lt;&gt;"Complete"),"Review: duration",IF(S27&lt;&gt;"Coded","Review: coding status",IF(OR(U27="",COUNTIF('Project codes'!$A$7:$A$106,U27)=0),"Review: SOW mapping",IF(COUNTIF('Project codes'!$A$7:$A$106,U27)&gt;1,"Review: duplicate code",IF(_xlfn.XLOOKUP(U27,'Project codes'!$A$7:$A$106,'Project codes'!$F$7:$F$106,"Review",0)="Hold","Review: allocation hold",IF(OR(D27="",COUNTIF('SOW register'!$A$7:$A$36,D27)&lt;&gt;1),"Review: SOW mapping",IF(AND(G27&lt;&gt;"Yes",G27&lt;&gt;"No"),"Review: billability",IF(AB27="","Review: billing evidence","OK"))))))))))))))</x:f>
      </x:c>
      <x:c r="J27" s="24"/>
      <x:c r="K27" s="38"/>
      <x:c r="L27" s="38"/>
      <x:c r="M27" s="38"/>
      <x:c r="N27" s="39"/>
      <x:c r="O27" s="24"/>
      <x:c r="P27" s="24"/>
      <x:c r="Q27" s="38"/>
      <x:c r="R27" s="38"/>
      <x:c r="S27" s="24"/>
      <x:c r="T27" s="24"/>
      <x:c r="U27" s="37" t="str">
        <x:f>IF(OR(J27="",Q27="",R27=""),"",J27&amp;"|"&amp;Q27&amp;"|"&amp;R27)</x:f>
      </x:c>
      <x:c r="V27" s="24"/>
      <x:c r="W27" s="24"/>
      <x:c r="X27" s="40"/>
      <x:c r="Y27" s="40"/>
      <x:c r="Z27" s="39"/>
      <x:c r="AA27" s="39"/>
      <x:c r="AB27" s="24"/>
    </x:row>
    <x:row r="28" ht="23" customHeight="1">
      <x:c r="A28" s="20"/>
      <x:c r="B28" s="5"/>
      <x:c r="C28" s="4"/>
      <x:c r="D28" s="34" t="str">
        <x:f>IF(OR(A28="",U28="",COUNTIF('Project codes'!$A$7:$A$106,U28)&lt;&gt;1),"",_xlfn.XLOOKUP(U28,'Project codes'!$A$7:$A$106,'Project codes'!$I$7:$I$106,"",0))</x:f>
      </x:c>
      <x:c r="E28" s="4"/>
      <x:c r="F28" s="35" t="str">
        <x:f>IF(AND(ISNUMBER(N28),N28&gt;=0,O28="Complete"),N28/3600000,"")</x:f>
      </x:c>
      <x:c r="G28" s="4"/>
      <x:c r="H28" s="4"/>
      <x:c r="I28" s="36" t="str">
        <x:f>IF(COUNTA(A28:C28,E28,G28:H28,J28:T28,V28:AB28)=0,"",IF(A28="","Review: missing entry ID",IF(COUNTIF($A$7:$A$506,A28)&gt;1,"Review: duplicate entry ID",IF(NOT(ISNUMBER(B28)),"Review: work date",IF(OR(C28="",E28="",K28="",M28="",H28=""),"Review: source details",IF(J28&lt;&gt;'Estimate review'!$J$5,"Review: project scope",IF(OR(NOT(ISNUMBER(N28)),N28&lt;0,O28&lt;&gt;"Complete"),"Review: duration",IF(S28&lt;&gt;"Coded","Review: coding status",IF(OR(U28="",COUNTIF('Project codes'!$A$7:$A$106,U28)=0),"Review: SOW mapping",IF(COUNTIF('Project codes'!$A$7:$A$106,U28)&gt;1,"Review: duplicate code",IF(_xlfn.XLOOKUP(U28,'Project codes'!$A$7:$A$106,'Project codes'!$F$7:$F$106,"Review",0)="Hold","Review: allocation hold",IF(OR(D28="",COUNTIF('SOW register'!$A$7:$A$36,D28)&lt;&gt;1),"Review: SOW mapping",IF(AND(G28&lt;&gt;"Yes",G28&lt;&gt;"No"),"Review: billability",IF(AB28="","Review: billing evidence","OK"))))))))))))))</x:f>
      </x:c>
      <x:c r="J28" s="24"/>
      <x:c r="K28" s="38"/>
      <x:c r="L28" s="38"/>
      <x:c r="M28" s="38"/>
      <x:c r="N28" s="39"/>
      <x:c r="O28" s="24"/>
      <x:c r="P28" s="24"/>
      <x:c r="Q28" s="38"/>
      <x:c r="R28" s="38"/>
      <x:c r="S28" s="24"/>
      <x:c r="T28" s="24"/>
      <x:c r="U28" s="37" t="str">
        <x:f>IF(OR(J28="",Q28="",R28=""),"",J28&amp;"|"&amp;Q28&amp;"|"&amp;R28)</x:f>
      </x:c>
      <x:c r="V28" s="24"/>
      <x:c r="W28" s="24"/>
      <x:c r="X28" s="40"/>
      <x:c r="Y28" s="40"/>
      <x:c r="Z28" s="39"/>
      <x:c r="AA28" s="39"/>
      <x:c r="AB28" s="24"/>
    </x:row>
    <x:row r="29" ht="23" customHeight="1">
      <x:c r="A29" s="20"/>
      <x:c r="B29" s="5"/>
      <x:c r="C29" s="4"/>
      <x:c r="D29" s="34" t="str">
        <x:f>IF(OR(A29="",U29="",COUNTIF('Project codes'!$A$7:$A$106,U29)&lt;&gt;1),"",_xlfn.XLOOKUP(U29,'Project codes'!$A$7:$A$106,'Project codes'!$I$7:$I$106,"",0))</x:f>
      </x:c>
      <x:c r="E29" s="4"/>
      <x:c r="F29" s="35" t="str">
        <x:f>IF(AND(ISNUMBER(N29),N29&gt;=0,O29="Complete"),N29/3600000,"")</x:f>
      </x:c>
      <x:c r="G29" s="4"/>
      <x:c r="H29" s="4"/>
      <x:c r="I29" s="36" t="str">
        <x:f>IF(COUNTA(A29:C29,E29,G29:H29,J29:T29,V29:AB29)=0,"",IF(A29="","Review: missing entry ID",IF(COUNTIF($A$7:$A$506,A29)&gt;1,"Review: duplicate entry ID",IF(NOT(ISNUMBER(B29)),"Review: work date",IF(OR(C29="",E29="",K29="",M29="",H29=""),"Review: source details",IF(J29&lt;&gt;'Estimate review'!$J$5,"Review: project scope",IF(OR(NOT(ISNUMBER(N29)),N29&lt;0,O29&lt;&gt;"Complete"),"Review: duration",IF(S29&lt;&gt;"Coded","Review: coding status",IF(OR(U29="",COUNTIF('Project codes'!$A$7:$A$106,U29)=0),"Review: SOW mapping",IF(COUNTIF('Project codes'!$A$7:$A$106,U29)&gt;1,"Review: duplicate code",IF(_xlfn.XLOOKUP(U29,'Project codes'!$A$7:$A$106,'Project codes'!$F$7:$F$106,"Review",0)="Hold","Review: allocation hold",IF(OR(D29="",COUNTIF('SOW register'!$A$7:$A$36,D29)&lt;&gt;1),"Review: SOW mapping",IF(AND(G29&lt;&gt;"Yes",G29&lt;&gt;"No"),"Review: billability",IF(AB29="","Review: billing evidence","OK"))))))))))))))</x:f>
      </x:c>
      <x:c r="J29" s="24"/>
      <x:c r="K29" s="38"/>
      <x:c r="L29" s="38"/>
      <x:c r="M29" s="38"/>
      <x:c r="N29" s="39"/>
      <x:c r="O29" s="24"/>
      <x:c r="P29" s="24"/>
      <x:c r="Q29" s="38"/>
      <x:c r="R29" s="38"/>
      <x:c r="S29" s="24"/>
      <x:c r="T29" s="24"/>
      <x:c r="U29" s="37" t="str">
        <x:f>IF(OR(J29="",Q29="",R29=""),"",J29&amp;"|"&amp;Q29&amp;"|"&amp;R29)</x:f>
      </x:c>
      <x:c r="V29" s="24"/>
      <x:c r="W29" s="24"/>
      <x:c r="X29" s="40"/>
      <x:c r="Y29" s="40"/>
      <x:c r="Z29" s="39"/>
      <x:c r="AA29" s="39"/>
      <x:c r="AB29" s="24"/>
    </x:row>
    <x:row r="30" ht="23" customHeight="1">
      <x:c r="A30" s="20"/>
      <x:c r="B30" s="5"/>
      <x:c r="C30" s="4"/>
      <x:c r="D30" s="34" t="str">
        <x:f>IF(OR(A30="",U30="",COUNTIF('Project codes'!$A$7:$A$106,U30)&lt;&gt;1),"",_xlfn.XLOOKUP(U30,'Project codes'!$A$7:$A$106,'Project codes'!$I$7:$I$106,"",0))</x:f>
      </x:c>
      <x:c r="E30" s="4"/>
      <x:c r="F30" s="35" t="str">
        <x:f>IF(AND(ISNUMBER(N30),N30&gt;=0,O30="Complete"),N30/3600000,"")</x:f>
      </x:c>
      <x:c r="G30" s="4"/>
      <x:c r="H30" s="4"/>
      <x:c r="I30" s="36" t="str">
        <x:f>IF(COUNTA(A30:C30,E30,G30:H30,J30:T30,V30:AB30)=0,"",IF(A30="","Review: missing entry ID",IF(COUNTIF($A$7:$A$506,A30)&gt;1,"Review: duplicate entry ID",IF(NOT(ISNUMBER(B30)),"Review: work date",IF(OR(C30="",E30="",K30="",M30="",H30=""),"Review: source details",IF(J30&lt;&gt;'Estimate review'!$J$5,"Review: project scope",IF(OR(NOT(ISNUMBER(N30)),N30&lt;0,O30&lt;&gt;"Complete"),"Review: duration",IF(S30&lt;&gt;"Coded","Review: coding status",IF(OR(U30="",COUNTIF('Project codes'!$A$7:$A$106,U30)=0),"Review: SOW mapping",IF(COUNTIF('Project codes'!$A$7:$A$106,U30)&gt;1,"Review: duplicate code",IF(_xlfn.XLOOKUP(U30,'Project codes'!$A$7:$A$106,'Project codes'!$F$7:$F$106,"Review",0)="Hold","Review: allocation hold",IF(OR(D30="",COUNTIF('SOW register'!$A$7:$A$36,D30)&lt;&gt;1),"Review: SOW mapping",IF(AND(G30&lt;&gt;"Yes",G30&lt;&gt;"No"),"Review: billability",IF(AB30="","Review: billing evidence","OK"))))))))))))))</x:f>
      </x:c>
      <x:c r="J30" s="24"/>
      <x:c r="K30" s="38"/>
      <x:c r="L30" s="38"/>
      <x:c r="M30" s="38"/>
      <x:c r="N30" s="39"/>
      <x:c r="O30" s="24"/>
      <x:c r="P30" s="24"/>
      <x:c r="Q30" s="38"/>
      <x:c r="R30" s="38"/>
      <x:c r="S30" s="24"/>
      <x:c r="T30" s="24"/>
      <x:c r="U30" s="37" t="str">
        <x:f>IF(OR(J30="",Q30="",R30=""),"",J30&amp;"|"&amp;Q30&amp;"|"&amp;R30)</x:f>
      </x:c>
      <x:c r="V30" s="24"/>
      <x:c r="W30" s="24"/>
      <x:c r="X30" s="40"/>
      <x:c r="Y30" s="40"/>
      <x:c r="Z30" s="39"/>
      <x:c r="AA30" s="39"/>
      <x:c r="AB30" s="24"/>
    </x:row>
    <x:row r="31" ht="23" customHeight="1">
      <x:c r="A31" s="20"/>
      <x:c r="B31" s="5"/>
      <x:c r="C31" s="4"/>
      <x:c r="D31" s="34" t="str">
        <x:f>IF(OR(A31="",U31="",COUNTIF('Project codes'!$A$7:$A$106,U31)&lt;&gt;1),"",_xlfn.XLOOKUP(U31,'Project codes'!$A$7:$A$106,'Project codes'!$I$7:$I$106,"",0))</x:f>
      </x:c>
      <x:c r="E31" s="4"/>
      <x:c r="F31" s="35" t="str">
        <x:f>IF(AND(ISNUMBER(N31),N31&gt;=0,O31="Complete"),N31/3600000,"")</x:f>
      </x:c>
      <x:c r="G31" s="4"/>
      <x:c r="H31" s="4"/>
      <x:c r="I31" s="36" t="str">
        <x:f>IF(COUNTA(A31:C31,E31,G31:H31,J31:T31,V31:AB31)=0,"",IF(A31="","Review: missing entry ID",IF(COUNTIF($A$7:$A$506,A31)&gt;1,"Review: duplicate entry ID",IF(NOT(ISNUMBER(B31)),"Review: work date",IF(OR(C31="",E31="",K31="",M31="",H31=""),"Review: source details",IF(J31&lt;&gt;'Estimate review'!$J$5,"Review: project scope",IF(OR(NOT(ISNUMBER(N31)),N31&lt;0,O31&lt;&gt;"Complete"),"Review: duration",IF(S31&lt;&gt;"Coded","Review: coding status",IF(OR(U31="",COUNTIF('Project codes'!$A$7:$A$106,U31)=0),"Review: SOW mapping",IF(COUNTIF('Project codes'!$A$7:$A$106,U31)&gt;1,"Review: duplicate code",IF(_xlfn.XLOOKUP(U31,'Project codes'!$A$7:$A$106,'Project codes'!$F$7:$F$106,"Review",0)="Hold","Review: allocation hold",IF(OR(D31="",COUNTIF('SOW register'!$A$7:$A$36,D31)&lt;&gt;1),"Review: SOW mapping",IF(AND(G31&lt;&gt;"Yes",G31&lt;&gt;"No"),"Review: billability",IF(AB31="","Review: billing evidence","OK"))))))))))))))</x:f>
      </x:c>
      <x:c r="J31" s="24"/>
      <x:c r="K31" s="38"/>
      <x:c r="L31" s="38"/>
      <x:c r="M31" s="38"/>
      <x:c r="N31" s="39"/>
      <x:c r="O31" s="24"/>
      <x:c r="P31" s="24"/>
      <x:c r="Q31" s="38"/>
      <x:c r="R31" s="38"/>
      <x:c r="S31" s="24"/>
      <x:c r="T31" s="24"/>
      <x:c r="U31" s="37" t="str">
        <x:f>IF(OR(J31="",Q31="",R31=""),"",J31&amp;"|"&amp;Q31&amp;"|"&amp;R31)</x:f>
      </x:c>
      <x:c r="V31" s="24"/>
      <x:c r="W31" s="24"/>
      <x:c r="X31" s="40"/>
      <x:c r="Y31" s="40"/>
      <x:c r="Z31" s="39"/>
      <x:c r="AA31" s="39"/>
      <x:c r="AB31" s="24"/>
    </x:row>
    <x:row r="32" ht="23" customHeight="1">
      <x:c r="A32" s="20"/>
      <x:c r="B32" s="5"/>
      <x:c r="C32" s="4"/>
      <x:c r="D32" s="34" t="str">
        <x:f>IF(OR(A32="",U32="",COUNTIF('Project codes'!$A$7:$A$106,U32)&lt;&gt;1),"",_xlfn.XLOOKUP(U32,'Project codes'!$A$7:$A$106,'Project codes'!$I$7:$I$106,"",0))</x:f>
      </x:c>
      <x:c r="E32" s="4"/>
      <x:c r="F32" s="35" t="str">
        <x:f>IF(AND(ISNUMBER(N32),N32&gt;=0,O32="Complete"),N32/3600000,"")</x:f>
      </x:c>
      <x:c r="G32" s="4"/>
      <x:c r="H32" s="4"/>
      <x:c r="I32" s="36" t="str">
        <x:f>IF(COUNTA(A32:C32,E32,G32:H32,J32:T32,V32:AB32)=0,"",IF(A32="","Review: missing entry ID",IF(COUNTIF($A$7:$A$506,A32)&gt;1,"Review: duplicate entry ID",IF(NOT(ISNUMBER(B32)),"Review: work date",IF(OR(C32="",E32="",K32="",M32="",H32=""),"Review: source details",IF(J32&lt;&gt;'Estimate review'!$J$5,"Review: project scope",IF(OR(NOT(ISNUMBER(N32)),N32&lt;0,O32&lt;&gt;"Complete"),"Review: duration",IF(S32&lt;&gt;"Coded","Review: coding status",IF(OR(U32="",COUNTIF('Project codes'!$A$7:$A$106,U32)=0),"Review: SOW mapping",IF(COUNTIF('Project codes'!$A$7:$A$106,U32)&gt;1,"Review: duplicate code",IF(_xlfn.XLOOKUP(U32,'Project codes'!$A$7:$A$106,'Project codes'!$F$7:$F$106,"Review",0)="Hold","Review: allocation hold",IF(OR(D32="",COUNTIF('SOW register'!$A$7:$A$36,D32)&lt;&gt;1),"Review: SOW mapping",IF(AND(G32&lt;&gt;"Yes",G32&lt;&gt;"No"),"Review: billability",IF(AB32="","Review: billing evidence","OK"))))))))))))))</x:f>
      </x:c>
      <x:c r="J32" s="24"/>
      <x:c r="K32" s="38"/>
      <x:c r="L32" s="38"/>
      <x:c r="M32" s="38"/>
      <x:c r="N32" s="39"/>
      <x:c r="O32" s="24"/>
      <x:c r="P32" s="24"/>
      <x:c r="Q32" s="38"/>
      <x:c r="R32" s="38"/>
      <x:c r="S32" s="24"/>
      <x:c r="T32" s="24"/>
      <x:c r="U32" s="37" t="str">
        <x:f>IF(OR(J32="",Q32="",R32=""),"",J32&amp;"|"&amp;Q32&amp;"|"&amp;R32)</x:f>
      </x:c>
      <x:c r="V32" s="24"/>
      <x:c r="W32" s="24"/>
      <x:c r="X32" s="40"/>
      <x:c r="Y32" s="40"/>
      <x:c r="Z32" s="39"/>
      <x:c r="AA32" s="39"/>
      <x:c r="AB32" s="24"/>
    </x:row>
    <x:row r="33" ht="23" customHeight="1">
      <x:c r="A33" s="20"/>
      <x:c r="B33" s="5"/>
      <x:c r="C33" s="4"/>
      <x:c r="D33" s="34" t="str">
        <x:f>IF(OR(A33="",U33="",COUNTIF('Project codes'!$A$7:$A$106,U33)&lt;&gt;1),"",_xlfn.XLOOKUP(U33,'Project codes'!$A$7:$A$106,'Project codes'!$I$7:$I$106,"",0))</x:f>
      </x:c>
      <x:c r="E33" s="4"/>
      <x:c r="F33" s="35" t="str">
        <x:f>IF(AND(ISNUMBER(N33),N33&gt;=0,O33="Complete"),N33/3600000,"")</x:f>
      </x:c>
      <x:c r="G33" s="4"/>
      <x:c r="H33" s="4"/>
      <x:c r="I33" s="36" t="str">
        <x:f>IF(COUNTA(A33:C33,E33,G33:H33,J33:T33,V33:AB33)=0,"",IF(A33="","Review: missing entry ID",IF(COUNTIF($A$7:$A$506,A33)&gt;1,"Review: duplicate entry ID",IF(NOT(ISNUMBER(B33)),"Review: work date",IF(OR(C33="",E33="",K33="",M33="",H33=""),"Review: source details",IF(J33&lt;&gt;'Estimate review'!$J$5,"Review: project scope",IF(OR(NOT(ISNUMBER(N33)),N33&lt;0,O33&lt;&gt;"Complete"),"Review: duration",IF(S33&lt;&gt;"Coded","Review: coding status",IF(OR(U33="",COUNTIF('Project codes'!$A$7:$A$106,U33)=0),"Review: SOW mapping",IF(COUNTIF('Project codes'!$A$7:$A$106,U33)&gt;1,"Review: duplicate code",IF(_xlfn.XLOOKUP(U33,'Project codes'!$A$7:$A$106,'Project codes'!$F$7:$F$106,"Review",0)="Hold","Review: allocation hold",IF(OR(D33="",COUNTIF('SOW register'!$A$7:$A$36,D33)&lt;&gt;1),"Review: SOW mapping",IF(AND(G33&lt;&gt;"Yes",G33&lt;&gt;"No"),"Review: billability",IF(AB33="","Review: billing evidence","OK"))))))))))))))</x:f>
      </x:c>
      <x:c r="J33" s="24"/>
      <x:c r="K33" s="38"/>
      <x:c r="L33" s="38"/>
      <x:c r="M33" s="38"/>
      <x:c r="N33" s="39"/>
      <x:c r="O33" s="24"/>
      <x:c r="P33" s="24"/>
      <x:c r="Q33" s="38"/>
      <x:c r="R33" s="38"/>
      <x:c r="S33" s="24"/>
      <x:c r="T33" s="24"/>
      <x:c r="U33" s="37" t="str">
        <x:f>IF(OR(J33="",Q33="",R33=""),"",J33&amp;"|"&amp;Q33&amp;"|"&amp;R33)</x:f>
      </x:c>
      <x:c r="V33" s="24"/>
      <x:c r="W33" s="24"/>
      <x:c r="X33" s="40"/>
      <x:c r="Y33" s="40"/>
      <x:c r="Z33" s="39"/>
      <x:c r="AA33" s="39"/>
      <x:c r="AB33" s="24"/>
    </x:row>
    <x:row r="34" ht="23" customHeight="1">
      <x:c r="A34" s="20"/>
      <x:c r="B34" s="5"/>
      <x:c r="C34" s="4"/>
      <x:c r="D34" s="34" t="str">
        <x:f>IF(OR(A34="",U34="",COUNTIF('Project codes'!$A$7:$A$106,U34)&lt;&gt;1),"",_xlfn.XLOOKUP(U34,'Project codes'!$A$7:$A$106,'Project codes'!$I$7:$I$106,"",0))</x:f>
      </x:c>
      <x:c r="E34" s="4"/>
      <x:c r="F34" s="35" t="str">
        <x:f>IF(AND(ISNUMBER(N34),N34&gt;=0,O34="Complete"),N34/3600000,"")</x:f>
      </x:c>
      <x:c r="G34" s="4"/>
      <x:c r="H34" s="4"/>
      <x:c r="I34" s="36" t="str">
        <x:f>IF(COUNTA(A34:C34,E34,G34:H34,J34:T34,V34:AB34)=0,"",IF(A34="","Review: missing entry ID",IF(COUNTIF($A$7:$A$506,A34)&gt;1,"Review: duplicate entry ID",IF(NOT(ISNUMBER(B34)),"Review: work date",IF(OR(C34="",E34="",K34="",M34="",H34=""),"Review: source details",IF(J34&lt;&gt;'Estimate review'!$J$5,"Review: project scope",IF(OR(NOT(ISNUMBER(N34)),N34&lt;0,O34&lt;&gt;"Complete"),"Review: duration",IF(S34&lt;&gt;"Coded","Review: coding status",IF(OR(U34="",COUNTIF('Project codes'!$A$7:$A$106,U34)=0),"Review: SOW mapping",IF(COUNTIF('Project codes'!$A$7:$A$106,U34)&gt;1,"Review: duplicate code",IF(_xlfn.XLOOKUP(U34,'Project codes'!$A$7:$A$106,'Project codes'!$F$7:$F$106,"Review",0)="Hold","Review: allocation hold",IF(OR(D34="",COUNTIF('SOW register'!$A$7:$A$36,D34)&lt;&gt;1),"Review: SOW mapping",IF(AND(G34&lt;&gt;"Yes",G34&lt;&gt;"No"),"Review: billability",IF(AB34="","Review: billing evidence","OK"))))))))))))))</x:f>
      </x:c>
      <x:c r="J34" s="24"/>
      <x:c r="K34" s="38"/>
      <x:c r="L34" s="38"/>
      <x:c r="M34" s="38"/>
      <x:c r="N34" s="39"/>
      <x:c r="O34" s="24"/>
      <x:c r="P34" s="24"/>
      <x:c r="Q34" s="38"/>
      <x:c r="R34" s="38"/>
      <x:c r="S34" s="24"/>
      <x:c r="T34" s="24"/>
      <x:c r="U34" s="37" t="str">
        <x:f>IF(OR(J34="",Q34="",R34=""),"",J34&amp;"|"&amp;Q34&amp;"|"&amp;R34)</x:f>
      </x:c>
      <x:c r="V34" s="24"/>
      <x:c r="W34" s="24"/>
      <x:c r="X34" s="40"/>
      <x:c r="Y34" s="40"/>
      <x:c r="Z34" s="39"/>
      <x:c r="AA34" s="39"/>
      <x:c r="AB34" s="24"/>
    </x:row>
    <x:row r="35" ht="23" customHeight="1">
      <x:c r="A35" s="20"/>
      <x:c r="B35" s="5"/>
      <x:c r="C35" s="4"/>
      <x:c r="D35" s="34" t="str">
        <x:f>IF(OR(A35="",U35="",COUNTIF('Project codes'!$A$7:$A$106,U35)&lt;&gt;1),"",_xlfn.XLOOKUP(U35,'Project codes'!$A$7:$A$106,'Project codes'!$I$7:$I$106,"",0))</x:f>
      </x:c>
      <x:c r="E35" s="4"/>
      <x:c r="F35" s="35" t="str">
        <x:f>IF(AND(ISNUMBER(N35),N35&gt;=0,O35="Complete"),N35/3600000,"")</x:f>
      </x:c>
      <x:c r="G35" s="4"/>
      <x:c r="H35" s="4"/>
      <x:c r="I35" s="36" t="str">
        <x:f>IF(COUNTA(A35:C35,E35,G35:H35,J35:T35,V35:AB35)=0,"",IF(A35="","Review: missing entry ID",IF(COUNTIF($A$7:$A$506,A35)&gt;1,"Review: duplicate entry ID",IF(NOT(ISNUMBER(B35)),"Review: work date",IF(OR(C35="",E35="",K35="",M35="",H35=""),"Review: source details",IF(J35&lt;&gt;'Estimate review'!$J$5,"Review: project scope",IF(OR(NOT(ISNUMBER(N35)),N35&lt;0,O35&lt;&gt;"Complete"),"Review: duration",IF(S35&lt;&gt;"Coded","Review: coding status",IF(OR(U35="",COUNTIF('Project codes'!$A$7:$A$106,U35)=0),"Review: SOW mapping",IF(COUNTIF('Project codes'!$A$7:$A$106,U35)&gt;1,"Review: duplicate code",IF(_xlfn.XLOOKUP(U35,'Project codes'!$A$7:$A$106,'Project codes'!$F$7:$F$106,"Review",0)="Hold","Review: allocation hold",IF(OR(D35="",COUNTIF('SOW register'!$A$7:$A$36,D35)&lt;&gt;1),"Review: SOW mapping",IF(AND(G35&lt;&gt;"Yes",G35&lt;&gt;"No"),"Review: billability",IF(AB35="","Review: billing evidence","OK"))))))))))))))</x:f>
      </x:c>
      <x:c r="J35" s="24"/>
      <x:c r="K35" s="38"/>
      <x:c r="L35" s="38"/>
      <x:c r="M35" s="38"/>
      <x:c r="N35" s="39"/>
      <x:c r="O35" s="24"/>
      <x:c r="P35" s="24"/>
      <x:c r="Q35" s="38"/>
      <x:c r="R35" s="38"/>
      <x:c r="S35" s="24"/>
      <x:c r="T35" s="24"/>
      <x:c r="U35" s="37" t="str">
        <x:f>IF(OR(J35="",Q35="",R35=""),"",J35&amp;"|"&amp;Q35&amp;"|"&amp;R35)</x:f>
      </x:c>
      <x:c r="V35" s="24"/>
      <x:c r="W35" s="24"/>
      <x:c r="X35" s="40"/>
      <x:c r="Y35" s="40"/>
      <x:c r="Z35" s="39"/>
      <x:c r="AA35" s="39"/>
      <x:c r="AB35" s="24"/>
    </x:row>
    <x:row r="36" ht="23" customHeight="1">
      <x:c r="A36" s="20"/>
      <x:c r="B36" s="5"/>
      <x:c r="C36" s="4"/>
      <x:c r="D36" s="34" t="str">
        <x:f>IF(OR(A36="",U36="",COUNTIF('Project codes'!$A$7:$A$106,U36)&lt;&gt;1),"",_xlfn.XLOOKUP(U36,'Project codes'!$A$7:$A$106,'Project codes'!$I$7:$I$106,"",0))</x:f>
      </x:c>
      <x:c r="E36" s="4"/>
      <x:c r="F36" s="35" t="str">
        <x:f>IF(AND(ISNUMBER(N36),N36&gt;=0,O36="Complete"),N36/3600000,"")</x:f>
      </x:c>
      <x:c r="G36" s="4"/>
      <x:c r="H36" s="4"/>
      <x:c r="I36" s="36" t="str">
        <x:f>IF(COUNTA(A36:C36,E36,G36:H36,J36:T36,V36:AB36)=0,"",IF(A36="","Review: missing entry ID",IF(COUNTIF($A$7:$A$506,A36)&gt;1,"Review: duplicate entry ID",IF(NOT(ISNUMBER(B36)),"Review: work date",IF(OR(C36="",E36="",K36="",M36="",H36=""),"Review: source details",IF(J36&lt;&gt;'Estimate review'!$J$5,"Review: project scope",IF(OR(NOT(ISNUMBER(N36)),N36&lt;0,O36&lt;&gt;"Complete"),"Review: duration",IF(S36&lt;&gt;"Coded","Review: coding status",IF(OR(U36="",COUNTIF('Project codes'!$A$7:$A$106,U36)=0),"Review: SOW mapping",IF(COUNTIF('Project codes'!$A$7:$A$106,U36)&gt;1,"Review: duplicate code",IF(_xlfn.XLOOKUP(U36,'Project codes'!$A$7:$A$106,'Project codes'!$F$7:$F$106,"Review",0)="Hold","Review: allocation hold",IF(OR(D36="",COUNTIF('SOW register'!$A$7:$A$36,D36)&lt;&gt;1),"Review: SOW mapping",IF(AND(G36&lt;&gt;"Yes",G36&lt;&gt;"No"),"Review: billability",IF(AB36="","Review: billing evidence","OK"))))))))))))))</x:f>
      </x:c>
      <x:c r="J36" s="24"/>
      <x:c r="K36" s="38"/>
      <x:c r="L36" s="38"/>
      <x:c r="M36" s="38"/>
      <x:c r="N36" s="39"/>
      <x:c r="O36" s="24"/>
      <x:c r="P36" s="24"/>
      <x:c r="Q36" s="38"/>
      <x:c r="R36" s="38"/>
      <x:c r="S36" s="24"/>
      <x:c r="T36" s="24"/>
      <x:c r="U36" s="37" t="str">
        <x:f>IF(OR(J36="",Q36="",R36=""),"",J36&amp;"|"&amp;Q36&amp;"|"&amp;R36)</x:f>
      </x:c>
      <x:c r="V36" s="24"/>
      <x:c r="W36" s="24"/>
      <x:c r="X36" s="40"/>
      <x:c r="Y36" s="40"/>
      <x:c r="Z36" s="39"/>
      <x:c r="AA36" s="39"/>
      <x:c r="AB36" s="24"/>
    </x:row>
    <x:row r="37" ht="23" customHeight="1">
      <x:c r="A37" s="20"/>
      <x:c r="B37" s="5"/>
      <x:c r="C37" s="4"/>
      <x:c r="D37" s="34" t="str">
        <x:f>IF(OR(A37="",U37="",COUNTIF('Project codes'!$A$7:$A$106,U37)&lt;&gt;1),"",_xlfn.XLOOKUP(U37,'Project codes'!$A$7:$A$106,'Project codes'!$I$7:$I$106,"",0))</x:f>
      </x:c>
      <x:c r="E37" s="4"/>
      <x:c r="F37" s="35" t="str">
        <x:f>IF(AND(ISNUMBER(N37),N37&gt;=0,O37="Complete"),N37/3600000,"")</x:f>
      </x:c>
      <x:c r="G37" s="4"/>
      <x:c r="H37" s="4"/>
      <x:c r="I37" s="36" t="str">
        <x:f>IF(COUNTA(A37:C37,E37,G37:H37,J37:T37,V37:AB37)=0,"",IF(A37="","Review: missing entry ID",IF(COUNTIF($A$7:$A$506,A37)&gt;1,"Review: duplicate entry ID",IF(NOT(ISNUMBER(B37)),"Review: work date",IF(OR(C37="",E37="",K37="",M37="",H37=""),"Review: source details",IF(J37&lt;&gt;'Estimate review'!$J$5,"Review: project scope",IF(OR(NOT(ISNUMBER(N37)),N37&lt;0,O37&lt;&gt;"Complete"),"Review: duration",IF(S37&lt;&gt;"Coded","Review: coding status",IF(OR(U37="",COUNTIF('Project codes'!$A$7:$A$106,U37)=0),"Review: SOW mapping",IF(COUNTIF('Project codes'!$A$7:$A$106,U37)&gt;1,"Review: duplicate code",IF(_xlfn.XLOOKUP(U37,'Project codes'!$A$7:$A$106,'Project codes'!$F$7:$F$106,"Review",0)="Hold","Review: allocation hold",IF(OR(D37="",COUNTIF('SOW register'!$A$7:$A$36,D37)&lt;&gt;1),"Review: SOW mapping",IF(AND(G37&lt;&gt;"Yes",G37&lt;&gt;"No"),"Review: billability",IF(AB37="","Review: billing evidence","OK"))))))))))))))</x:f>
      </x:c>
      <x:c r="J37" s="24"/>
      <x:c r="K37" s="38"/>
      <x:c r="L37" s="38"/>
      <x:c r="M37" s="38"/>
      <x:c r="N37" s="39"/>
      <x:c r="O37" s="24"/>
      <x:c r="P37" s="24"/>
      <x:c r="Q37" s="38"/>
      <x:c r="R37" s="38"/>
      <x:c r="S37" s="24"/>
      <x:c r="T37" s="24"/>
      <x:c r="U37" s="37" t="str">
        <x:f>IF(OR(J37="",Q37="",R37=""),"",J37&amp;"|"&amp;Q37&amp;"|"&amp;R37)</x:f>
      </x:c>
      <x:c r="V37" s="24"/>
      <x:c r="W37" s="24"/>
      <x:c r="X37" s="40"/>
      <x:c r="Y37" s="40"/>
      <x:c r="Z37" s="39"/>
      <x:c r="AA37" s="39"/>
      <x:c r="AB37" s="24"/>
    </x:row>
    <x:row r="38" ht="23" customHeight="1">
      <x:c r="A38" s="20"/>
      <x:c r="B38" s="5"/>
      <x:c r="C38" s="4"/>
      <x:c r="D38" s="34" t="str">
        <x:f>IF(OR(A38="",U38="",COUNTIF('Project codes'!$A$7:$A$106,U38)&lt;&gt;1),"",_xlfn.XLOOKUP(U38,'Project codes'!$A$7:$A$106,'Project codes'!$I$7:$I$106,"",0))</x:f>
      </x:c>
      <x:c r="E38" s="4"/>
      <x:c r="F38" s="35" t="str">
        <x:f>IF(AND(ISNUMBER(N38),N38&gt;=0,O38="Complete"),N38/3600000,"")</x:f>
      </x:c>
      <x:c r="G38" s="4"/>
      <x:c r="H38" s="4"/>
      <x:c r="I38" s="36" t="str">
        <x:f>IF(COUNTA(A38:C38,E38,G38:H38,J38:T38,V38:AB38)=0,"",IF(A38="","Review: missing entry ID",IF(COUNTIF($A$7:$A$506,A38)&gt;1,"Review: duplicate entry ID",IF(NOT(ISNUMBER(B38)),"Review: work date",IF(OR(C38="",E38="",K38="",M38="",H38=""),"Review: source details",IF(J38&lt;&gt;'Estimate review'!$J$5,"Review: project scope",IF(OR(NOT(ISNUMBER(N38)),N38&lt;0,O38&lt;&gt;"Complete"),"Review: duration",IF(S38&lt;&gt;"Coded","Review: coding status",IF(OR(U38="",COUNTIF('Project codes'!$A$7:$A$106,U38)=0),"Review: SOW mapping",IF(COUNTIF('Project codes'!$A$7:$A$106,U38)&gt;1,"Review: duplicate code",IF(_xlfn.XLOOKUP(U38,'Project codes'!$A$7:$A$106,'Project codes'!$F$7:$F$106,"Review",0)="Hold","Review: allocation hold",IF(OR(D38="",COUNTIF('SOW register'!$A$7:$A$36,D38)&lt;&gt;1),"Review: SOW mapping",IF(AND(G38&lt;&gt;"Yes",G38&lt;&gt;"No"),"Review: billability",IF(AB38="","Review: billing evidence","OK"))))))))))))))</x:f>
      </x:c>
      <x:c r="J38" s="24"/>
      <x:c r="K38" s="38"/>
      <x:c r="L38" s="38"/>
      <x:c r="M38" s="38"/>
      <x:c r="N38" s="39"/>
      <x:c r="O38" s="24"/>
      <x:c r="P38" s="24"/>
      <x:c r="Q38" s="38"/>
      <x:c r="R38" s="38"/>
      <x:c r="S38" s="24"/>
      <x:c r="T38" s="24"/>
      <x:c r="U38" s="37" t="str">
        <x:f>IF(OR(J38="",Q38="",R38=""),"",J38&amp;"|"&amp;Q38&amp;"|"&amp;R38)</x:f>
      </x:c>
      <x:c r="V38" s="24"/>
      <x:c r="W38" s="24"/>
      <x:c r="X38" s="40"/>
      <x:c r="Y38" s="40"/>
      <x:c r="Z38" s="39"/>
      <x:c r="AA38" s="39"/>
      <x:c r="AB38" s="24"/>
    </x:row>
    <x:row r="39" ht="23" customHeight="1">
      <x:c r="A39" s="20"/>
      <x:c r="B39" s="5"/>
      <x:c r="C39" s="4"/>
      <x:c r="D39" s="34" t="str">
        <x:f>IF(OR(A39="",U39="",COUNTIF('Project codes'!$A$7:$A$106,U39)&lt;&gt;1),"",_xlfn.XLOOKUP(U39,'Project codes'!$A$7:$A$106,'Project codes'!$I$7:$I$106,"",0))</x:f>
      </x:c>
      <x:c r="E39" s="4"/>
      <x:c r="F39" s="35" t="str">
        <x:f>IF(AND(ISNUMBER(N39),N39&gt;=0,O39="Complete"),N39/3600000,"")</x:f>
      </x:c>
      <x:c r="G39" s="4"/>
      <x:c r="H39" s="4"/>
      <x:c r="I39" s="36" t="str">
        <x:f>IF(COUNTA(A39:C39,E39,G39:H39,J39:T39,V39:AB39)=0,"",IF(A39="","Review: missing entry ID",IF(COUNTIF($A$7:$A$506,A39)&gt;1,"Review: duplicate entry ID",IF(NOT(ISNUMBER(B39)),"Review: work date",IF(OR(C39="",E39="",K39="",M39="",H39=""),"Review: source details",IF(J39&lt;&gt;'Estimate review'!$J$5,"Review: project scope",IF(OR(NOT(ISNUMBER(N39)),N39&lt;0,O39&lt;&gt;"Complete"),"Review: duration",IF(S39&lt;&gt;"Coded","Review: coding status",IF(OR(U39="",COUNTIF('Project codes'!$A$7:$A$106,U39)=0),"Review: SOW mapping",IF(COUNTIF('Project codes'!$A$7:$A$106,U39)&gt;1,"Review: duplicate code",IF(_xlfn.XLOOKUP(U39,'Project codes'!$A$7:$A$106,'Project codes'!$F$7:$F$106,"Review",0)="Hold","Review: allocation hold",IF(OR(D39="",COUNTIF('SOW register'!$A$7:$A$36,D39)&lt;&gt;1),"Review: SOW mapping",IF(AND(G39&lt;&gt;"Yes",G39&lt;&gt;"No"),"Review: billability",IF(AB39="","Review: billing evidence","OK"))))))))))))))</x:f>
      </x:c>
      <x:c r="J39" s="24"/>
      <x:c r="K39" s="38"/>
      <x:c r="L39" s="38"/>
      <x:c r="M39" s="38"/>
      <x:c r="N39" s="39"/>
      <x:c r="O39" s="24"/>
      <x:c r="P39" s="24"/>
      <x:c r="Q39" s="38"/>
      <x:c r="R39" s="38"/>
      <x:c r="S39" s="24"/>
      <x:c r="T39" s="24"/>
      <x:c r="U39" s="37" t="str">
        <x:f>IF(OR(J39="",Q39="",R39=""),"",J39&amp;"|"&amp;Q39&amp;"|"&amp;R39)</x:f>
      </x:c>
      <x:c r="V39" s="24"/>
      <x:c r="W39" s="24"/>
      <x:c r="X39" s="40"/>
      <x:c r="Y39" s="40"/>
      <x:c r="Z39" s="39"/>
      <x:c r="AA39" s="39"/>
      <x:c r="AB39" s="24"/>
    </x:row>
    <x:row r="40" ht="23" customHeight="1">
      <x:c r="A40" s="20"/>
      <x:c r="B40" s="5"/>
      <x:c r="C40" s="4"/>
      <x:c r="D40" s="34" t="str">
        <x:f>IF(OR(A40="",U40="",COUNTIF('Project codes'!$A$7:$A$106,U40)&lt;&gt;1),"",_xlfn.XLOOKUP(U40,'Project codes'!$A$7:$A$106,'Project codes'!$I$7:$I$106,"",0))</x:f>
      </x:c>
      <x:c r="E40" s="4"/>
      <x:c r="F40" s="35" t="str">
        <x:f>IF(AND(ISNUMBER(N40),N40&gt;=0,O40="Complete"),N40/3600000,"")</x:f>
      </x:c>
      <x:c r="G40" s="4"/>
      <x:c r="H40" s="4"/>
      <x:c r="I40" s="36" t="str">
        <x:f>IF(COUNTA(A40:C40,E40,G40:H40,J40:T40,V40:AB40)=0,"",IF(A40="","Review: missing entry ID",IF(COUNTIF($A$7:$A$506,A40)&gt;1,"Review: duplicate entry ID",IF(NOT(ISNUMBER(B40)),"Review: work date",IF(OR(C40="",E40="",K40="",M40="",H40=""),"Review: source details",IF(J40&lt;&gt;'Estimate review'!$J$5,"Review: project scope",IF(OR(NOT(ISNUMBER(N40)),N40&lt;0,O40&lt;&gt;"Complete"),"Review: duration",IF(S40&lt;&gt;"Coded","Review: coding status",IF(OR(U40="",COUNTIF('Project codes'!$A$7:$A$106,U40)=0),"Review: SOW mapping",IF(COUNTIF('Project codes'!$A$7:$A$106,U40)&gt;1,"Review: duplicate code",IF(_xlfn.XLOOKUP(U40,'Project codes'!$A$7:$A$106,'Project codes'!$F$7:$F$106,"Review",0)="Hold","Review: allocation hold",IF(OR(D40="",COUNTIF('SOW register'!$A$7:$A$36,D40)&lt;&gt;1),"Review: SOW mapping",IF(AND(G40&lt;&gt;"Yes",G40&lt;&gt;"No"),"Review: billability",IF(AB40="","Review: billing evidence","OK"))))))))))))))</x:f>
      </x:c>
      <x:c r="J40" s="24"/>
      <x:c r="K40" s="38"/>
      <x:c r="L40" s="38"/>
      <x:c r="M40" s="38"/>
      <x:c r="N40" s="39"/>
      <x:c r="O40" s="24"/>
      <x:c r="P40" s="24"/>
      <x:c r="Q40" s="38"/>
      <x:c r="R40" s="38"/>
      <x:c r="S40" s="24"/>
      <x:c r="T40" s="24"/>
      <x:c r="U40" s="37" t="str">
        <x:f>IF(OR(J40="",Q40="",R40=""),"",J40&amp;"|"&amp;Q40&amp;"|"&amp;R40)</x:f>
      </x:c>
      <x:c r="V40" s="24"/>
      <x:c r="W40" s="24"/>
      <x:c r="X40" s="40"/>
      <x:c r="Y40" s="40"/>
      <x:c r="Z40" s="39"/>
      <x:c r="AA40" s="39"/>
      <x:c r="AB40" s="24"/>
    </x:row>
    <x:row r="41" ht="23" customHeight="1">
      <x:c r="A41" s="20"/>
      <x:c r="B41" s="5"/>
      <x:c r="C41" s="4"/>
      <x:c r="D41" s="34" t="str">
        <x:f>IF(OR(A41="",U41="",COUNTIF('Project codes'!$A$7:$A$106,U41)&lt;&gt;1),"",_xlfn.XLOOKUP(U41,'Project codes'!$A$7:$A$106,'Project codes'!$I$7:$I$106,"",0))</x:f>
      </x:c>
      <x:c r="E41" s="4"/>
      <x:c r="F41" s="35" t="str">
        <x:f>IF(AND(ISNUMBER(N41),N41&gt;=0,O41="Complete"),N41/3600000,"")</x:f>
      </x:c>
      <x:c r="G41" s="4"/>
      <x:c r="H41" s="4"/>
      <x:c r="I41" s="36" t="str">
        <x:f>IF(COUNTA(A41:C41,E41,G41:H41,J41:T41,V41:AB41)=0,"",IF(A41="","Review: missing entry ID",IF(COUNTIF($A$7:$A$506,A41)&gt;1,"Review: duplicate entry ID",IF(NOT(ISNUMBER(B41)),"Review: work date",IF(OR(C41="",E41="",K41="",M41="",H41=""),"Review: source details",IF(J41&lt;&gt;'Estimate review'!$J$5,"Review: project scope",IF(OR(NOT(ISNUMBER(N41)),N41&lt;0,O41&lt;&gt;"Complete"),"Review: duration",IF(S41&lt;&gt;"Coded","Review: coding status",IF(OR(U41="",COUNTIF('Project codes'!$A$7:$A$106,U41)=0),"Review: SOW mapping",IF(COUNTIF('Project codes'!$A$7:$A$106,U41)&gt;1,"Review: duplicate code",IF(_xlfn.XLOOKUP(U41,'Project codes'!$A$7:$A$106,'Project codes'!$F$7:$F$106,"Review",0)="Hold","Review: allocation hold",IF(OR(D41="",COUNTIF('SOW register'!$A$7:$A$36,D41)&lt;&gt;1),"Review: SOW mapping",IF(AND(G41&lt;&gt;"Yes",G41&lt;&gt;"No"),"Review: billability",IF(AB41="","Review: billing evidence","OK"))))))))))))))</x:f>
      </x:c>
      <x:c r="J41" s="24"/>
      <x:c r="K41" s="38"/>
      <x:c r="L41" s="38"/>
      <x:c r="M41" s="38"/>
      <x:c r="N41" s="39"/>
      <x:c r="O41" s="24"/>
      <x:c r="P41" s="24"/>
      <x:c r="Q41" s="38"/>
      <x:c r="R41" s="38"/>
      <x:c r="S41" s="24"/>
      <x:c r="T41" s="24"/>
      <x:c r="U41" s="37" t="str">
        <x:f>IF(OR(J41="",Q41="",R41=""),"",J41&amp;"|"&amp;Q41&amp;"|"&amp;R41)</x:f>
      </x:c>
      <x:c r="V41" s="24"/>
      <x:c r="W41" s="24"/>
      <x:c r="X41" s="40"/>
      <x:c r="Y41" s="40"/>
      <x:c r="Z41" s="39"/>
      <x:c r="AA41" s="39"/>
      <x:c r="AB41" s="24"/>
    </x:row>
    <x:row r="42" ht="23" customHeight="1">
      <x:c r="A42" s="20"/>
      <x:c r="B42" s="5"/>
      <x:c r="C42" s="4"/>
      <x:c r="D42" s="34" t="str">
        <x:f>IF(OR(A42="",U42="",COUNTIF('Project codes'!$A$7:$A$106,U42)&lt;&gt;1),"",_xlfn.XLOOKUP(U42,'Project codes'!$A$7:$A$106,'Project codes'!$I$7:$I$106,"",0))</x:f>
      </x:c>
      <x:c r="E42" s="4"/>
      <x:c r="F42" s="35" t="str">
        <x:f>IF(AND(ISNUMBER(N42),N42&gt;=0,O42="Complete"),N42/3600000,"")</x:f>
      </x:c>
      <x:c r="G42" s="4"/>
      <x:c r="H42" s="4"/>
      <x:c r="I42" s="36" t="str">
        <x:f>IF(COUNTA(A42:C42,E42,G42:H42,J42:T42,V42:AB42)=0,"",IF(A42="","Review: missing entry ID",IF(COUNTIF($A$7:$A$506,A42)&gt;1,"Review: duplicate entry ID",IF(NOT(ISNUMBER(B42)),"Review: work date",IF(OR(C42="",E42="",K42="",M42="",H42=""),"Review: source details",IF(J42&lt;&gt;'Estimate review'!$J$5,"Review: project scope",IF(OR(NOT(ISNUMBER(N42)),N42&lt;0,O42&lt;&gt;"Complete"),"Review: duration",IF(S42&lt;&gt;"Coded","Review: coding status",IF(OR(U42="",COUNTIF('Project codes'!$A$7:$A$106,U42)=0),"Review: SOW mapping",IF(COUNTIF('Project codes'!$A$7:$A$106,U42)&gt;1,"Review: duplicate code",IF(_xlfn.XLOOKUP(U42,'Project codes'!$A$7:$A$106,'Project codes'!$F$7:$F$106,"Review",0)="Hold","Review: allocation hold",IF(OR(D42="",COUNTIF('SOW register'!$A$7:$A$36,D42)&lt;&gt;1),"Review: SOW mapping",IF(AND(G42&lt;&gt;"Yes",G42&lt;&gt;"No"),"Review: billability",IF(AB42="","Review: billing evidence","OK"))))))))))))))</x:f>
      </x:c>
      <x:c r="J42" s="24"/>
      <x:c r="K42" s="38"/>
      <x:c r="L42" s="38"/>
      <x:c r="M42" s="38"/>
      <x:c r="N42" s="39"/>
      <x:c r="O42" s="24"/>
      <x:c r="P42" s="24"/>
      <x:c r="Q42" s="38"/>
      <x:c r="R42" s="38"/>
      <x:c r="S42" s="24"/>
      <x:c r="T42" s="24"/>
      <x:c r="U42" s="37" t="str">
        <x:f>IF(OR(J42="",Q42="",R42=""),"",J42&amp;"|"&amp;Q42&amp;"|"&amp;R42)</x:f>
      </x:c>
      <x:c r="V42" s="24"/>
      <x:c r="W42" s="24"/>
      <x:c r="X42" s="40"/>
      <x:c r="Y42" s="40"/>
      <x:c r="Z42" s="39"/>
      <x:c r="AA42" s="39"/>
      <x:c r="AB42" s="24"/>
    </x:row>
    <x:row r="43" ht="23" customHeight="1">
      <x:c r="A43" s="20"/>
      <x:c r="B43" s="5"/>
      <x:c r="C43" s="4"/>
      <x:c r="D43" s="34" t="str">
        <x:f>IF(OR(A43="",U43="",COUNTIF('Project codes'!$A$7:$A$106,U43)&lt;&gt;1),"",_xlfn.XLOOKUP(U43,'Project codes'!$A$7:$A$106,'Project codes'!$I$7:$I$106,"",0))</x:f>
      </x:c>
      <x:c r="E43" s="4"/>
      <x:c r="F43" s="35" t="str">
        <x:f>IF(AND(ISNUMBER(N43),N43&gt;=0,O43="Complete"),N43/3600000,"")</x:f>
      </x:c>
      <x:c r="G43" s="4"/>
      <x:c r="H43" s="4"/>
      <x:c r="I43" s="36" t="str">
        <x:f>IF(COUNTA(A43:C43,E43,G43:H43,J43:T43,V43:AB43)=0,"",IF(A43="","Review: missing entry ID",IF(COUNTIF($A$7:$A$506,A43)&gt;1,"Review: duplicate entry ID",IF(NOT(ISNUMBER(B43)),"Review: work date",IF(OR(C43="",E43="",K43="",M43="",H43=""),"Review: source details",IF(J43&lt;&gt;'Estimate review'!$J$5,"Review: project scope",IF(OR(NOT(ISNUMBER(N43)),N43&lt;0,O43&lt;&gt;"Complete"),"Review: duration",IF(S43&lt;&gt;"Coded","Review: coding status",IF(OR(U43="",COUNTIF('Project codes'!$A$7:$A$106,U43)=0),"Review: SOW mapping",IF(COUNTIF('Project codes'!$A$7:$A$106,U43)&gt;1,"Review: duplicate code",IF(_xlfn.XLOOKUP(U43,'Project codes'!$A$7:$A$106,'Project codes'!$F$7:$F$106,"Review",0)="Hold","Review: allocation hold",IF(OR(D43="",COUNTIF('SOW register'!$A$7:$A$36,D43)&lt;&gt;1),"Review: SOW mapping",IF(AND(G43&lt;&gt;"Yes",G43&lt;&gt;"No"),"Review: billability",IF(AB43="","Review: billing evidence","OK"))))))))))))))</x:f>
      </x:c>
      <x:c r="J43" s="24"/>
      <x:c r="K43" s="38"/>
      <x:c r="L43" s="38"/>
      <x:c r="M43" s="38"/>
      <x:c r="N43" s="39"/>
      <x:c r="O43" s="24"/>
      <x:c r="P43" s="24"/>
      <x:c r="Q43" s="38"/>
      <x:c r="R43" s="38"/>
      <x:c r="S43" s="24"/>
      <x:c r="T43" s="24"/>
      <x:c r="U43" s="37" t="str">
        <x:f>IF(OR(J43="",Q43="",R43=""),"",J43&amp;"|"&amp;Q43&amp;"|"&amp;R43)</x:f>
      </x:c>
      <x:c r="V43" s="24"/>
      <x:c r="W43" s="24"/>
      <x:c r="X43" s="40"/>
      <x:c r="Y43" s="40"/>
      <x:c r="Z43" s="39"/>
      <x:c r="AA43" s="39"/>
      <x:c r="AB43" s="24"/>
    </x:row>
    <x:row r="44" ht="23" customHeight="1">
      <x:c r="A44" s="20"/>
      <x:c r="B44" s="5"/>
      <x:c r="C44" s="4"/>
      <x:c r="D44" s="34" t="str">
        <x:f>IF(OR(A44="",U44="",COUNTIF('Project codes'!$A$7:$A$106,U44)&lt;&gt;1),"",_xlfn.XLOOKUP(U44,'Project codes'!$A$7:$A$106,'Project codes'!$I$7:$I$106,"",0))</x:f>
      </x:c>
      <x:c r="E44" s="4"/>
      <x:c r="F44" s="35" t="str">
        <x:f>IF(AND(ISNUMBER(N44),N44&gt;=0,O44="Complete"),N44/3600000,"")</x:f>
      </x:c>
      <x:c r="G44" s="4"/>
      <x:c r="H44" s="4"/>
      <x:c r="I44" s="36" t="str">
        <x:f>IF(COUNTA(A44:C44,E44,G44:H44,J44:T44,V44:AB44)=0,"",IF(A44="","Review: missing entry ID",IF(COUNTIF($A$7:$A$506,A44)&gt;1,"Review: duplicate entry ID",IF(NOT(ISNUMBER(B44)),"Review: work date",IF(OR(C44="",E44="",K44="",M44="",H44=""),"Review: source details",IF(J44&lt;&gt;'Estimate review'!$J$5,"Review: project scope",IF(OR(NOT(ISNUMBER(N44)),N44&lt;0,O44&lt;&gt;"Complete"),"Review: duration",IF(S44&lt;&gt;"Coded","Review: coding status",IF(OR(U44="",COUNTIF('Project codes'!$A$7:$A$106,U44)=0),"Review: SOW mapping",IF(COUNTIF('Project codes'!$A$7:$A$106,U44)&gt;1,"Review: duplicate code",IF(_xlfn.XLOOKUP(U44,'Project codes'!$A$7:$A$106,'Project codes'!$F$7:$F$106,"Review",0)="Hold","Review: allocation hold",IF(OR(D44="",COUNTIF('SOW register'!$A$7:$A$36,D44)&lt;&gt;1),"Review: SOW mapping",IF(AND(G44&lt;&gt;"Yes",G44&lt;&gt;"No"),"Review: billability",IF(AB44="","Review: billing evidence","OK"))))))))))))))</x:f>
      </x:c>
      <x:c r="J44" s="24"/>
      <x:c r="K44" s="38"/>
      <x:c r="L44" s="38"/>
      <x:c r="M44" s="38"/>
      <x:c r="N44" s="39"/>
      <x:c r="O44" s="24"/>
      <x:c r="P44" s="24"/>
      <x:c r="Q44" s="38"/>
      <x:c r="R44" s="38"/>
      <x:c r="S44" s="24"/>
      <x:c r="T44" s="24"/>
      <x:c r="U44" s="37" t="str">
        <x:f>IF(OR(J44="",Q44="",R44=""),"",J44&amp;"|"&amp;Q44&amp;"|"&amp;R44)</x:f>
      </x:c>
      <x:c r="V44" s="24"/>
      <x:c r="W44" s="24"/>
      <x:c r="X44" s="40"/>
      <x:c r="Y44" s="40"/>
      <x:c r="Z44" s="39"/>
      <x:c r="AA44" s="39"/>
      <x:c r="AB44" s="24"/>
    </x:row>
    <x:row r="45" ht="23" customHeight="1">
      <x:c r="A45" s="20"/>
      <x:c r="B45" s="5"/>
      <x:c r="C45" s="4"/>
      <x:c r="D45" s="34" t="str">
        <x:f>IF(OR(A45="",U45="",COUNTIF('Project codes'!$A$7:$A$106,U45)&lt;&gt;1),"",_xlfn.XLOOKUP(U45,'Project codes'!$A$7:$A$106,'Project codes'!$I$7:$I$106,"",0))</x:f>
      </x:c>
      <x:c r="E45" s="4"/>
      <x:c r="F45" s="35" t="str">
        <x:f>IF(AND(ISNUMBER(N45),N45&gt;=0,O45="Complete"),N45/3600000,"")</x:f>
      </x:c>
      <x:c r="G45" s="4"/>
      <x:c r="H45" s="4"/>
      <x:c r="I45" s="36" t="str">
        <x:f>IF(COUNTA(A45:C45,E45,G45:H45,J45:T45,V45:AB45)=0,"",IF(A45="","Review: missing entry ID",IF(COUNTIF($A$7:$A$506,A45)&gt;1,"Review: duplicate entry ID",IF(NOT(ISNUMBER(B45)),"Review: work date",IF(OR(C45="",E45="",K45="",M45="",H45=""),"Review: source details",IF(J45&lt;&gt;'Estimate review'!$J$5,"Review: project scope",IF(OR(NOT(ISNUMBER(N45)),N45&lt;0,O45&lt;&gt;"Complete"),"Review: duration",IF(S45&lt;&gt;"Coded","Review: coding status",IF(OR(U45="",COUNTIF('Project codes'!$A$7:$A$106,U45)=0),"Review: SOW mapping",IF(COUNTIF('Project codes'!$A$7:$A$106,U45)&gt;1,"Review: duplicate code",IF(_xlfn.XLOOKUP(U45,'Project codes'!$A$7:$A$106,'Project codes'!$F$7:$F$106,"Review",0)="Hold","Review: allocation hold",IF(OR(D45="",COUNTIF('SOW register'!$A$7:$A$36,D45)&lt;&gt;1),"Review: SOW mapping",IF(AND(G45&lt;&gt;"Yes",G45&lt;&gt;"No"),"Review: billability",IF(AB45="","Review: billing evidence","OK"))))))))))))))</x:f>
      </x:c>
      <x:c r="J45" s="24"/>
      <x:c r="K45" s="38"/>
      <x:c r="L45" s="38"/>
      <x:c r="M45" s="38"/>
      <x:c r="N45" s="39"/>
      <x:c r="O45" s="24"/>
      <x:c r="P45" s="24"/>
      <x:c r="Q45" s="38"/>
      <x:c r="R45" s="38"/>
      <x:c r="S45" s="24"/>
      <x:c r="T45" s="24"/>
      <x:c r="U45" s="37" t="str">
        <x:f>IF(OR(J45="",Q45="",R45=""),"",J45&amp;"|"&amp;Q45&amp;"|"&amp;R45)</x:f>
      </x:c>
      <x:c r="V45" s="24"/>
      <x:c r="W45" s="24"/>
      <x:c r="X45" s="40"/>
      <x:c r="Y45" s="40"/>
      <x:c r="Z45" s="39"/>
      <x:c r="AA45" s="39"/>
      <x:c r="AB45" s="24"/>
    </x:row>
    <x:row r="46" ht="23" customHeight="1">
      <x:c r="A46" s="20"/>
      <x:c r="B46" s="5"/>
      <x:c r="C46" s="4"/>
      <x:c r="D46" s="34" t="str">
        <x:f>IF(OR(A46="",U46="",COUNTIF('Project codes'!$A$7:$A$106,U46)&lt;&gt;1),"",_xlfn.XLOOKUP(U46,'Project codes'!$A$7:$A$106,'Project codes'!$I$7:$I$106,"",0))</x:f>
      </x:c>
      <x:c r="E46" s="4"/>
      <x:c r="F46" s="35" t="str">
        <x:f>IF(AND(ISNUMBER(N46),N46&gt;=0,O46="Complete"),N46/3600000,"")</x:f>
      </x:c>
      <x:c r="G46" s="4"/>
      <x:c r="H46" s="4"/>
      <x:c r="I46" s="36" t="str">
        <x:f>IF(COUNTA(A46:C46,E46,G46:H46,J46:T46,V46:AB46)=0,"",IF(A46="","Review: missing entry ID",IF(COUNTIF($A$7:$A$506,A46)&gt;1,"Review: duplicate entry ID",IF(NOT(ISNUMBER(B46)),"Review: work date",IF(OR(C46="",E46="",K46="",M46="",H46=""),"Review: source details",IF(J46&lt;&gt;'Estimate review'!$J$5,"Review: project scope",IF(OR(NOT(ISNUMBER(N46)),N46&lt;0,O46&lt;&gt;"Complete"),"Review: duration",IF(S46&lt;&gt;"Coded","Review: coding status",IF(OR(U46="",COUNTIF('Project codes'!$A$7:$A$106,U46)=0),"Review: SOW mapping",IF(COUNTIF('Project codes'!$A$7:$A$106,U46)&gt;1,"Review: duplicate code",IF(_xlfn.XLOOKUP(U46,'Project codes'!$A$7:$A$106,'Project codes'!$F$7:$F$106,"Review",0)="Hold","Review: allocation hold",IF(OR(D46="",COUNTIF('SOW register'!$A$7:$A$36,D46)&lt;&gt;1),"Review: SOW mapping",IF(AND(G46&lt;&gt;"Yes",G46&lt;&gt;"No"),"Review: billability",IF(AB46="","Review: billing evidence","OK"))))))))))))))</x:f>
      </x:c>
      <x:c r="J46" s="24"/>
      <x:c r="K46" s="38"/>
      <x:c r="L46" s="38"/>
      <x:c r="M46" s="38"/>
      <x:c r="N46" s="39"/>
      <x:c r="O46" s="24"/>
      <x:c r="P46" s="24"/>
      <x:c r="Q46" s="38"/>
      <x:c r="R46" s="38"/>
      <x:c r="S46" s="24"/>
      <x:c r="T46" s="24"/>
      <x:c r="U46" s="37" t="str">
        <x:f>IF(OR(J46="",Q46="",R46=""),"",J46&amp;"|"&amp;Q46&amp;"|"&amp;R46)</x:f>
      </x:c>
      <x:c r="V46" s="24"/>
      <x:c r="W46" s="24"/>
      <x:c r="X46" s="40"/>
      <x:c r="Y46" s="40"/>
      <x:c r="Z46" s="39"/>
      <x:c r="AA46" s="39"/>
      <x:c r="AB46" s="24"/>
    </x:row>
    <x:row r="47" ht="23" customHeight="1">
      <x:c r="A47" s="20"/>
      <x:c r="B47" s="5"/>
      <x:c r="C47" s="4"/>
      <x:c r="D47" s="34" t="str">
        <x:f>IF(OR(A47="",U47="",COUNTIF('Project codes'!$A$7:$A$106,U47)&lt;&gt;1),"",_xlfn.XLOOKUP(U47,'Project codes'!$A$7:$A$106,'Project codes'!$I$7:$I$106,"",0))</x:f>
      </x:c>
      <x:c r="E47" s="4"/>
      <x:c r="F47" s="35" t="str">
        <x:f>IF(AND(ISNUMBER(N47),N47&gt;=0,O47="Complete"),N47/3600000,"")</x:f>
      </x:c>
      <x:c r="G47" s="4"/>
      <x:c r="H47" s="4"/>
      <x:c r="I47" s="36" t="str">
        <x:f>IF(COUNTA(A47:C47,E47,G47:H47,J47:T47,V47:AB47)=0,"",IF(A47="","Review: missing entry ID",IF(COUNTIF($A$7:$A$506,A47)&gt;1,"Review: duplicate entry ID",IF(NOT(ISNUMBER(B47)),"Review: work date",IF(OR(C47="",E47="",K47="",M47="",H47=""),"Review: source details",IF(J47&lt;&gt;'Estimate review'!$J$5,"Review: project scope",IF(OR(NOT(ISNUMBER(N47)),N47&lt;0,O47&lt;&gt;"Complete"),"Review: duration",IF(S47&lt;&gt;"Coded","Review: coding status",IF(OR(U47="",COUNTIF('Project codes'!$A$7:$A$106,U47)=0),"Review: SOW mapping",IF(COUNTIF('Project codes'!$A$7:$A$106,U47)&gt;1,"Review: duplicate code",IF(_xlfn.XLOOKUP(U47,'Project codes'!$A$7:$A$106,'Project codes'!$F$7:$F$106,"Review",0)="Hold","Review: allocation hold",IF(OR(D47="",COUNTIF('SOW register'!$A$7:$A$36,D47)&lt;&gt;1),"Review: SOW mapping",IF(AND(G47&lt;&gt;"Yes",G47&lt;&gt;"No"),"Review: billability",IF(AB47="","Review: billing evidence","OK"))))))))))))))</x:f>
      </x:c>
      <x:c r="J47" s="24"/>
      <x:c r="K47" s="38"/>
      <x:c r="L47" s="38"/>
      <x:c r="M47" s="38"/>
      <x:c r="N47" s="39"/>
      <x:c r="O47" s="24"/>
      <x:c r="P47" s="24"/>
      <x:c r="Q47" s="38"/>
      <x:c r="R47" s="38"/>
      <x:c r="S47" s="24"/>
      <x:c r="T47" s="24"/>
      <x:c r="U47" s="37" t="str">
        <x:f>IF(OR(J47="",Q47="",R47=""),"",J47&amp;"|"&amp;Q47&amp;"|"&amp;R47)</x:f>
      </x:c>
      <x:c r="V47" s="24"/>
      <x:c r="W47" s="24"/>
      <x:c r="X47" s="40"/>
      <x:c r="Y47" s="40"/>
      <x:c r="Z47" s="39"/>
      <x:c r="AA47" s="39"/>
      <x:c r="AB47" s="24"/>
    </x:row>
    <x:row r="48" ht="23" customHeight="1">
      <x:c r="A48" s="20"/>
      <x:c r="B48" s="5"/>
      <x:c r="C48" s="4"/>
      <x:c r="D48" s="34" t="str">
        <x:f>IF(OR(A48="",U48="",COUNTIF('Project codes'!$A$7:$A$106,U48)&lt;&gt;1),"",_xlfn.XLOOKUP(U48,'Project codes'!$A$7:$A$106,'Project codes'!$I$7:$I$106,"",0))</x:f>
      </x:c>
      <x:c r="E48" s="4"/>
      <x:c r="F48" s="35" t="str">
        <x:f>IF(AND(ISNUMBER(N48),N48&gt;=0,O48="Complete"),N48/3600000,"")</x:f>
      </x:c>
      <x:c r="G48" s="4"/>
      <x:c r="H48" s="4"/>
      <x:c r="I48" s="36" t="str">
        <x:f>IF(COUNTA(A48:C48,E48,G48:H48,J48:T48,V48:AB48)=0,"",IF(A48="","Review: missing entry ID",IF(COUNTIF($A$7:$A$506,A48)&gt;1,"Review: duplicate entry ID",IF(NOT(ISNUMBER(B48)),"Review: work date",IF(OR(C48="",E48="",K48="",M48="",H48=""),"Review: source details",IF(J48&lt;&gt;'Estimate review'!$J$5,"Review: project scope",IF(OR(NOT(ISNUMBER(N48)),N48&lt;0,O48&lt;&gt;"Complete"),"Review: duration",IF(S48&lt;&gt;"Coded","Review: coding status",IF(OR(U48="",COUNTIF('Project codes'!$A$7:$A$106,U48)=0),"Review: SOW mapping",IF(COUNTIF('Project codes'!$A$7:$A$106,U48)&gt;1,"Review: duplicate code",IF(_xlfn.XLOOKUP(U48,'Project codes'!$A$7:$A$106,'Project codes'!$F$7:$F$106,"Review",0)="Hold","Review: allocation hold",IF(OR(D48="",COUNTIF('SOW register'!$A$7:$A$36,D48)&lt;&gt;1),"Review: SOW mapping",IF(AND(G48&lt;&gt;"Yes",G48&lt;&gt;"No"),"Review: billability",IF(AB48="","Review: billing evidence","OK"))))))))))))))</x:f>
      </x:c>
      <x:c r="J48" s="24"/>
      <x:c r="K48" s="38"/>
      <x:c r="L48" s="38"/>
      <x:c r="M48" s="38"/>
      <x:c r="N48" s="39"/>
      <x:c r="O48" s="24"/>
      <x:c r="P48" s="24"/>
      <x:c r="Q48" s="38"/>
      <x:c r="R48" s="38"/>
      <x:c r="S48" s="24"/>
      <x:c r="T48" s="24"/>
      <x:c r="U48" s="37" t="str">
        <x:f>IF(OR(J48="",Q48="",R48=""),"",J48&amp;"|"&amp;Q48&amp;"|"&amp;R48)</x:f>
      </x:c>
      <x:c r="V48" s="24"/>
      <x:c r="W48" s="24"/>
      <x:c r="X48" s="40"/>
      <x:c r="Y48" s="40"/>
      <x:c r="Z48" s="39"/>
      <x:c r="AA48" s="39"/>
      <x:c r="AB48" s="24"/>
    </x:row>
    <x:row r="49" ht="23" customHeight="1">
      <x:c r="A49" s="20"/>
      <x:c r="B49" s="5"/>
      <x:c r="C49" s="4"/>
      <x:c r="D49" s="34" t="str">
        <x:f>IF(OR(A49="",U49="",COUNTIF('Project codes'!$A$7:$A$106,U49)&lt;&gt;1),"",_xlfn.XLOOKUP(U49,'Project codes'!$A$7:$A$106,'Project codes'!$I$7:$I$106,"",0))</x:f>
      </x:c>
      <x:c r="E49" s="4"/>
      <x:c r="F49" s="35" t="str">
        <x:f>IF(AND(ISNUMBER(N49),N49&gt;=0,O49="Complete"),N49/3600000,"")</x:f>
      </x:c>
      <x:c r="G49" s="4"/>
      <x:c r="H49" s="4"/>
      <x:c r="I49" s="36" t="str">
        <x:f>IF(COUNTA(A49:C49,E49,G49:H49,J49:T49,V49:AB49)=0,"",IF(A49="","Review: missing entry ID",IF(COUNTIF($A$7:$A$506,A49)&gt;1,"Review: duplicate entry ID",IF(NOT(ISNUMBER(B49)),"Review: work date",IF(OR(C49="",E49="",K49="",M49="",H49=""),"Review: source details",IF(J49&lt;&gt;'Estimate review'!$J$5,"Review: project scope",IF(OR(NOT(ISNUMBER(N49)),N49&lt;0,O49&lt;&gt;"Complete"),"Review: duration",IF(S49&lt;&gt;"Coded","Review: coding status",IF(OR(U49="",COUNTIF('Project codes'!$A$7:$A$106,U49)=0),"Review: SOW mapping",IF(COUNTIF('Project codes'!$A$7:$A$106,U49)&gt;1,"Review: duplicate code",IF(_xlfn.XLOOKUP(U49,'Project codes'!$A$7:$A$106,'Project codes'!$F$7:$F$106,"Review",0)="Hold","Review: allocation hold",IF(OR(D49="",COUNTIF('SOW register'!$A$7:$A$36,D49)&lt;&gt;1),"Review: SOW mapping",IF(AND(G49&lt;&gt;"Yes",G49&lt;&gt;"No"),"Review: billability",IF(AB49="","Review: billing evidence","OK"))))))))))))))</x:f>
      </x:c>
      <x:c r="J49" s="24"/>
      <x:c r="K49" s="38"/>
      <x:c r="L49" s="38"/>
      <x:c r="M49" s="38"/>
      <x:c r="N49" s="39"/>
      <x:c r="O49" s="24"/>
      <x:c r="P49" s="24"/>
      <x:c r="Q49" s="38"/>
      <x:c r="R49" s="38"/>
      <x:c r="S49" s="24"/>
      <x:c r="T49" s="24"/>
      <x:c r="U49" s="37" t="str">
        <x:f>IF(OR(J49="",Q49="",R49=""),"",J49&amp;"|"&amp;Q49&amp;"|"&amp;R49)</x:f>
      </x:c>
      <x:c r="V49" s="24"/>
      <x:c r="W49" s="24"/>
      <x:c r="X49" s="40"/>
      <x:c r="Y49" s="40"/>
      <x:c r="Z49" s="39"/>
      <x:c r="AA49" s="39"/>
      <x:c r="AB49" s="24"/>
    </x:row>
    <x:row r="50" ht="23" customHeight="1">
      <x:c r="A50" s="20"/>
      <x:c r="B50" s="5"/>
      <x:c r="C50" s="4"/>
      <x:c r="D50" s="34" t="str">
        <x:f>IF(OR(A50="",U50="",COUNTIF('Project codes'!$A$7:$A$106,U50)&lt;&gt;1),"",_xlfn.XLOOKUP(U50,'Project codes'!$A$7:$A$106,'Project codes'!$I$7:$I$106,"",0))</x:f>
      </x:c>
      <x:c r="E50" s="4"/>
      <x:c r="F50" s="35" t="str">
        <x:f>IF(AND(ISNUMBER(N50),N50&gt;=0,O50="Complete"),N50/3600000,"")</x:f>
      </x:c>
      <x:c r="G50" s="4"/>
      <x:c r="H50" s="4"/>
      <x:c r="I50" s="36" t="str">
        <x:f>IF(COUNTA(A50:C50,E50,G50:H50,J50:T50,V50:AB50)=0,"",IF(A50="","Review: missing entry ID",IF(COUNTIF($A$7:$A$506,A50)&gt;1,"Review: duplicate entry ID",IF(NOT(ISNUMBER(B50)),"Review: work date",IF(OR(C50="",E50="",K50="",M50="",H50=""),"Review: source details",IF(J50&lt;&gt;'Estimate review'!$J$5,"Review: project scope",IF(OR(NOT(ISNUMBER(N50)),N50&lt;0,O50&lt;&gt;"Complete"),"Review: duration",IF(S50&lt;&gt;"Coded","Review: coding status",IF(OR(U50="",COUNTIF('Project codes'!$A$7:$A$106,U50)=0),"Review: SOW mapping",IF(COUNTIF('Project codes'!$A$7:$A$106,U50)&gt;1,"Review: duplicate code",IF(_xlfn.XLOOKUP(U50,'Project codes'!$A$7:$A$106,'Project codes'!$F$7:$F$106,"Review",0)="Hold","Review: allocation hold",IF(OR(D50="",COUNTIF('SOW register'!$A$7:$A$36,D50)&lt;&gt;1),"Review: SOW mapping",IF(AND(G50&lt;&gt;"Yes",G50&lt;&gt;"No"),"Review: billability",IF(AB50="","Review: billing evidence","OK"))))))))))))))</x:f>
      </x:c>
      <x:c r="J50" s="24"/>
      <x:c r="K50" s="38"/>
      <x:c r="L50" s="38"/>
      <x:c r="M50" s="38"/>
      <x:c r="N50" s="39"/>
      <x:c r="O50" s="24"/>
      <x:c r="P50" s="24"/>
      <x:c r="Q50" s="38"/>
      <x:c r="R50" s="38"/>
      <x:c r="S50" s="24"/>
      <x:c r="T50" s="24"/>
      <x:c r="U50" s="37" t="str">
        <x:f>IF(OR(J50="",Q50="",R50=""),"",J50&amp;"|"&amp;Q50&amp;"|"&amp;R50)</x:f>
      </x:c>
      <x:c r="V50" s="24"/>
      <x:c r="W50" s="24"/>
      <x:c r="X50" s="40"/>
      <x:c r="Y50" s="40"/>
      <x:c r="Z50" s="39"/>
      <x:c r="AA50" s="39"/>
      <x:c r="AB50" s="24"/>
    </x:row>
    <x:row r="51" ht="23" customHeight="1">
      <x:c r="A51" s="20"/>
      <x:c r="B51" s="5"/>
      <x:c r="C51" s="4"/>
      <x:c r="D51" s="34" t="str">
        <x:f>IF(OR(A51="",U51="",COUNTIF('Project codes'!$A$7:$A$106,U51)&lt;&gt;1),"",_xlfn.XLOOKUP(U51,'Project codes'!$A$7:$A$106,'Project codes'!$I$7:$I$106,"",0))</x:f>
      </x:c>
      <x:c r="E51" s="4"/>
      <x:c r="F51" s="35" t="str">
        <x:f>IF(AND(ISNUMBER(N51),N51&gt;=0,O51="Complete"),N51/3600000,"")</x:f>
      </x:c>
      <x:c r="G51" s="4"/>
      <x:c r="H51" s="4"/>
      <x:c r="I51" s="36" t="str">
        <x:f>IF(COUNTA(A51:C51,E51,G51:H51,J51:T51,V51:AB51)=0,"",IF(A51="","Review: missing entry ID",IF(COUNTIF($A$7:$A$506,A51)&gt;1,"Review: duplicate entry ID",IF(NOT(ISNUMBER(B51)),"Review: work date",IF(OR(C51="",E51="",K51="",M51="",H51=""),"Review: source details",IF(J51&lt;&gt;'Estimate review'!$J$5,"Review: project scope",IF(OR(NOT(ISNUMBER(N51)),N51&lt;0,O51&lt;&gt;"Complete"),"Review: duration",IF(S51&lt;&gt;"Coded","Review: coding status",IF(OR(U51="",COUNTIF('Project codes'!$A$7:$A$106,U51)=0),"Review: SOW mapping",IF(COUNTIF('Project codes'!$A$7:$A$106,U51)&gt;1,"Review: duplicate code",IF(_xlfn.XLOOKUP(U51,'Project codes'!$A$7:$A$106,'Project codes'!$F$7:$F$106,"Review",0)="Hold","Review: allocation hold",IF(OR(D51="",COUNTIF('SOW register'!$A$7:$A$36,D51)&lt;&gt;1),"Review: SOW mapping",IF(AND(G51&lt;&gt;"Yes",G51&lt;&gt;"No"),"Review: billability",IF(AB51="","Review: billing evidence","OK"))))))))))))))</x:f>
      </x:c>
      <x:c r="J51" s="24"/>
      <x:c r="K51" s="38"/>
      <x:c r="L51" s="38"/>
      <x:c r="M51" s="38"/>
      <x:c r="N51" s="39"/>
      <x:c r="O51" s="24"/>
      <x:c r="P51" s="24"/>
      <x:c r="Q51" s="38"/>
      <x:c r="R51" s="38"/>
      <x:c r="S51" s="24"/>
      <x:c r="T51" s="24"/>
      <x:c r="U51" s="37" t="str">
        <x:f>IF(OR(J51="",Q51="",R51=""),"",J51&amp;"|"&amp;Q51&amp;"|"&amp;R51)</x:f>
      </x:c>
      <x:c r="V51" s="24"/>
      <x:c r="W51" s="24"/>
      <x:c r="X51" s="40"/>
      <x:c r="Y51" s="40"/>
      <x:c r="Z51" s="39"/>
      <x:c r="AA51" s="39"/>
      <x:c r="AB51" s="24"/>
    </x:row>
    <x:row r="52" ht="23" customHeight="1">
      <x:c r="A52" s="20"/>
      <x:c r="B52" s="5"/>
      <x:c r="C52" s="4"/>
      <x:c r="D52" s="34" t="str">
        <x:f>IF(OR(A52="",U52="",COUNTIF('Project codes'!$A$7:$A$106,U52)&lt;&gt;1),"",_xlfn.XLOOKUP(U52,'Project codes'!$A$7:$A$106,'Project codes'!$I$7:$I$106,"",0))</x:f>
      </x:c>
      <x:c r="E52" s="4"/>
      <x:c r="F52" s="35" t="str">
        <x:f>IF(AND(ISNUMBER(N52),N52&gt;=0,O52="Complete"),N52/3600000,"")</x:f>
      </x:c>
      <x:c r="G52" s="4"/>
      <x:c r="H52" s="4"/>
      <x:c r="I52" s="36" t="str">
        <x:f>IF(COUNTA(A52:C52,E52,G52:H52,J52:T52,V52:AB52)=0,"",IF(A52="","Review: missing entry ID",IF(COUNTIF($A$7:$A$506,A52)&gt;1,"Review: duplicate entry ID",IF(NOT(ISNUMBER(B52)),"Review: work date",IF(OR(C52="",E52="",K52="",M52="",H52=""),"Review: source details",IF(J52&lt;&gt;'Estimate review'!$J$5,"Review: project scope",IF(OR(NOT(ISNUMBER(N52)),N52&lt;0,O52&lt;&gt;"Complete"),"Review: duration",IF(S52&lt;&gt;"Coded","Review: coding status",IF(OR(U52="",COUNTIF('Project codes'!$A$7:$A$106,U52)=0),"Review: SOW mapping",IF(COUNTIF('Project codes'!$A$7:$A$106,U52)&gt;1,"Review: duplicate code",IF(_xlfn.XLOOKUP(U52,'Project codes'!$A$7:$A$106,'Project codes'!$F$7:$F$106,"Review",0)="Hold","Review: allocation hold",IF(OR(D52="",COUNTIF('SOW register'!$A$7:$A$36,D52)&lt;&gt;1),"Review: SOW mapping",IF(AND(G52&lt;&gt;"Yes",G52&lt;&gt;"No"),"Review: billability",IF(AB52="","Review: billing evidence","OK"))))))))))))))</x:f>
      </x:c>
      <x:c r="J52" s="24"/>
      <x:c r="K52" s="38"/>
      <x:c r="L52" s="38"/>
      <x:c r="M52" s="38"/>
      <x:c r="N52" s="39"/>
      <x:c r="O52" s="24"/>
      <x:c r="P52" s="24"/>
      <x:c r="Q52" s="38"/>
      <x:c r="R52" s="38"/>
      <x:c r="S52" s="24"/>
      <x:c r="T52" s="24"/>
      <x:c r="U52" s="37" t="str">
        <x:f>IF(OR(J52="",Q52="",R52=""),"",J52&amp;"|"&amp;Q52&amp;"|"&amp;R52)</x:f>
      </x:c>
      <x:c r="V52" s="24"/>
      <x:c r="W52" s="24"/>
      <x:c r="X52" s="40"/>
      <x:c r="Y52" s="40"/>
      <x:c r="Z52" s="39"/>
      <x:c r="AA52" s="39"/>
      <x:c r="AB52" s="24"/>
    </x:row>
    <x:row r="53" ht="23" customHeight="1">
      <x:c r="A53" s="20"/>
      <x:c r="B53" s="5"/>
      <x:c r="C53" s="4"/>
      <x:c r="D53" s="34" t="str">
        <x:f>IF(OR(A53="",U53="",COUNTIF('Project codes'!$A$7:$A$106,U53)&lt;&gt;1),"",_xlfn.XLOOKUP(U53,'Project codes'!$A$7:$A$106,'Project codes'!$I$7:$I$106,"",0))</x:f>
      </x:c>
      <x:c r="E53" s="4"/>
      <x:c r="F53" s="35" t="str">
        <x:f>IF(AND(ISNUMBER(N53),N53&gt;=0,O53="Complete"),N53/3600000,"")</x:f>
      </x:c>
      <x:c r="G53" s="4"/>
      <x:c r="H53" s="4"/>
      <x:c r="I53" s="36" t="str">
        <x:f>IF(COUNTA(A53:C53,E53,G53:H53,J53:T53,V53:AB53)=0,"",IF(A53="","Review: missing entry ID",IF(COUNTIF($A$7:$A$506,A53)&gt;1,"Review: duplicate entry ID",IF(NOT(ISNUMBER(B53)),"Review: work date",IF(OR(C53="",E53="",K53="",M53="",H53=""),"Review: source details",IF(J53&lt;&gt;'Estimate review'!$J$5,"Review: project scope",IF(OR(NOT(ISNUMBER(N53)),N53&lt;0,O53&lt;&gt;"Complete"),"Review: duration",IF(S53&lt;&gt;"Coded","Review: coding status",IF(OR(U53="",COUNTIF('Project codes'!$A$7:$A$106,U53)=0),"Review: SOW mapping",IF(COUNTIF('Project codes'!$A$7:$A$106,U53)&gt;1,"Review: duplicate code",IF(_xlfn.XLOOKUP(U53,'Project codes'!$A$7:$A$106,'Project codes'!$F$7:$F$106,"Review",0)="Hold","Review: allocation hold",IF(OR(D53="",COUNTIF('SOW register'!$A$7:$A$36,D53)&lt;&gt;1),"Review: SOW mapping",IF(AND(G53&lt;&gt;"Yes",G53&lt;&gt;"No"),"Review: billability",IF(AB53="","Review: billing evidence","OK"))))))))))))))</x:f>
      </x:c>
      <x:c r="J53" s="24"/>
      <x:c r="K53" s="38"/>
      <x:c r="L53" s="38"/>
      <x:c r="M53" s="38"/>
      <x:c r="N53" s="39"/>
      <x:c r="O53" s="24"/>
      <x:c r="P53" s="24"/>
      <x:c r="Q53" s="38"/>
      <x:c r="R53" s="38"/>
      <x:c r="S53" s="24"/>
      <x:c r="T53" s="24"/>
      <x:c r="U53" s="37" t="str">
        <x:f>IF(OR(J53="",Q53="",R53=""),"",J53&amp;"|"&amp;Q53&amp;"|"&amp;R53)</x:f>
      </x:c>
      <x:c r="V53" s="24"/>
      <x:c r="W53" s="24"/>
      <x:c r="X53" s="40"/>
      <x:c r="Y53" s="40"/>
      <x:c r="Z53" s="39"/>
      <x:c r="AA53" s="39"/>
      <x:c r="AB53" s="24"/>
    </x:row>
    <x:row r="54" ht="23" customHeight="1">
      <x:c r="A54" s="20"/>
      <x:c r="B54" s="5"/>
      <x:c r="C54" s="4"/>
      <x:c r="D54" s="34" t="str">
        <x:f>IF(OR(A54="",U54="",COUNTIF('Project codes'!$A$7:$A$106,U54)&lt;&gt;1),"",_xlfn.XLOOKUP(U54,'Project codes'!$A$7:$A$106,'Project codes'!$I$7:$I$106,"",0))</x:f>
      </x:c>
      <x:c r="E54" s="4"/>
      <x:c r="F54" s="35" t="str">
        <x:f>IF(AND(ISNUMBER(N54),N54&gt;=0,O54="Complete"),N54/3600000,"")</x:f>
      </x:c>
      <x:c r="G54" s="4"/>
      <x:c r="H54" s="4"/>
      <x:c r="I54" s="36" t="str">
        <x:f>IF(COUNTA(A54:C54,E54,G54:H54,J54:T54,V54:AB54)=0,"",IF(A54="","Review: missing entry ID",IF(COUNTIF($A$7:$A$506,A54)&gt;1,"Review: duplicate entry ID",IF(NOT(ISNUMBER(B54)),"Review: work date",IF(OR(C54="",E54="",K54="",M54="",H54=""),"Review: source details",IF(J54&lt;&gt;'Estimate review'!$J$5,"Review: project scope",IF(OR(NOT(ISNUMBER(N54)),N54&lt;0,O54&lt;&gt;"Complete"),"Review: duration",IF(S54&lt;&gt;"Coded","Review: coding status",IF(OR(U54="",COUNTIF('Project codes'!$A$7:$A$106,U54)=0),"Review: SOW mapping",IF(COUNTIF('Project codes'!$A$7:$A$106,U54)&gt;1,"Review: duplicate code",IF(_xlfn.XLOOKUP(U54,'Project codes'!$A$7:$A$106,'Project codes'!$F$7:$F$106,"Review",0)="Hold","Review: allocation hold",IF(OR(D54="",COUNTIF('SOW register'!$A$7:$A$36,D54)&lt;&gt;1),"Review: SOW mapping",IF(AND(G54&lt;&gt;"Yes",G54&lt;&gt;"No"),"Review: billability",IF(AB54="","Review: billing evidence","OK"))))))))))))))</x:f>
      </x:c>
      <x:c r="J54" s="24"/>
      <x:c r="K54" s="38"/>
      <x:c r="L54" s="38"/>
      <x:c r="M54" s="38"/>
      <x:c r="N54" s="39"/>
      <x:c r="O54" s="24"/>
      <x:c r="P54" s="24"/>
      <x:c r="Q54" s="38"/>
      <x:c r="R54" s="38"/>
      <x:c r="S54" s="24"/>
      <x:c r="T54" s="24"/>
      <x:c r="U54" s="37" t="str">
        <x:f>IF(OR(J54="",Q54="",R54=""),"",J54&amp;"|"&amp;Q54&amp;"|"&amp;R54)</x:f>
      </x:c>
      <x:c r="V54" s="24"/>
      <x:c r="W54" s="24"/>
      <x:c r="X54" s="40"/>
      <x:c r="Y54" s="40"/>
      <x:c r="Z54" s="39"/>
      <x:c r="AA54" s="39"/>
      <x:c r="AB54" s="24"/>
    </x:row>
    <x:row r="55" ht="23" customHeight="1">
      <x:c r="A55" s="20"/>
      <x:c r="B55" s="5"/>
      <x:c r="C55" s="4"/>
      <x:c r="D55" s="34" t="str">
        <x:f>IF(OR(A55="",U55="",COUNTIF('Project codes'!$A$7:$A$106,U55)&lt;&gt;1),"",_xlfn.XLOOKUP(U55,'Project codes'!$A$7:$A$106,'Project codes'!$I$7:$I$106,"",0))</x:f>
      </x:c>
      <x:c r="E55" s="4"/>
      <x:c r="F55" s="35" t="str">
        <x:f>IF(AND(ISNUMBER(N55),N55&gt;=0,O55="Complete"),N55/3600000,"")</x:f>
      </x:c>
      <x:c r="G55" s="4"/>
      <x:c r="H55" s="4"/>
      <x:c r="I55" s="36" t="str">
        <x:f>IF(COUNTA(A55:C55,E55,G55:H55,J55:T55,V55:AB55)=0,"",IF(A55="","Review: missing entry ID",IF(COUNTIF($A$7:$A$506,A55)&gt;1,"Review: duplicate entry ID",IF(NOT(ISNUMBER(B55)),"Review: work date",IF(OR(C55="",E55="",K55="",M55="",H55=""),"Review: source details",IF(J55&lt;&gt;'Estimate review'!$J$5,"Review: project scope",IF(OR(NOT(ISNUMBER(N55)),N55&lt;0,O55&lt;&gt;"Complete"),"Review: duration",IF(S55&lt;&gt;"Coded","Review: coding status",IF(OR(U55="",COUNTIF('Project codes'!$A$7:$A$106,U55)=0),"Review: SOW mapping",IF(COUNTIF('Project codes'!$A$7:$A$106,U55)&gt;1,"Review: duplicate code",IF(_xlfn.XLOOKUP(U55,'Project codes'!$A$7:$A$106,'Project codes'!$F$7:$F$106,"Review",0)="Hold","Review: allocation hold",IF(OR(D55="",COUNTIF('SOW register'!$A$7:$A$36,D55)&lt;&gt;1),"Review: SOW mapping",IF(AND(G55&lt;&gt;"Yes",G55&lt;&gt;"No"),"Review: billability",IF(AB55="","Review: billing evidence","OK"))))))))))))))</x:f>
      </x:c>
      <x:c r="J55" s="24"/>
      <x:c r="K55" s="38"/>
      <x:c r="L55" s="38"/>
      <x:c r="M55" s="38"/>
      <x:c r="N55" s="39"/>
      <x:c r="O55" s="24"/>
      <x:c r="P55" s="24"/>
      <x:c r="Q55" s="38"/>
      <x:c r="R55" s="38"/>
      <x:c r="S55" s="24"/>
      <x:c r="T55" s="24"/>
      <x:c r="U55" s="37" t="str">
        <x:f>IF(OR(J55="",Q55="",R55=""),"",J55&amp;"|"&amp;Q55&amp;"|"&amp;R55)</x:f>
      </x:c>
      <x:c r="V55" s="24"/>
      <x:c r="W55" s="24"/>
      <x:c r="X55" s="40"/>
      <x:c r="Y55" s="40"/>
      <x:c r="Z55" s="39"/>
      <x:c r="AA55" s="39"/>
      <x:c r="AB55" s="24"/>
    </x:row>
    <x:row r="56" ht="23" customHeight="1">
      <x:c r="A56" s="20"/>
      <x:c r="B56" s="5"/>
      <x:c r="C56" s="4"/>
      <x:c r="D56" s="34" t="str">
        <x:f>IF(OR(A56="",U56="",COUNTIF('Project codes'!$A$7:$A$106,U56)&lt;&gt;1),"",_xlfn.XLOOKUP(U56,'Project codes'!$A$7:$A$106,'Project codes'!$I$7:$I$106,"",0))</x:f>
      </x:c>
      <x:c r="E56" s="4"/>
      <x:c r="F56" s="35" t="str">
        <x:f>IF(AND(ISNUMBER(N56),N56&gt;=0,O56="Complete"),N56/3600000,"")</x:f>
      </x:c>
      <x:c r="G56" s="4"/>
      <x:c r="H56" s="4"/>
      <x:c r="I56" s="36" t="str">
        <x:f>IF(COUNTA(A56:C56,E56,G56:H56,J56:T56,V56:AB56)=0,"",IF(A56="","Review: missing entry ID",IF(COUNTIF($A$7:$A$506,A56)&gt;1,"Review: duplicate entry ID",IF(NOT(ISNUMBER(B56)),"Review: work date",IF(OR(C56="",E56="",K56="",M56="",H56=""),"Review: source details",IF(J56&lt;&gt;'Estimate review'!$J$5,"Review: project scope",IF(OR(NOT(ISNUMBER(N56)),N56&lt;0,O56&lt;&gt;"Complete"),"Review: duration",IF(S56&lt;&gt;"Coded","Review: coding status",IF(OR(U56="",COUNTIF('Project codes'!$A$7:$A$106,U56)=0),"Review: SOW mapping",IF(COUNTIF('Project codes'!$A$7:$A$106,U56)&gt;1,"Review: duplicate code",IF(_xlfn.XLOOKUP(U56,'Project codes'!$A$7:$A$106,'Project codes'!$F$7:$F$106,"Review",0)="Hold","Review: allocation hold",IF(OR(D56="",COUNTIF('SOW register'!$A$7:$A$36,D56)&lt;&gt;1),"Review: SOW mapping",IF(AND(G56&lt;&gt;"Yes",G56&lt;&gt;"No"),"Review: billability",IF(AB56="","Review: billing evidence","OK"))))))))))))))</x:f>
      </x:c>
      <x:c r="J56" s="24"/>
      <x:c r="K56" s="38"/>
      <x:c r="L56" s="38"/>
      <x:c r="M56" s="38"/>
      <x:c r="N56" s="39"/>
      <x:c r="O56" s="24"/>
      <x:c r="P56" s="24"/>
      <x:c r="Q56" s="38"/>
      <x:c r="R56" s="38"/>
      <x:c r="S56" s="24"/>
      <x:c r="T56" s="24"/>
      <x:c r="U56" s="37" t="str">
        <x:f>IF(OR(J56="",Q56="",R56=""),"",J56&amp;"|"&amp;Q56&amp;"|"&amp;R56)</x:f>
      </x:c>
      <x:c r="V56" s="24"/>
      <x:c r="W56" s="24"/>
      <x:c r="X56" s="40"/>
      <x:c r="Y56" s="40"/>
      <x:c r="Z56" s="39"/>
      <x:c r="AA56" s="39"/>
      <x:c r="AB56" s="24"/>
    </x:row>
    <x:row r="57" ht="23" customHeight="1">
      <x:c r="A57" s="20"/>
      <x:c r="B57" s="5"/>
      <x:c r="C57" s="4"/>
      <x:c r="D57" s="34" t="str">
        <x:f>IF(OR(A57="",U57="",COUNTIF('Project codes'!$A$7:$A$106,U57)&lt;&gt;1),"",_xlfn.XLOOKUP(U57,'Project codes'!$A$7:$A$106,'Project codes'!$I$7:$I$106,"",0))</x:f>
      </x:c>
      <x:c r="E57" s="4"/>
      <x:c r="F57" s="35" t="str">
        <x:f>IF(AND(ISNUMBER(N57),N57&gt;=0,O57="Complete"),N57/3600000,"")</x:f>
      </x:c>
      <x:c r="G57" s="4"/>
      <x:c r="H57" s="4"/>
      <x:c r="I57" s="36" t="str">
        <x:f>IF(COUNTA(A57:C57,E57,G57:H57,J57:T57,V57:AB57)=0,"",IF(A57="","Review: missing entry ID",IF(COUNTIF($A$7:$A$506,A57)&gt;1,"Review: duplicate entry ID",IF(NOT(ISNUMBER(B57)),"Review: work date",IF(OR(C57="",E57="",K57="",M57="",H57=""),"Review: source details",IF(J57&lt;&gt;'Estimate review'!$J$5,"Review: project scope",IF(OR(NOT(ISNUMBER(N57)),N57&lt;0,O57&lt;&gt;"Complete"),"Review: duration",IF(S57&lt;&gt;"Coded","Review: coding status",IF(OR(U57="",COUNTIF('Project codes'!$A$7:$A$106,U57)=0),"Review: SOW mapping",IF(COUNTIF('Project codes'!$A$7:$A$106,U57)&gt;1,"Review: duplicate code",IF(_xlfn.XLOOKUP(U57,'Project codes'!$A$7:$A$106,'Project codes'!$F$7:$F$106,"Review",0)="Hold","Review: allocation hold",IF(OR(D57="",COUNTIF('SOW register'!$A$7:$A$36,D57)&lt;&gt;1),"Review: SOW mapping",IF(AND(G57&lt;&gt;"Yes",G57&lt;&gt;"No"),"Review: billability",IF(AB57="","Review: billing evidence","OK"))))))))))))))</x:f>
      </x:c>
      <x:c r="J57" s="24"/>
      <x:c r="K57" s="38"/>
      <x:c r="L57" s="38"/>
      <x:c r="M57" s="38"/>
      <x:c r="N57" s="39"/>
      <x:c r="O57" s="24"/>
      <x:c r="P57" s="24"/>
      <x:c r="Q57" s="38"/>
      <x:c r="R57" s="38"/>
      <x:c r="S57" s="24"/>
      <x:c r="T57" s="24"/>
      <x:c r="U57" s="37" t="str">
        <x:f>IF(OR(J57="",Q57="",R57=""),"",J57&amp;"|"&amp;Q57&amp;"|"&amp;R57)</x:f>
      </x:c>
      <x:c r="V57" s="24"/>
      <x:c r="W57" s="24"/>
      <x:c r="X57" s="40"/>
      <x:c r="Y57" s="40"/>
      <x:c r="Z57" s="39"/>
      <x:c r="AA57" s="39"/>
      <x:c r="AB57" s="24"/>
    </x:row>
    <x:row r="58" ht="23" customHeight="1">
      <x:c r="A58" s="20"/>
      <x:c r="B58" s="5"/>
      <x:c r="C58" s="4"/>
      <x:c r="D58" s="34" t="str">
        <x:f>IF(OR(A58="",U58="",COUNTIF('Project codes'!$A$7:$A$106,U58)&lt;&gt;1),"",_xlfn.XLOOKUP(U58,'Project codes'!$A$7:$A$106,'Project codes'!$I$7:$I$106,"",0))</x:f>
      </x:c>
      <x:c r="E58" s="4"/>
      <x:c r="F58" s="35" t="str">
        <x:f>IF(AND(ISNUMBER(N58),N58&gt;=0,O58="Complete"),N58/3600000,"")</x:f>
      </x:c>
      <x:c r="G58" s="4"/>
      <x:c r="H58" s="4"/>
      <x:c r="I58" s="36" t="str">
        <x:f>IF(COUNTA(A58:C58,E58,G58:H58,J58:T58,V58:AB58)=0,"",IF(A58="","Review: missing entry ID",IF(COUNTIF($A$7:$A$506,A58)&gt;1,"Review: duplicate entry ID",IF(NOT(ISNUMBER(B58)),"Review: work date",IF(OR(C58="",E58="",K58="",M58="",H58=""),"Review: source details",IF(J58&lt;&gt;'Estimate review'!$J$5,"Review: project scope",IF(OR(NOT(ISNUMBER(N58)),N58&lt;0,O58&lt;&gt;"Complete"),"Review: duration",IF(S58&lt;&gt;"Coded","Review: coding status",IF(OR(U58="",COUNTIF('Project codes'!$A$7:$A$106,U58)=0),"Review: SOW mapping",IF(COUNTIF('Project codes'!$A$7:$A$106,U58)&gt;1,"Review: duplicate code",IF(_xlfn.XLOOKUP(U58,'Project codes'!$A$7:$A$106,'Project codes'!$F$7:$F$106,"Review",0)="Hold","Review: allocation hold",IF(OR(D58="",COUNTIF('SOW register'!$A$7:$A$36,D58)&lt;&gt;1),"Review: SOW mapping",IF(AND(G58&lt;&gt;"Yes",G58&lt;&gt;"No"),"Review: billability",IF(AB58="","Review: billing evidence","OK"))))))))))))))</x:f>
      </x:c>
      <x:c r="J58" s="24"/>
      <x:c r="K58" s="38"/>
      <x:c r="L58" s="38"/>
      <x:c r="M58" s="38"/>
      <x:c r="N58" s="39"/>
      <x:c r="O58" s="24"/>
      <x:c r="P58" s="24"/>
      <x:c r="Q58" s="38"/>
      <x:c r="R58" s="38"/>
      <x:c r="S58" s="24"/>
      <x:c r="T58" s="24"/>
      <x:c r="U58" s="37" t="str">
        <x:f>IF(OR(J58="",Q58="",R58=""),"",J58&amp;"|"&amp;Q58&amp;"|"&amp;R58)</x:f>
      </x:c>
      <x:c r="V58" s="24"/>
      <x:c r="W58" s="24"/>
      <x:c r="X58" s="40"/>
      <x:c r="Y58" s="40"/>
      <x:c r="Z58" s="39"/>
      <x:c r="AA58" s="39"/>
      <x:c r="AB58" s="24"/>
    </x:row>
    <x:row r="59" ht="23" customHeight="1">
      <x:c r="A59" s="20"/>
      <x:c r="B59" s="5"/>
      <x:c r="C59" s="4"/>
      <x:c r="D59" s="34" t="str">
        <x:f>IF(OR(A59="",U59="",COUNTIF('Project codes'!$A$7:$A$106,U59)&lt;&gt;1),"",_xlfn.XLOOKUP(U59,'Project codes'!$A$7:$A$106,'Project codes'!$I$7:$I$106,"",0))</x:f>
      </x:c>
      <x:c r="E59" s="4"/>
      <x:c r="F59" s="35" t="str">
        <x:f>IF(AND(ISNUMBER(N59),N59&gt;=0,O59="Complete"),N59/3600000,"")</x:f>
      </x:c>
      <x:c r="G59" s="4"/>
      <x:c r="H59" s="4"/>
      <x:c r="I59" s="36" t="str">
        <x:f>IF(COUNTA(A59:C59,E59,G59:H59,J59:T59,V59:AB59)=0,"",IF(A59="","Review: missing entry ID",IF(COUNTIF($A$7:$A$506,A59)&gt;1,"Review: duplicate entry ID",IF(NOT(ISNUMBER(B59)),"Review: work date",IF(OR(C59="",E59="",K59="",M59="",H59=""),"Review: source details",IF(J59&lt;&gt;'Estimate review'!$J$5,"Review: project scope",IF(OR(NOT(ISNUMBER(N59)),N59&lt;0,O59&lt;&gt;"Complete"),"Review: duration",IF(S59&lt;&gt;"Coded","Review: coding status",IF(OR(U59="",COUNTIF('Project codes'!$A$7:$A$106,U59)=0),"Review: SOW mapping",IF(COUNTIF('Project codes'!$A$7:$A$106,U59)&gt;1,"Review: duplicate code",IF(_xlfn.XLOOKUP(U59,'Project codes'!$A$7:$A$106,'Project codes'!$F$7:$F$106,"Review",0)="Hold","Review: allocation hold",IF(OR(D59="",COUNTIF('SOW register'!$A$7:$A$36,D59)&lt;&gt;1),"Review: SOW mapping",IF(AND(G59&lt;&gt;"Yes",G59&lt;&gt;"No"),"Review: billability",IF(AB59="","Review: billing evidence","OK"))))))))))))))</x:f>
      </x:c>
      <x:c r="J59" s="24"/>
      <x:c r="K59" s="38"/>
      <x:c r="L59" s="38"/>
      <x:c r="M59" s="38"/>
      <x:c r="N59" s="39"/>
      <x:c r="O59" s="24"/>
      <x:c r="P59" s="24"/>
      <x:c r="Q59" s="38"/>
      <x:c r="R59" s="38"/>
      <x:c r="S59" s="24"/>
      <x:c r="T59" s="24"/>
      <x:c r="U59" s="37" t="str">
        <x:f>IF(OR(J59="",Q59="",R59=""),"",J59&amp;"|"&amp;Q59&amp;"|"&amp;R59)</x:f>
      </x:c>
      <x:c r="V59" s="24"/>
      <x:c r="W59" s="24"/>
      <x:c r="X59" s="40"/>
      <x:c r="Y59" s="40"/>
      <x:c r="Z59" s="39"/>
      <x:c r="AA59" s="39"/>
      <x:c r="AB59" s="24"/>
    </x:row>
    <x:row r="60" ht="23" customHeight="1">
      <x:c r="A60" s="20"/>
      <x:c r="B60" s="5"/>
      <x:c r="C60" s="4"/>
      <x:c r="D60" s="34" t="str">
        <x:f>IF(OR(A60="",U60="",COUNTIF('Project codes'!$A$7:$A$106,U60)&lt;&gt;1),"",_xlfn.XLOOKUP(U60,'Project codes'!$A$7:$A$106,'Project codes'!$I$7:$I$106,"",0))</x:f>
      </x:c>
      <x:c r="E60" s="4"/>
      <x:c r="F60" s="35" t="str">
        <x:f>IF(AND(ISNUMBER(N60),N60&gt;=0,O60="Complete"),N60/3600000,"")</x:f>
      </x:c>
      <x:c r="G60" s="4"/>
      <x:c r="H60" s="4"/>
      <x:c r="I60" s="36" t="str">
        <x:f>IF(COUNTA(A60:C60,E60,G60:H60,J60:T60,V60:AB60)=0,"",IF(A60="","Review: missing entry ID",IF(COUNTIF($A$7:$A$506,A60)&gt;1,"Review: duplicate entry ID",IF(NOT(ISNUMBER(B60)),"Review: work date",IF(OR(C60="",E60="",K60="",M60="",H60=""),"Review: source details",IF(J60&lt;&gt;'Estimate review'!$J$5,"Review: project scope",IF(OR(NOT(ISNUMBER(N60)),N60&lt;0,O60&lt;&gt;"Complete"),"Review: duration",IF(S60&lt;&gt;"Coded","Review: coding status",IF(OR(U60="",COUNTIF('Project codes'!$A$7:$A$106,U60)=0),"Review: SOW mapping",IF(COUNTIF('Project codes'!$A$7:$A$106,U60)&gt;1,"Review: duplicate code",IF(_xlfn.XLOOKUP(U60,'Project codes'!$A$7:$A$106,'Project codes'!$F$7:$F$106,"Review",0)="Hold","Review: allocation hold",IF(OR(D60="",COUNTIF('SOW register'!$A$7:$A$36,D60)&lt;&gt;1),"Review: SOW mapping",IF(AND(G60&lt;&gt;"Yes",G60&lt;&gt;"No"),"Review: billability",IF(AB60="","Review: billing evidence","OK"))))))))))))))</x:f>
      </x:c>
      <x:c r="J60" s="24"/>
      <x:c r="K60" s="38"/>
      <x:c r="L60" s="38"/>
      <x:c r="M60" s="38"/>
      <x:c r="N60" s="39"/>
      <x:c r="O60" s="24"/>
      <x:c r="P60" s="24"/>
      <x:c r="Q60" s="38"/>
      <x:c r="R60" s="38"/>
      <x:c r="S60" s="24"/>
      <x:c r="T60" s="24"/>
      <x:c r="U60" s="37" t="str">
        <x:f>IF(OR(J60="",Q60="",R60=""),"",J60&amp;"|"&amp;Q60&amp;"|"&amp;R60)</x:f>
      </x:c>
      <x:c r="V60" s="24"/>
      <x:c r="W60" s="24"/>
      <x:c r="X60" s="40"/>
      <x:c r="Y60" s="40"/>
      <x:c r="Z60" s="39"/>
      <x:c r="AA60" s="39"/>
      <x:c r="AB60" s="24"/>
    </x:row>
    <x:row r="61" ht="23" customHeight="1">
      <x:c r="A61" s="20"/>
      <x:c r="B61" s="5"/>
      <x:c r="C61" s="4"/>
      <x:c r="D61" s="34" t="str">
        <x:f>IF(OR(A61="",U61="",COUNTIF('Project codes'!$A$7:$A$106,U61)&lt;&gt;1),"",_xlfn.XLOOKUP(U61,'Project codes'!$A$7:$A$106,'Project codes'!$I$7:$I$106,"",0))</x:f>
      </x:c>
      <x:c r="E61" s="4"/>
      <x:c r="F61" s="35" t="str">
        <x:f>IF(AND(ISNUMBER(N61),N61&gt;=0,O61="Complete"),N61/3600000,"")</x:f>
      </x:c>
      <x:c r="G61" s="4"/>
      <x:c r="H61" s="4"/>
      <x:c r="I61" s="36" t="str">
        <x:f>IF(COUNTA(A61:C61,E61,G61:H61,J61:T61,V61:AB61)=0,"",IF(A61="","Review: missing entry ID",IF(COUNTIF($A$7:$A$506,A61)&gt;1,"Review: duplicate entry ID",IF(NOT(ISNUMBER(B61)),"Review: work date",IF(OR(C61="",E61="",K61="",M61="",H61=""),"Review: source details",IF(J61&lt;&gt;'Estimate review'!$J$5,"Review: project scope",IF(OR(NOT(ISNUMBER(N61)),N61&lt;0,O61&lt;&gt;"Complete"),"Review: duration",IF(S61&lt;&gt;"Coded","Review: coding status",IF(OR(U61="",COUNTIF('Project codes'!$A$7:$A$106,U61)=0),"Review: SOW mapping",IF(COUNTIF('Project codes'!$A$7:$A$106,U61)&gt;1,"Review: duplicate code",IF(_xlfn.XLOOKUP(U61,'Project codes'!$A$7:$A$106,'Project codes'!$F$7:$F$106,"Review",0)="Hold","Review: allocation hold",IF(OR(D61="",COUNTIF('SOW register'!$A$7:$A$36,D61)&lt;&gt;1),"Review: SOW mapping",IF(AND(G61&lt;&gt;"Yes",G61&lt;&gt;"No"),"Review: billability",IF(AB61="","Review: billing evidence","OK"))))))))))))))</x:f>
      </x:c>
      <x:c r="J61" s="24"/>
      <x:c r="K61" s="38"/>
      <x:c r="L61" s="38"/>
      <x:c r="M61" s="38"/>
      <x:c r="N61" s="39"/>
      <x:c r="O61" s="24"/>
      <x:c r="P61" s="24"/>
      <x:c r="Q61" s="38"/>
      <x:c r="R61" s="38"/>
      <x:c r="S61" s="24"/>
      <x:c r="T61" s="24"/>
      <x:c r="U61" s="37" t="str">
        <x:f>IF(OR(J61="",Q61="",R61=""),"",J61&amp;"|"&amp;Q61&amp;"|"&amp;R61)</x:f>
      </x:c>
      <x:c r="V61" s="24"/>
      <x:c r="W61" s="24"/>
      <x:c r="X61" s="40"/>
      <x:c r="Y61" s="40"/>
      <x:c r="Z61" s="39"/>
      <x:c r="AA61" s="39"/>
      <x:c r="AB61" s="24"/>
    </x:row>
    <x:row r="62" ht="23" customHeight="1">
      <x:c r="A62" s="20"/>
      <x:c r="B62" s="5"/>
      <x:c r="C62" s="4"/>
      <x:c r="D62" s="34" t="str">
        <x:f>IF(OR(A62="",U62="",COUNTIF('Project codes'!$A$7:$A$106,U62)&lt;&gt;1),"",_xlfn.XLOOKUP(U62,'Project codes'!$A$7:$A$106,'Project codes'!$I$7:$I$106,"",0))</x:f>
      </x:c>
      <x:c r="E62" s="4"/>
      <x:c r="F62" s="35" t="str">
        <x:f>IF(AND(ISNUMBER(N62),N62&gt;=0,O62="Complete"),N62/3600000,"")</x:f>
      </x:c>
      <x:c r="G62" s="4"/>
      <x:c r="H62" s="4"/>
      <x:c r="I62" s="36" t="str">
        <x:f>IF(COUNTA(A62:C62,E62,G62:H62,J62:T62,V62:AB62)=0,"",IF(A62="","Review: missing entry ID",IF(COUNTIF($A$7:$A$506,A62)&gt;1,"Review: duplicate entry ID",IF(NOT(ISNUMBER(B62)),"Review: work date",IF(OR(C62="",E62="",K62="",M62="",H62=""),"Review: source details",IF(J62&lt;&gt;'Estimate review'!$J$5,"Review: project scope",IF(OR(NOT(ISNUMBER(N62)),N62&lt;0,O62&lt;&gt;"Complete"),"Review: duration",IF(S62&lt;&gt;"Coded","Review: coding status",IF(OR(U62="",COUNTIF('Project codes'!$A$7:$A$106,U62)=0),"Review: SOW mapping",IF(COUNTIF('Project codes'!$A$7:$A$106,U62)&gt;1,"Review: duplicate code",IF(_xlfn.XLOOKUP(U62,'Project codes'!$A$7:$A$106,'Project codes'!$F$7:$F$106,"Review",0)="Hold","Review: allocation hold",IF(OR(D62="",COUNTIF('SOW register'!$A$7:$A$36,D62)&lt;&gt;1),"Review: SOW mapping",IF(AND(G62&lt;&gt;"Yes",G62&lt;&gt;"No"),"Review: billability",IF(AB62="","Review: billing evidence","OK"))))))))))))))</x:f>
      </x:c>
      <x:c r="J62" s="24"/>
      <x:c r="K62" s="38"/>
      <x:c r="L62" s="38"/>
      <x:c r="M62" s="38"/>
      <x:c r="N62" s="39"/>
      <x:c r="O62" s="24"/>
      <x:c r="P62" s="24"/>
      <x:c r="Q62" s="38"/>
      <x:c r="R62" s="38"/>
      <x:c r="S62" s="24"/>
      <x:c r="T62" s="24"/>
      <x:c r="U62" s="37" t="str">
        <x:f>IF(OR(J62="",Q62="",R62=""),"",J62&amp;"|"&amp;Q62&amp;"|"&amp;R62)</x:f>
      </x:c>
      <x:c r="V62" s="24"/>
      <x:c r="W62" s="24"/>
      <x:c r="X62" s="40"/>
      <x:c r="Y62" s="40"/>
      <x:c r="Z62" s="39"/>
      <x:c r="AA62" s="39"/>
      <x:c r="AB62" s="24"/>
    </x:row>
    <x:row r="63" ht="23" customHeight="1">
      <x:c r="A63" s="20"/>
      <x:c r="B63" s="5"/>
      <x:c r="C63" s="4"/>
      <x:c r="D63" s="34" t="str">
        <x:f>IF(OR(A63="",U63="",COUNTIF('Project codes'!$A$7:$A$106,U63)&lt;&gt;1),"",_xlfn.XLOOKUP(U63,'Project codes'!$A$7:$A$106,'Project codes'!$I$7:$I$106,"",0))</x:f>
      </x:c>
      <x:c r="E63" s="4"/>
      <x:c r="F63" s="35" t="str">
        <x:f>IF(AND(ISNUMBER(N63),N63&gt;=0,O63="Complete"),N63/3600000,"")</x:f>
      </x:c>
      <x:c r="G63" s="4"/>
      <x:c r="H63" s="4"/>
      <x:c r="I63" s="36" t="str">
        <x:f>IF(COUNTA(A63:C63,E63,G63:H63,J63:T63,V63:AB63)=0,"",IF(A63="","Review: missing entry ID",IF(COUNTIF($A$7:$A$506,A63)&gt;1,"Review: duplicate entry ID",IF(NOT(ISNUMBER(B63)),"Review: work date",IF(OR(C63="",E63="",K63="",M63="",H63=""),"Review: source details",IF(J63&lt;&gt;'Estimate review'!$J$5,"Review: project scope",IF(OR(NOT(ISNUMBER(N63)),N63&lt;0,O63&lt;&gt;"Complete"),"Review: duration",IF(S63&lt;&gt;"Coded","Review: coding status",IF(OR(U63="",COUNTIF('Project codes'!$A$7:$A$106,U63)=0),"Review: SOW mapping",IF(COUNTIF('Project codes'!$A$7:$A$106,U63)&gt;1,"Review: duplicate code",IF(_xlfn.XLOOKUP(U63,'Project codes'!$A$7:$A$106,'Project codes'!$F$7:$F$106,"Review",0)="Hold","Review: allocation hold",IF(OR(D63="",COUNTIF('SOW register'!$A$7:$A$36,D63)&lt;&gt;1),"Review: SOW mapping",IF(AND(G63&lt;&gt;"Yes",G63&lt;&gt;"No"),"Review: billability",IF(AB63="","Review: billing evidence","OK"))))))))))))))</x:f>
      </x:c>
      <x:c r="J63" s="24"/>
      <x:c r="K63" s="38"/>
      <x:c r="L63" s="38"/>
      <x:c r="M63" s="38"/>
      <x:c r="N63" s="39"/>
      <x:c r="O63" s="24"/>
      <x:c r="P63" s="24"/>
      <x:c r="Q63" s="38"/>
      <x:c r="R63" s="38"/>
      <x:c r="S63" s="24"/>
      <x:c r="T63" s="24"/>
      <x:c r="U63" s="37" t="str">
        <x:f>IF(OR(J63="",Q63="",R63=""),"",J63&amp;"|"&amp;Q63&amp;"|"&amp;R63)</x:f>
      </x:c>
      <x:c r="V63" s="24"/>
      <x:c r="W63" s="24"/>
      <x:c r="X63" s="40"/>
      <x:c r="Y63" s="40"/>
      <x:c r="Z63" s="39"/>
      <x:c r="AA63" s="39"/>
      <x:c r="AB63" s="24"/>
    </x:row>
    <x:row r="64" ht="23" customHeight="1">
      <x:c r="A64" s="20"/>
      <x:c r="B64" s="5"/>
      <x:c r="C64" s="4"/>
      <x:c r="D64" s="34" t="str">
        <x:f>IF(OR(A64="",U64="",COUNTIF('Project codes'!$A$7:$A$106,U64)&lt;&gt;1),"",_xlfn.XLOOKUP(U64,'Project codes'!$A$7:$A$106,'Project codes'!$I$7:$I$106,"",0))</x:f>
      </x:c>
      <x:c r="E64" s="4"/>
      <x:c r="F64" s="35" t="str">
        <x:f>IF(AND(ISNUMBER(N64),N64&gt;=0,O64="Complete"),N64/3600000,"")</x:f>
      </x:c>
      <x:c r="G64" s="4"/>
      <x:c r="H64" s="4"/>
      <x:c r="I64" s="36" t="str">
        <x:f>IF(COUNTA(A64:C64,E64,G64:H64,J64:T64,V64:AB64)=0,"",IF(A64="","Review: missing entry ID",IF(COUNTIF($A$7:$A$506,A64)&gt;1,"Review: duplicate entry ID",IF(NOT(ISNUMBER(B64)),"Review: work date",IF(OR(C64="",E64="",K64="",M64="",H64=""),"Review: source details",IF(J64&lt;&gt;'Estimate review'!$J$5,"Review: project scope",IF(OR(NOT(ISNUMBER(N64)),N64&lt;0,O64&lt;&gt;"Complete"),"Review: duration",IF(S64&lt;&gt;"Coded","Review: coding status",IF(OR(U64="",COUNTIF('Project codes'!$A$7:$A$106,U64)=0),"Review: SOW mapping",IF(COUNTIF('Project codes'!$A$7:$A$106,U64)&gt;1,"Review: duplicate code",IF(_xlfn.XLOOKUP(U64,'Project codes'!$A$7:$A$106,'Project codes'!$F$7:$F$106,"Review",0)="Hold","Review: allocation hold",IF(OR(D64="",COUNTIF('SOW register'!$A$7:$A$36,D64)&lt;&gt;1),"Review: SOW mapping",IF(AND(G64&lt;&gt;"Yes",G64&lt;&gt;"No"),"Review: billability",IF(AB64="","Review: billing evidence","OK"))))))))))))))</x:f>
      </x:c>
      <x:c r="J64" s="24"/>
      <x:c r="K64" s="38"/>
      <x:c r="L64" s="38"/>
      <x:c r="M64" s="38"/>
      <x:c r="N64" s="39"/>
      <x:c r="O64" s="24"/>
      <x:c r="P64" s="24"/>
      <x:c r="Q64" s="38"/>
      <x:c r="R64" s="38"/>
      <x:c r="S64" s="24"/>
      <x:c r="T64" s="24"/>
      <x:c r="U64" s="37" t="str">
        <x:f>IF(OR(J64="",Q64="",R64=""),"",J64&amp;"|"&amp;Q64&amp;"|"&amp;R64)</x:f>
      </x:c>
      <x:c r="V64" s="24"/>
      <x:c r="W64" s="24"/>
      <x:c r="X64" s="40"/>
      <x:c r="Y64" s="40"/>
      <x:c r="Z64" s="39"/>
      <x:c r="AA64" s="39"/>
      <x:c r="AB64" s="24"/>
    </x:row>
    <x:row r="65" ht="23" customHeight="1">
      <x:c r="A65" s="20"/>
      <x:c r="B65" s="5"/>
      <x:c r="C65" s="4"/>
      <x:c r="D65" s="34" t="str">
        <x:f>IF(OR(A65="",U65="",COUNTIF('Project codes'!$A$7:$A$106,U65)&lt;&gt;1),"",_xlfn.XLOOKUP(U65,'Project codes'!$A$7:$A$106,'Project codes'!$I$7:$I$106,"",0))</x:f>
      </x:c>
      <x:c r="E65" s="4"/>
      <x:c r="F65" s="35" t="str">
        <x:f>IF(AND(ISNUMBER(N65),N65&gt;=0,O65="Complete"),N65/3600000,"")</x:f>
      </x:c>
      <x:c r="G65" s="4"/>
      <x:c r="H65" s="4"/>
      <x:c r="I65" s="36" t="str">
        <x:f>IF(COUNTA(A65:C65,E65,G65:H65,J65:T65,V65:AB65)=0,"",IF(A65="","Review: missing entry ID",IF(COUNTIF($A$7:$A$506,A65)&gt;1,"Review: duplicate entry ID",IF(NOT(ISNUMBER(B65)),"Review: work date",IF(OR(C65="",E65="",K65="",M65="",H65=""),"Review: source details",IF(J65&lt;&gt;'Estimate review'!$J$5,"Review: project scope",IF(OR(NOT(ISNUMBER(N65)),N65&lt;0,O65&lt;&gt;"Complete"),"Review: duration",IF(S65&lt;&gt;"Coded","Review: coding status",IF(OR(U65="",COUNTIF('Project codes'!$A$7:$A$106,U65)=0),"Review: SOW mapping",IF(COUNTIF('Project codes'!$A$7:$A$106,U65)&gt;1,"Review: duplicate code",IF(_xlfn.XLOOKUP(U65,'Project codes'!$A$7:$A$106,'Project codes'!$F$7:$F$106,"Review",0)="Hold","Review: allocation hold",IF(OR(D65="",COUNTIF('SOW register'!$A$7:$A$36,D65)&lt;&gt;1),"Review: SOW mapping",IF(AND(G65&lt;&gt;"Yes",G65&lt;&gt;"No"),"Review: billability",IF(AB65="","Review: billing evidence","OK"))))))))))))))</x:f>
      </x:c>
      <x:c r="J65" s="24"/>
      <x:c r="K65" s="38"/>
      <x:c r="L65" s="38"/>
      <x:c r="M65" s="38"/>
      <x:c r="N65" s="39"/>
      <x:c r="O65" s="24"/>
      <x:c r="P65" s="24"/>
      <x:c r="Q65" s="38"/>
      <x:c r="R65" s="38"/>
      <x:c r="S65" s="24"/>
      <x:c r="T65" s="24"/>
      <x:c r="U65" s="37" t="str">
        <x:f>IF(OR(J65="",Q65="",R65=""),"",J65&amp;"|"&amp;Q65&amp;"|"&amp;R65)</x:f>
      </x:c>
      <x:c r="V65" s="24"/>
      <x:c r="W65" s="24"/>
      <x:c r="X65" s="40"/>
      <x:c r="Y65" s="40"/>
      <x:c r="Z65" s="39"/>
      <x:c r="AA65" s="39"/>
      <x:c r="AB65" s="24"/>
    </x:row>
    <x:row r="66" ht="23" customHeight="1">
      <x:c r="A66" s="20"/>
      <x:c r="B66" s="5"/>
      <x:c r="C66" s="4"/>
      <x:c r="D66" s="34" t="str">
        <x:f>IF(OR(A66="",U66="",COUNTIF('Project codes'!$A$7:$A$106,U66)&lt;&gt;1),"",_xlfn.XLOOKUP(U66,'Project codes'!$A$7:$A$106,'Project codes'!$I$7:$I$106,"",0))</x:f>
      </x:c>
      <x:c r="E66" s="4"/>
      <x:c r="F66" s="35" t="str">
        <x:f>IF(AND(ISNUMBER(N66),N66&gt;=0,O66="Complete"),N66/3600000,"")</x:f>
      </x:c>
      <x:c r="G66" s="4"/>
      <x:c r="H66" s="4"/>
      <x:c r="I66" s="36" t="str">
        <x:f>IF(COUNTA(A66:C66,E66,G66:H66,J66:T66,V66:AB66)=0,"",IF(A66="","Review: missing entry ID",IF(COUNTIF($A$7:$A$506,A66)&gt;1,"Review: duplicate entry ID",IF(NOT(ISNUMBER(B66)),"Review: work date",IF(OR(C66="",E66="",K66="",M66="",H66=""),"Review: source details",IF(J66&lt;&gt;'Estimate review'!$J$5,"Review: project scope",IF(OR(NOT(ISNUMBER(N66)),N66&lt;0,O66&lt;&gt;"Complete"),"Review: duration",IF(S66&lt;&gt;"Coded","Review: coding status",IF(OR(U66="",COUNTIF('Project codes'!$A$7:$A$106,U66)=0),"Review: SOW mapping",IF(COUNTIF('Project codes'!$A$7:$A$106,U66)&gt;1,"Review: duplicate code",IF(_xlfn.XLOOKUP(U66,'Project codes'!$A$7:$A$106,'Project codes'!$F$7:$F$106,"Review",0)="Hold","Review: allocation hold",IF(OR(D66="",COUNTIF('SOW register'!$A$7:$A$36,D66)&lt;&gt;1),"Review: SOW mapping",IF(AND(G66&lt;&gt;"Yes",G66&lt;&gt;"No"),"Review: billability",IF(AB66="","Review: billing evidence","OK"))))))))))))))</x:f>
      </x:c>
      <x:c r="J66" s="24"/>
      <x:c r="K66" s="38"/>
      <x:c r="L66" s="38"/>
      <x:c r="M66" s="38"/>
      <x:c r="N66" s="39"/>
      <x:c r="O66" s="24"/>
      <x:c r="P66" s="24"/>
      <x:c r="Q66" s="38"/>
      <x:c r="R66" s="38"/>
      <x:c r="S66" s="24"/>
      <x:c r="T66" s="24"/>
      <x:c r="U66" s="37" t="str">
        <x:f>IF(OR(J66="",Q66="",R66=""),"",J66&amp;"|"&amp;Q66&amp;"|"&amp;R66)</x:f>
      </x:c>
      <x:c r="V66" s="24"/>
      <x:c r="W66" s="24"/>
      <x:c r="X66" s="40"/>
      <x:c r="Y66" s="40"/>
      <x:c r="Z66" s="39"/>
      <x:c r="AA66" s="39"/>
      <x:c r="AB66" s="24"/>
    </x:row>
    <x:row r="67" ht="23" customHeight="1">
      <x:c r="A67" s="20"/>
      <x:c r="B67" s="5"/>
      <x:c r="C67" s="4"/>
      <x:c r="D67" s="34" t="str">
        <x:f>IF(OR(A67="",U67="",COUNTIF('Project codes'!$A$7:$A$106,U67)&lt;&gt;1),"",_xlfn.XLOOKUP(U67,'Project codes'!$A$7:$A$106,'Project codes'!$I$7:$I$106,"",0))</x:f>
      </x:c>
      <x:c r="E67" s="4"/>
      <x:c r="F67" s="35" t="str">
        <x:f>IF(AND(ISNUMBER(N67),N67&gt;=0,O67="Complete"),N67/3600000,"")</x:f>
      </x:c>
      <x:c r="G67" s="4"/>
      <x:c r="H67" s="4"/>
      <x:c r="I67" s="36" t="str">
        <x:f>IF(COUNTA(A67:C67,E67,G67:H67,J67:T67,V67:AB67)=0,"",IF(A67="","Review: missing entry ID",IF(COUNTIF($A$7:$A$506,A67)&gt;1,"Review: duplicate entry ID",IF(NOT(ISNUMBER(B67)),"Review: work date",IF(OR(C67="",E67="",K67="",M67="",H67=""),"Review: source details",IF(J67&lt;&gt;'Estimate review'!$J$5,"Review: project scope",IF(OR(NOT(ISNUMBER(N67)),N67&lt;0,O67&lt;&gt;"Complete"),"Review: duration",IF(S67&lt;&gt;"Coded","Review: coding status",IF(OR(U67="",COUNTIF('Project codes'!$A$7:$A$106,U67)=0),"Review: SOW mapping",IF(COUNTIF('Project codes'!$A$7:$A$106,U67)&gt;1,"Review: duplicate code",IF(_xlfn.XLOOKUP(U67,'Project codes'!$A$7:$A$106,'Project codes'!$F$7:$F$106,"Review",0)="Hold","Review: allocation hold",IF(OR(D67="",COUNTIF('SOW register'!$A$7:$A$36,D67)&lt;&gt;1),"Review: SOW mapping",IF(AND(G67&lt;&gt;"Yes",G67&lt;&gt;"No"),"Review: billability",IF(AB67="","Review: billing evidence","OK"))))))))))))))</x:f>
      </x:c>
      <x:c r="J67" s="24"/>
      <x:c r="K67" s="38"/>
      <x:c r="L67" s="38"/>
      <x:c r="M67" s="38"/>
      <x:c r="N67" s="39"/>
      <x:c r="O67" s="24"/>
      <x:c r="P67" s="24"/>
      <x:c r="Q67" s="38"/>
      <x:c r="R67" s="38"/>
      <x:c r="S67" s="24"/>
      <x:c r="T67" s="24"/>
      <x:c r="U67" s="37" t="str">
        <x:f>IF(OR(J67="",Q67="",R67=""),"",J67&amp;"|"&amp;Q67&amp;"|"&amp;R67)</x:f>
      </x:c>
      <x:c r="V67" s="24"/>
      <x:c r="W67" s="24"/>
      <x:c r="X67" s="40"/>
      <x:c r="Y67" s="40"/>
      <x:c r="Z67" s="39"/>
      <x:c r="AA67" s="39"/>
      <x:c r="AB67" s="24"/>
    </x:row>
    <x:row r="68" ht="23" customHeight="1">
      <x:c r="A68" s="20"/>
      <x:c r="B68" s="5"/>
      <x:c r="C68" s="4"/>
      <x:c r="D68" s="34" t="str">
        <x:f>IF(OR(A68="",U68="",COUNTIF('Project codes'!$A$7:$A$106,U68)&lt;&gt;1),"",_xlfn.XLOOKUP(U68,'Project codes'!$A$7:$A$106,'Project codes'!$I$7:$I$106,"",0))</x:f>
      </x:c>
      <x:c r="E68" s="4"/>
      <x:c r="F68" s="35" t="str">
        <x:f>IF(AND(ISNUMBER(N68),N68&gt;=0,O68="Complete"),N68/3600000,"")</x:f>
      </x:c>
      <x:c r="G68" s="4"/>
      <x:c r="H68" s="4"/>
      <x:c r="I68" s="36" t="str">
        <x:f>IF(COUNTA(A68:C68,E68,G68:H68,J68:T68,V68:AB68)=0,"",IF(A68="","Review: missing entry ID",IF(COUNTIF($A$7:$A$506,A68)&gt;1,"Review: duplicate entry ID",IF(NOT(ISNUMBER(B68)),"Review: work date",IF(OR(C68="",E68="",K68="",M68="",H68=""),"Review: source details",IF(J68&lt;&gt;'Estimate review'!$J$5,"Review: project scope",IF(OR(NOT(ISNUMBER(N68)),N68&lt;0,O68&lt;&gt;"Complete"),"Review: duration",IF(S68&lt;&gt;"Coded","Review: coding status",IF(OR(U68="",COUNTIF('Project codes'!$A$7:$A$106,U68)=0),"Review: SOW mapping",IF(COUNTIF('Project codes'!$A$7:$A$106,U68)&gt;1,"Review: duplicate code",IF(_xlfn.XLOOKUP(U68,'Project codes'!$A$7:$A$106,'Project codes'!$F$7:$F$106,"Review",0)="Hold","Review: allocation hold",IF(OR(D68="",COUNTIF('SOW register'!$A$7:$A$36,D68)&lt;&gt;1),"Review: SOW mapping",IF(AND(G68&lt;&gt;"Yes",G68&lt;&gt;"No"),"Review: billability",IF(AB68="","Review: billing evidence","OK"))))))))))))))</x:f>
      </x:c>
      <x:c r="J68" s="24"/>
      <x:c r="K68" s="38"/>
      <x:c r="L68" s="38"/>
      <x:c r="M68" s="38"/>
      <x:c r="N68" s="39"/>
      <x:c r="O68" s="24"/>
      <x:c r="P68" s="24"/>
      <x:c r="Q68" s="38"/>
      <x:c r="R68" s="38"/>
      <x:c r="S68" s="24"/>
      <x:c r="T68" s="24"/>
      <x:c r="U68" s="37" t="str">
        <x:f>IF(OR(J68="",Q68="",R68=""),"",J68&amp;"|"&amp;Q68&amp;"|"&amp;R68)</x:f>
      </x:c>
      <x:c r="V68" s="24"/>
      <x:c r="W68" s="24"/>
      <x:c r="X68" s="40"/>
      <x:c r="Y68" s="40"/>
      <x:c r="Z68" s="39"/>
      <x:c r="AA68" s="39"/>
      <x:c r="AB68" s="24"/>
    </x:row>
    <x:row r="69" ht="23" customHeight="1">
      <x:c r="A69" s="20"/>
      <x:c r="B69" s="5"/>
      <x:c r="C69" s="4"/>
      <x:c r="D69" s="34" t="str">
        <x:f>IF(OR(A69="",U69="",COUNTIF('Project codes'!$A$7:$A$106,U69)&lt;&gt;1),"",_xlfn.XLOOKUP(U69,'Project codes'!$A$7:$A$106,'Project codes'!$I$7:$I$106,"",0))</x:f>
      </x:c>
      <x:c r="E69" s="4"/>
      <x:c r="F69" s="35" t="str">
        <x:f>IF(AND(ISNUMBER(N69),N69&gt;=0,O69="Complete"),N69/3600000,"")</x:f>
      </x:c>
      <x:c r="G69" s="4"/>
      <x:c r="H69" s="4"/>
      <x:c r="I69" s="36" t="str">
        <x:f>IF(COUNTA(A69:C69,E69,G69:H69,J69:T69,V69:AB69)=0,"",IF(A69="","Review: missing entry ID",IF(COUNTIF($A$7:$A$506,A69)&gt;1,"Review: duplicate entry ID",IF(NOT(ISNUMBER(B69)),"Review: work date",IF(OR(C69="",E69="",K69="",M69="",H69=""),"Review: source details",IF(J69&lt;&gt;'Estimate review'!$J$5,"Review: project scope",IF(OR(NOT(ISNUMBER(N69)),N69&lt;0,O69&lt;&gt;"Complete"),"Review: duration",IF(S69&lt;&gt;"Coded","Review: coding status",IF(OR(U69="",COUNTIF('Project codes'!$A$7:$A$106,U69)=0),"Review: SOW mapping",IF(COUNTIF('Project codes'!$A$7:$A$106,U69)&gt;1,"Review: duplicate code",IF(_xlfn.XLOOKUP(U69,'Project codes'!$A$7:$A$106,'Project codes'!$F$7:$F$106,"Review",0)="Hold","Review: allocation hold",IF(OR(D69="",COUNTIF('SOW register'!$A$7:$A$36,D69)&lt;&gt;1),"Review: SOW mapping",IF(AND(G69&lt;&gt;"Yes",G69&lt;&gt;"No"),"Review: billability",IF(AB69="","Review: billing evidence","OK"))))))))))))))</x:f>
      </x:c>
      <x:c r="J69" s="24"/>
      <x:c r="K69" s="38"/>
      <x:c r="L69" s="38"/>
      <x:c r="M69" s="38"/>
      <x:c r="N69" s="39"/>
      <x:c r="O69" s="24"/>
      <x:c r="P69" s="24"/>
      <x:c r="Q69" s="38"/>
      <x:c r="R69" s="38"/>
      <x:c r="S69" s="24"/>
      <x:c r="T69" s="24"/>
      <x:c r="U69" s="37" t="str">
        <x:f>IF(OR(J69="",Q69="",R69=""),"",J69&amp;"|"&amp;Q69&amp;"|"&amp;R69)</x:f>
      </x:c>
      <x:c r="V69" s="24"/>
      <x:c r="W69" s="24"/>
      <x:c r="X69" s="40"/>
      <x:c r="Y69" s="40"/>
      <x:c r="Z69" s="39"/>
      <x:c r="AA69" s="39"/>
      <x:c r="AB69" s="24"/>
    </x:row>
    <x:row r="70" ht="23" customHeight="1">
      <x:c r="A70" s="20"/>
      <x:c r="B70" s="5"/>
      <x:c r="C70" s="4"/>
      <x:c r="D70" s="34" t="str">
        <x:f>IF(OR(A70="",U70="",COUNTIF('Project codes'!$A$7:$A$106,U70)&lt;&gt;1),"",_xlfn.XLOOKUP(U70,'Project codes'!$A$7:$A$106,'Project codes'!$I$7:$I$106,"",0))</x:f>
      </x:c>
      <x:c r="E70" s="4"/>
      <x:c r="F70" s="35" t="str">
        <x:f>IF(AND(ISNUMBER(N70),N70&gt;=0,O70="Complete"),N70/3600000,"")</x:f>
      </x:c>
      <x:c r="G70" s="4"/>
      <x:c r="H70" s="4"/>
      <x:c r="I70" s="36" t="str">
        <x:f>IF(COUNTA(A70:C70,E70,G70:H70,J70:T70,V70:AB70)=0,"",IF(A70="","Review: missing entry ID",IF(COUNTIF($A$7:$A$506,A70)&gt;1,"Review: duplicate entry ID",IF(NOT(ISNUMBER(B70)),"Review: work date",IF(OR(C70="",E70="",K70="",M70="",H70=""),"Review: source details",IF(J70&lt;&gt;'Estimate review'!$J$5,"Review: project scope",IF(OR(NOT(ISNUMBER(N70)),N70&lt;0,O70&lt;&gt;"Complete"),"Review: duration",IF(S70&lt;&gt;"Coded","Review: coding status",IF(OR(U70="",COUNTIF('Project codes'!$A$7:$A$106,U70)=0),"Review: SOW mapping",IF(COUNTIF('Project codes'!$A$7:$A$106,U70)&gt;1,"Review: duplicate code",IF(_xlfn.XLOOKUP(U70,'Project codes'!$A$7:$A$106,'Project codes'!$F$7:$F$106,"Review",0)="Hold","Review: allocation hold",IF(OR(D70="",COUNTIF('SOW register'!$A$7:$A$36,D70)&lt;&gt;1),"Review: SOW mapping",IF(AND(G70&lt;&gt;"Yes",G70&lt;&gt;"No"),"Review: billability",IF(AB70="","Review: billing evidence","OK"))))))))))))))</x:f>
      </x:c>
      <x:c r="J70" s="24"/>
      <x:c r="K70" s="38"/>
      <x:c r="L70" s="38"/>
      <x:c r="M70" s="38"/>
      <x:c r="N70" s="39"/>
      <x:c r="O70" s="24"/>
      <x:c r="P70" s="24"/>
      <x:c r="Q70" s="38"/>
      <x:c r="R70" s="38"/>
      <x:c r="S70" s="24"/>
      <x:c r="T70" s="24"/>
      <x:c r="U70" s="37" t="str">
        <x:f>IF(OR(J70="",Q70="",R70=""),"",J70&amp;"|"&amp;Q70&amp;"|"&amp;R70)</x:f>
      </x:c>
      <x:c r="V70" s="24"/>
      <x:c r="W70" s="24"/>
      <x:c r="X70" s="40"/>
      <x:c r="Y70" s="40"/>
      <x:c r="Z70" s="39"/>
      <x:c r="AA70" s="39"/>
      <x:c r="AB70" s="24"/>
    </x:row>
    <x:row r="71" ht="23" customHeight="1">
      <x:c r="A71" s="20"/>
      <x:c r="B71" s="5"/>
      <x:c r="C71" s="4"/>
      <x:c r="D71" s="34" t="str">
        <x:f>IF(OR(A71="",U71="",COUNTIF('Project codes'!$A$7:$A$106,U71)&lt;&gt;1),"",_xlfn.XLOOKUP(U71,'Project codes'!$A$7:$A$106,'Project codes'!$I$7:$I$106,"",0))</x:f>
      </x:c>
      <x:c r="E71" s="4"/>
      <x:c r="F71" s="35" t="str">
        <x:f>IF(AND(ISNUMBER(N71),N71&gt;=0,O71="Complete"),N71/3600000,"")</x:f>
      </x:c>
      <x:c r="G71" s="4"/>
      <x:c r="H71" s="4"/>
      <x:c r="I71" s="36" t="str">
        <x:f>IF(COUNTA(A71:C71,E71,G71:H71,J71:T71,V71:AB71)=0,"",IF(A71="","Review: missing entry ID",IF(COUNTIF($A$7:$A$506,A71)&gt;1,"Review: duplicate entry ID",IF(NOT(ISNUMBER(B71)),"Review: work date",IF(OR(C71="",E71="",K71="",M71="",H71=""),"Review: source details",IF(J71&lt;&gt;'Estimate review'!$J$5,"Review: project scope",IF(OR(NOT(ISNUMBER(N71)),N71&lt;0,O71&lt;&gt;"Complete"),"Review: duration",IF(S71&lt;&gt;"Coded","Review: coding status",IF(OR(U71="",COUNTIF('Project codes'!$A$7:$A$106,U71)=0),"Review: SOW mapping",IF(COUNTIF('Project codes'!$A$7:$A$106,U71)&gt;1,"Review: duplicate code",IF(_xlfn.XLOOKUP(U71,'Project codes'!$A$7:$A$106,'Project codes'!$F$7:$F$106,"Review",0)="Hold","Review: allocation hold",IF(OR(D71="",COUNTIF('SOW register'!$A$7:$A$36,D71)&lt;&gt;1),"Review: SOW mapping",IF(AND(G71&lt;&gt;"Yes",G71&lt;&gt;"No"),"Review: billability",IF(AB71="","Review: billing evidence","OK"))))))))))))))</x:f>
      </x:c>
      <x:c r="J71" s="24"/>
      <x:c r="K71" s="38"/>
      <x:c r="L71" s="38"/>
      <x:c r="M71" s="38"/>
      <x:c r="N71" s="39"/>
      <x:c r="O71" s="24"/>
      <x:c r="P71" s="24"/>
      <x:c r="Q71" s="38"/>
      <x:c r="R71" s="38"/>
      <x:c r="S71" s="24"/>
      <x:c r="T71" s="24"/>
      <x:c r="U71" s="37" t="str">
        <x:f>IF(OR(J71="",Q71="",R71=""),"",J71&amp;"|"&amp;Q71&amp;"|"&amp;R71)</x:f>
      </x:c>
      <x:c r="V71" s="24"/>
      <x:c r="W71" s="24"/>
      <x:c r="X71" s="40"/>
      <x:c r="Y71" s="40"/>
      <x:c r="Z71" s="39"/>
      <x:c r="AA71" s="39"/>
      <x:c r="AB71" s="24"/>
    </x:row>
    <x:row r="72" ht="23" customHeight="1">
      <x:c r="A72" s="20"/>
      <x:c r="B72" s="5"/>
      <x:c r="C72" s="4"/>
      <x:c r="D72" s="34" t="str">
        <x:f>IF(OR(A72="",U72="",COUNTIF('Project codes'!$A$7:$A$106,U72)&lt;&gt;1),"",_xlfn.XLOOKUP(U72,'Project codes'!$A$7:$A$106,'Project codes'!$I$7:$I$106,"",0))</x:f>
      </x:c>
      <x:c r="E72" s="4"/>
      <x:c r="F72" s="35" t="str">
        <x:f>IF(AND(ISNUMBER(N72),N72&gt;=0,O72="Complete"),N72/3600000,"")</x:f>
      </x:c>
      <x:c r="G72" s="4"/>
      <x:c r="H72" s="4"/>
      <x:c r="I72" s="36" t="str">
        <x:f>IF(COUNTA(A72:C72,E72,G72:H72,J72:T72,V72:AB72)=0,"",IF(A72="","Review: missing entry ID",IF(COUNTIF($A$7:$A$506,A72)&gt;1,"Review: duplicate entry ID",IF(NOT(ISNUMBER(B72)),"Review: work date",IF(OR(C72="",E72="",K72="",M72="",H72=""),"Review: source details",IF(J72&lt;&gt;'Estimate review'!$J$5,"Review: project scope",IF(OR(NOT(ISNUMBER(N72)),N72&lt;0,O72&lt;&gt;"Complete"),"Review: duration",IF(S72&lt;&gt;"Coded","Review: coding status",IF(OR(U72="",COUNTIF('Project codes'!$A$7:$A$106,U72)=0),"Review: SOW mapping",IF(COUNTIF('Project codes'!$A$7:$A$106,U72)&gt;1,"Review: duplicate code",IF(_xlfn.XLOOKUP(U72,'Project codes'!$A$7:$A$106,'Project codes'!$F$7:$F$106,"Review",0)="Hold","Review: allocation hold",IF(OR(D72="",COUNTIF('SOW register'!$A$7:$A$36,D72)&lt;&gt;1),"Review: SOW mapping",IF(AND(G72&lt;&gt;"Yes",G72&lt;&gt;"No"),"Review: billability",IF(AB72="","Review: billing evidence","OK"))))))))))))))</x:f>
      </x:c>
      <x:c r="J72" s="24"/>
      <x:c r="K72" s="38"/>
      <x:c r="L72" s="38"/>
      <x:c r="M72" s="38"/>
      <x:c r="N72" s="39"/>
      <x:c r="O72" s="24"/>
      <x:c r="P72" s="24"/>
      <x:c r="Q72" s="38"/>
      <x:c r="R72" s="38"/>
      <x:c r="S72" s="24"/>
      <x:c r="T72" s="24"/>
      <x:c r="U72" s="37" t="str">
        <x:f>IF(OR(J72="",Q72="",R72=""),"",J72&amp;"|"&amp;Q72&amp;"|"&amp;R72)</x:f>
      </x:c>
      <x:c r="V72" s="24"/>
      <x:c r="W72" s="24"/>
      <x:c r="X72" s="40"/>
      <x:c r="Y72" s="40"/>
      <x:c r="Z72" s="39"/>
      <x:c r="AA72" s="39"/>
      <x:c r="AB72" s="24"/>
    </x:row>
    <x:row r="73" ht="23" customHeight="1">
      <x:c r="A73" s="20"/>
      <x:c r="B73" s="5"/>
      <x:c r="C73" s="4"/>
      <x:c r="D73" s="34" t="str">
        <x:f>IF(OR(A73="",U73="",COUNTIF('Project codes'!$A$7:$A$106,U73)&lt;&gt;1),"",_xlfn.XLOOKUP(U73,'Project codes'!$A$7:$A$106,'Project codes'!$I$7:$I$106,"",0))</x:f>
      </x:c>
      <x:c r="E73" s="4"/>
      <x:c r="F73" s="35" t="str">
        <x:f>IF(AND(ISNUMBER(N73),N73&gt;=0,O73="Complete"),N73/3600000,"")</x:f>
      </x:c>
      <x:c r="G73" s="4"/>
      <x:c r="H73" s="4"/>
      <x:c r="I73" s="36" t="str">
        <x:f>IF(COUNTA(A73:C73,E73,G73:H73,J73:T73,V73:AB73)=0,"",IF(A73="","Review: missing entry ID",IF(COUNTIF($A$7:$A$506,A73)&gt;1,"Review: duplicate entry ID",IF(NOT(ISNUMBER(B73)),"Review: work date",IF(OR(C73="",E73="",K73="",M73="",H73=""),"Review: source details",IF(J73&lt;&gt;'Estimate review'!$J$5,"Review: project scope",IF(OR(NOT(ISNUMBER(N73)),N73&lt;0,O73&lt;&gt;"Complete"),"Review: duration",IF(S73&lt;&gt;"Coded","Review: coding status",IF(OR(U73="",COUNTIF('Project codes'!$A$7:$A$106,U73)=0),"Review: SOW mapping",IF(COUNTIF('Project codes'!$A$7:$A$106,U73)&gt;1,"Review: duplicate code",IF(_xlfn.XLOOKUP(U73,'Project codes'!$A$7:$A$106,'Project codes'!$F$7:$F$106,"Review",0)="Hold","Review: allocation hold",IF(OR(D73="",COUNTIF('SOW register'!$A$7:$A$36,D73)&lt;&gt;1),"Review: SOW mapping",IF(AND(G73&lt;&gt;"Yes",G73&lt;&gt;"No"),"Review: billability",IF(AB73="","Review: billing evidence","OK"))))))))))))))</x:f>
      </x:c>
      <x:c r="J73" s="24"/>
      <x:c r="K73" s="38"/>
      <x:c r="L73" s="38"/>
      <x:c r="M73" s="38"/>
      <x:c r="N73" s="39"/>
      <x:c r="O73" s="24"/>
      <x:c r="P73" s="24"/>
      <x:c r="Q73" s="38"/>
      <x:c r="R73" s="38"/>
      <x:c r="S73" s="24"/>
      <x:c r="T73" s="24"/>
      <x:c r="U73" s="37" t="str">
        <x:f>IF(OR(J73="",Q73="",R73=""),"",J73&amp;"|"&amp;Q73&amp;"|"&amp;R73)</x:f>
      </x:c>
      <x:c r="V73" s="24"/>
      <x:c r="W73" s="24"/>
      <x:c r="X73" s="40"/>
      <x:c r="Y73" s="40"/>
      <x:c r="Z73" s="39"/>
      <x:c r="AA73" s="39"/>
      <x:c r="AB73" s="24"/>
    </x:row>
    <x:row r="74" ht="23" customHeight="1">
      <x:c r="A74" s="20"/>
      <x:c r="B74" s="5"/>
      <x:c r="C74" s="4"/>
      <x:c r="D74" s="34" t="str">
        <x:f>IF(OR(A74="",U74="",COUNTIF('Project codes'!$A$7:$A$106,U74)&lt;&gt;1),"",_xlfn.XLOOKUP(U74,'Project codes'!$A$7:$A$106,'Project codes'!$I$7:$I$106,"",0))</x:f>
      </x:c>
      <x:c r="E74" s="4"/>
      <x:c r="F74" s="35" t="str">
        <x:f>IF(AND(ISNUMBER(N74),N74&gt;=0,O74="Complete"),N74/3600000,"")</x:f>
      </x:c>
      <x:c r="G74" s="4"/>
      <x:c r="H74" s="4"/>
      <x:c r="I74" s="36" t="str">
        <x:f>IF(COUNTA(A74:C74,E74,G74:H74,J74:T74,V74:AB74)=0,"",IF(A74="","Review: missing entry ID",IF(COUNTIF($A$7:$A$506,A74)&gt;1,"Review: duplicate entry ID",IF(NOT(ISNUMBER(B74)),"Review: work date",IF(OR(C74="",E74="",K74="",M74="",H74=""),"Review: source details",IF(J74&lt;&gt;'Estimate review'!$J$5,"Review: project scope",IF(OR(NOT(ISNUMBER(N74)),N74&lt;0,O74&lt;&gt;"Complete"),"Review: duration",IF(S74&lt;&gt;"Coded","Review: coding status",IF(OR(U74="",COUNTIF('Project codes'!$A$7:$A$106,U74)=0),"Review: SOW mapping",IF(COUNTIF('Project codes'!$A$7:$A$106,U74)&gt;1,"Review: duplicate code",IF(_xlfn.XLOOKUP(U74,'Project codes'!$A$7:$A$106,'Project codes'!$F$7:$F$106,"Review",0)="Hold","Review: allocation hold",IF(OR(D74="",COUNTIF('SOW register'!$A$7:$A$36,D74)&lt;&gt;1),"Review: SOW mapping",IF(AND(G74&lt;&gt;"Yes",G74&lt;&gt;"No"),"Review: billability",IF(AB74="","Review: billing evidence","OK"))))))))))))))</x:f>
      </x:c>
      <x:c r="J74" s="24"/>
      <x:c r="K74" s="38"/>
      <x:c r="L74" s="38"/>
      <x:c r="M74" s="38"/>
      <x:c r="N74" s="39"/>
      <x:c r="O74" s="24"/>
      <x:c r="P74" s="24"/>
      <x:c r="Q74" s="38"/>
      <x:c r="R74" s="38"/>
      <x:c r="S74" s="24"/>
      <x:c r="T74" s="24"/>
      <x:c r="U74" s="37" t="str">
        <x:f>IF(OR(J74="",Q74="",R74=""),"",J74&amp;"|"&amp;Q74&amp;"|"&amp;R74)</x:f>
      </x:c>
      <x:c r="V74" s="24"/>
      <x:c r="W74" s="24"/>
      <x:c r="X74" s="40"/>
      <x:c r="Y74" s="40"/>
      <x:c r="Z74" s="39"/>
      <x:c r="AA74" s="39"/>
      <x:c r="AB74" s="24"/>
    </x:row>
    <x:row r="75" ht="23" customHeight="1">
      <x:c r="A75" s="20"/>
      <x:c r="B75" s="5"/>
      <x:c r="C75" s="4"/>
      <x:c r="D75" s="34" t="str">
        <x:f>IF(OR(A75="",U75="",COUNTIF('Project codes'!$A$7:$A$106,U75)&lt;&gt;1),"",_xlfn.XLOOKUP(U75,'Project codes'!$A$7:$A$106,'Project codes'!$I$7:$I$106,"",0))</x:f>
      </x:c>
      <x:c r="E75" s="4"/>
      <x:c r="F75" s="35" t="str">
        <x:f>IF(AND(ISNUMBER(N75),N75&gt;=0,O75="Complete"),N75/3600000,"")</x:f>
      </x:c>
      <x:c r="G75" s="4"/>
      <x:c r="H75" s="4"/>
      <x:c r="I75" s="36" t="str">
        <x:f>IF(COUNTA(A75:C75,E75,G75:H75,J75:T75,V75:AB75)=0,"",IF(A75="","Review: missing entry ID",IF(COUNTIF($A$7:$A$506,A75)&gt;1,"Review: duplicate entry ID",IF(NOT(ISNUMBER(B75)),"Review: work date",IF(OR(C75="",E75="",K75="",M75="",H75=""),"Review: source details",IF(J75&lt;&gt;'Estimate review'!$J$5,"Review: project scope",IF(OR(NOT(ISNUMBER(N75)),N75&lt;0,O75&lt;&gt;"Complete"),"Review: duration",IF(S75&lt;&gt;"Coded","Review: coding status",IF(OR(U75="",COUNTIF('Project codes'!$A$7:$A$106,U75)=0),"Review: SOW mapping",IF(COUNTIF('Project codes'!$A$7:$A$106,U75)&gt;1,"Review: duplicate code",IF(_xlfn.XLOOKUP(U75,'Project codes'!$A$7:$A$106,'Project codes'!$F$7:$F$106,"Review",0)="Hold","Review: allocation hold",IF(OR(D75="",COUNTIF('SOW register'!$A$7:$A$36,D75)&lt;&gt;1),"Review: SOW mapping",IF(AND(G75&lt;&gt;"Yes",G75&lt;&gt;"No"),"Review: billability",IF(AB75="","Review: billing evidence","OK"))))))))))))))</x:f>
      </x:c>
      <x:c r="J75" s="24"/>
      <x:c r="K75" s="38"/>
      <x:c r="L75" s="38"/>
      <x:c r="M75" s="38"/>
      <x:c r="N75" s="39"/>
      <x:c r="O75" s="24"/>
      <x:c r="P75" s="24"/>
      <x:c r="Q75" s="38"/>
      <x:c r="R75" s="38"/>
      <x:c r="S75" s="24"/>
      <x:c r="T75" s="24"/>
      <x:c r="U75" s="37" t="str">
        <x:f>IF(OR(J75="",Q75="",R75=""),"",J75&amp;"|"&amp;Q75&amp;"|"&amp;R75)</x:f>
      </x:c>
      <x:c r="V75" s="24"/>
      <x:c r="W75" s="24"/>
      <x:c r="X75" s="40"/>
      <x:c r="Y75" s="40"/>
      <x:c r="Z75" s="39"/>
      <x:c r="AA75" s="39"/>
      <x:c r="AB75" s="24"/>
    </x:row>
    <x:row r="76" ht="23" customHeight="1">
      <x:c r="A76" s="20"/>
      <x:c r="B76" s="5"/>
      <x:c r="C76" s="4"/>
      <x:c r="D76" s="34" t="str">
        <x:f>IF(OR(A76="",U76="",COUNTIF('Project codes'!$A$7:$A$106,U76)&lt;&gt;1),"",_xlfn.XLOOKUP(U76,'Project codes'!$A$7:$A$106,'Project codes'!$I$7:$I$106,"",0))</x:f>
      </x:c>
      <x:c r="E76" s="4"/>
      <x:c r="F76" s="35" t="str">
        <x:f>IF(AND(ISNUMBER(N76),N76&gt;=0,O76="Complete"),N76/3600000,"")</x:f>
      </x:c>
      <x:c r="G76" s="4"/>
      <x:c r="H76" s="4"/>
      <x:c r="I76" s="36" t="str">
        <x:f>IF(COUNTA(A76:C76,E76,G76:H76,J76:T76,V76:AB76)=0,"",IF(A76="","Review: missing entry ID",IF(COUNTIF($A$7:$A$506,A76)&gt;1,"Review: duplicate entry ID",IF(NOT(ISNUMBER(B76)),"Review: work date",IF(OR(C76="",E76="",K76="",M76="",H76=""),"Review: source details",IF(J76&lt;&gt;'Estimate review'!$J$5,"Review: project scope",IF(OR(NOT(ISNUMBER(N76)),N76&lt;0,O76&lt;&gt;"Complete"),"Review: duration",IF(S76&lt;&gt;"Coded","Review: coding status",IF(OR(U76="",COUNTIF('Project codes'!$A$7:$A$106,U76)=0),"Review: SOW mapping",IF(COUNTIF('Project codes'!$A$7:$A$106,U76)&gt;1,"Review: duplicate code",IF(_xlfn.XLOOKUP(U76,'Project codes'!$A$7:$A$106,'Project codes'!$F$7:$F$106,"Review",0)="Hold","Review: allocation hold",IF(OR(D76="",COUNTIF('SOW register'!$A$7:$A$36,D76)&lt;&gt;1),"Review: SOW mapping",IF(AND(G76&lt;&gt;"Yes",G76&lt;&gt;"No"),"Review: billability",IF(AB76="","Review: billing evidence","OK"))))))))))))))</x:f>
      </x:c>
      <x:c r="J76" s="24"/>
      <x:c r="K76" s="38"/>
      <x:c r="L76" s="38"/>
      <x:c r="M76" s="38"/>
      <x:c r="N76" s="39"/>
      <x:c r="O76" s="24"/>
      <x:c r="P76" s="24"/>
      <x:c r="Q76" s="38"/>
      <x:c r="R76" s="38"/>
      <x:c r="S76" s="24"/>
      <x:c r="T76" s="24"/>
      <x:c r="U76" s="37" t="str">
        <x:f>IF(OR(J76="",Q76="",R76=""),"",J76&amp;"|"&amp;Q76&amp;"|"&amp;R76)</x:f>
      </x:c>
      <x:c r="V76" s="24"/>
      <x:c r="W76" s="24"/>
      <x:c r="X76" s="40"/>
      <x:c r="Y76" s="40"/>
      <x:c r="Z76" s="39"/>
      <x:c r="AA76" s="39"/>
      <x:c r="AB76" s="24"/>
    </x:row>
    <x:row r="77" ht="23" customHeight="1">
      <x:c r="A77" s="20"/>
      <x:c r="B77" s="5"/>
      <x:c r="C77" s="4"/>
      <x:c r="D77" s="34" t="str">
        <x:f>IF(OR(A77="",U77="",COUNTIF('Project codes'!$A$7:$A$106,U77)&lt;&gt;1),"",_xlfn.XLOOKUP(U77,'Project codes'!$A$7:$A$106,'Project codes'!$I$7:$I$106,"",0))</x:f>
      </x:c>
      <x:c r="E77" s="4"/>
      <x:c r="F77" s="35" t="str">
        <x:f>IF(AND(ISNUMBER(N77),N77&gt;=0,O77="Complete"),N77/3600000,"")</x:f>
      </x:c>
      <x:c r="G77" s="4"/>
      <x:c r="H77" s="4"/>
      <x:c r="I77" s="36" t="str">
        <x:f>IF(COUNTA(A77:C77,E77,G77:H77,J77:T77,V77:AB77)=0,"",IF(A77="","Review: missing entry ID",IF(COUNTIF($A$7:$A$506,A77)&gt;1,"Review: duplicate entry ID",IF(NOT(ISNUMBER(B77)),"Review: work date",IF(OR(C77="",E77="",K77="",M77="",H77=""),"Review: source details",IF(J77&lt;&gt;'Estimate review'!$J$5,"Review: project scope",IF(OR(NOT(ISNUMBER(N77)),N77&lt;0,O77&lt;&gt;"Complete"),"Review: duration",IF(S77&lt;&gt;"Coded","Review: coding status",IF(OR(U77="",COUNTIF('Project codes'!$A$7:$A$106,U77)=0),"Review: SOW mapping",IF(COUNTIF('Project codes'!$A$7:$A$106,U77)&gt;1,"Review: duplicate code",IF(_xlfn.XLOOKUP(U77,'Project codes'!$A$7:$A$106,'Project codes'!$F$7:$F$106,"Review",0)="Hold","Review: allocation hold",IF(OR(D77="",COUNTIF('SOW register'!$A$7:$A$36,D77)&lt;&gt;1),"Review: SOW mapping",IF(AND(G77&lt;&gt;"Yes",G77&lt;&gt;"No"),"Review: billability",IF(AB77="","Review: billing evidence","OK"))))))))))))))</x:f>
      </x:c>
      <x:c r="J77" s="24"/>
      <x:c r="K77" s="38"/>
      <x:c r="L77" s="38"/>
      <x:c r="M77" s="38"/>
      <x:c r="N77" s="39"/>
      <x:c r="O77" s="24"/>
      <x:c r="P77" s="24"/>
      <x:c r="Q77" s="38"/>
      <x:c r="R77" s="38"/>
      <x:c r="S77" s="24"/>
      <x:c r="T77" s="24"/>
      <x:c r="U77" s="37" t="str">
        <x:f>IF(OR(J77="",Q77="",R77=""),"",J77&amp;"|"&amp;Q77&amp;"|"&amp;R77)</x:f>
      </x:c>
      <x:c r="V77" s="24"/>
      <x:c r="W77" s="24"/>
      <x:c r="X77" s="40"/>
      <x:c r="Y77" s="40"/>
      <x:c r="Z77" s="39"/>
      <x:c r="AA77" s="39"/>
      <x:c r="AB77" s="24"/>
    </x:row>
    <x:row r="78" ht="23" customHeight="1">
      <x:c r="A78" s="20"/>
      <x:c r="B78" s="5"/>
      <x:c r="C78" s="4"/>
      <x:c r="D78" s="34" t="str">
        <x:f>IF(OR(A78="",U78="",COUNTIF('Project codes'!$A$7:$A$106,U78)&lt;&gt;1),"",_xlfn.XLOOKUP(U78,'Project codes'!$A$7:$A$106,'Project codes'!$I$7:$I$106,"",0))</x:f>
      </x:c>
      <x:c r="E78" s="4"/>
      <x:c r="F78" s="35" t="str">
        <x:f>IF(AND(ISNUMBER(N78),N78&gt;=0,O78="Complete"),N78/3600000,"")</x:f>
      </x:c>
      <x:c r="G78" s="4"/>
      <x:c r="H78" s="4"/>
      <x:c r="I78" s="36" t="str">
        <x:f>IF(COUNTA(A78:C78,E78,G78:H78,J78:T78,V78:AB78)=0,"",IF(A78="","Review: missing entry ID",IF(COUNTIF($A$7:$A$506,A78)&gt;1,"Review: duplicate entry ID",IF(NOT(ISNUMBER(B78)),"Review: work date",IF(OR(C78="",E78="",K78="",M78="",H78=""),"Review: source details",IF(J78&lt;&gt;'Estimate review'!$J$5,"Review: project scope",IF(OR(NOT(ISNUMBER(N78)),N78&lt;0,O78&lt;&gt;"Complete"),"Review: duration",IF(S78&lt;&gt;"Coded","Review: coding status",IF(OR(U78="",COUNTIF('Project codes'!$A$7:$A$106,U78)=0),"Review: SOW mapping",IF(COUNTIF('Project codes'!$A$7:$A$106,U78)&gt;1,"Review: duplicate code",IF(_xlfn.XLOOKUP(U78,'Project codes'!$A$7:$A$106,'Project codes'!$F$7:$F$106,"Review",0)="Hold","Review: allocation hold",IF(OR(D78="",COUNTIF('SOW register'!$A$7:$A$36,D78)&lt;&gt;1),"Review: SOW mapping",IF(AND(G78&lt;&gt;"Yes",G78&lt;&gt;"No"),"Review: billability",IF(AB78="","Review: billing evidence","OK"))))))))))))))</x:f>
      </x:c>
      <x:c r="J78" s="24"/>
      <x:c r="K78" s="38"/>
      <x:c r="L78" s="38"/>
      <x:c r="M78" s="38"/>
      <x:c r="N78" s="39"/>
      <x:c r="O78" s="24"/>
      <x:c r="P78" s="24"/>
      <x:c r="Q78" s="38"/>
      <x:c r="R78" s="38"/>
      <x:c r="S78" s="24"/>
      <x:c r="T78" s="24"/>
      <x:c r="U78" s="37" t="str">
        <x:f>IF(OR(J78="",Q78="",R78=""),"",J78&amp;"|"&amp;Q78&amp;"|"&amp;R78)</x:f>
      </x:c>
      <x:c r="V78" s="24"/>
      <x:c r="W78" s="24"/>
      <x:c r="X78" s="40"/>
      <x:c r="Y78" s="40"/>
      <x:c r="Z78" s="39"/>
      <x:c r="AA78" s="39"/>
      <x:c r="AB78" s="24"/>
    </x:row>
    <x:row r="79" ht="23" customHeight="1">
      <x:c r="A79" s="20"/>
      <x:c r="B79" s="5"/>
      <x:c r="C79" s="4"/>
      <x:c r="D79" s="34" t="str">
        <x:f>IF(OR(A79="",U79="",COUNTIF('Project codes'!$A$7:$A$106,U79)&lt;&gt;1),"",_xlfn.XLOOKUP(U79,'Project codes'!$A$7:$A$106,'Project codes'!$I$7:$I$106,"",0))</x:f>
      </x:c>
      <x:c r="E79" s="4"/>
      <x:c r="F79" s="35" t="str">
        <x:f>IF(AND(ISNUMBER(N79),N79&gt;=0,O79="Complete"),N79/3600000,"")</x:f>
      </x:c>
      <x:c r="G79" s="4"/>
      <x:c r="H79" s="4"/>
      <x:c r="I79" s="36" t="str">
        <x:f>IF(COUNTA(A79:C79,E79,G79:H79,J79:T79,V79:AB79)=0,"",IF(A79="","Review: missing entry ID",IF(COUNTIF($A$7:$A$506,A79)&gt;1,"Review: duplicate entry ID",IF(NOT(ISNUMBER(B79)),"Review: work date",IF(OR(C79="",E79="",K79="",M79="",H79=""),"Review: source details",IF(J79&lt;&gt;'Estimate review'!$J$5,"Review: project scope",IF(OR(NOT(ISNUMBER(N79)),N79&lt;0,O79&lt;&gt;"Complete"),"Review: duration",IF(S79&lt;&gt;"Coded","Review: coding status",IF(OR(U79="",COUNTIF('Project codes'!$A$7:$A$106,U79)=0),"Review: SOW mapping",IF(COUNTIF('Project codes'!$A$7:$A$106,U79)&gt;1,"Review: duplicate code",IF(_xlfn.XLOOKUP(U79,'Project codes'!$A$7:$A$106,'Project codes'!$F$7:$F$106,"Review",0)="Hold","Review: allocation hold",IF(OR(D79="",COUNTIF('SOW register'!$A$7:$A$36,D79)&lt;&gt;1),"Review: SOW mapping",IF(AND(G79&lt;&gt;"Yes",G79&lt;&gt;"No"),"Review: billability",IF(AB79="","Review: billing evidence","OK"))))))))))))))</x:f>
      </x:c>
      <x:c r="J79" s="24"/>
      <x:c r="K79" s="38"/>
      <x:c r="L79" s="38"/>
      <x:c r="M79" s="38"/>
      <x:c r="N79" s="39"/>
      <x:c r="O79" s="24"/>
      <x:c r="P79" s="24"/>
      <x:c r="Q79" s="38"/>
      <x:c r="R79" s="38"/>
      <x:c r="S79" s="24"/>
      <x:c r="T79" s="24"/>
      <x:c r="U79" s="37" t="str">
        <x:f>IF(OR(J79="",Q79="",R79=""),"",J79&amp;"|"&amp;Q79&amp;"|"&amp;R79)</x:f>
      </x:c>
      <x:c r="V79" s="24"/>
      <x:c r="W79" s="24"/>
      <x:c r="X79" s="40"/>
      <x:c r="Y79" s="40"/>
      <x:c r="Z79" s="39"/>
      <x:c r="AA79" s="39"/>
      <x:c r="AB79" s="24"/>
    </x:row>
    <x:row r="80" ht="23" customHeight="1">
      <x:c r="A80" s="20"/>
      <x:c r="B80" s="5"/>
      <x:c r="C80" s="4"/>
      <x:c r="D80" s="34" t="str">
        <x:f>IF(OR(A80="",U80="",COUNTIF('Project codes'!$A$7:$A$106,U80)&lt;&gt;1),"",_xlfn.XLOOKUP(U80,'Project codes'!$A$7:$A$106,'Project codes'!$I$7:$I$106,"",0))</x:f>
      </x:c>
      <x:c r="E80" s="4"/>
      <x:c r="F80" s="35" t="str">
        <x:f>IF(AND(ISNUMBER(N80),N80&gt;=0,O80="Complete"),N80/3600000,"")</x:f>
      </x:c>
      <x:c r="G80" s="4"/>
      <x:c r="H80" s="4"/>
      <x:c r="I80" s="36" t="str">
        <x:f>IF(COUNTA(A80:C80,E80,G80:H80,J80:T80,V80:AB80)=0,"",IF(A80="","Review: missing entry ID",IF(COUNTIF($A$7:$A$506,A80)&gt;1,"Review: duplicate entry ID",IF(NOT(ISNUMBER(B80)),"Review: work date",IF(OR(C80="",E80="",K80="",M80="",H80=""),"Review: source details",IF(J80&lt;&gt;'Estimate review'!$J$5,"Review: project scope",IF(OR(NOT(ISNUMBER(N80)),N80&lt;0,O80&lt;&gt;"Complete"),"Review: duration",IF(S80&lt;&gt;"Coded","Review: coding status",IF(OR(U80="",COUNTIF('Project codes'!$A$7:$A$106,U80)=0),"Review: SOW mapping",IF(COUNTIF('Project codes'!$A$7:$A$106,U80)&gt;1,"Review: duplicate code",IF(_xlfn.XLOOKUP(U80,'Project codes'!$A$7:$A$106,'Project codes'!$F$7:$F$106,"Review",0)="Hold","Review: allocation hold",IF(OR(D80="",COUNTIF('SOW register'!$A$7:$A$36,D80)&lt;&gt;1),"Review: SOW mapping",IF(AND(G80&lt;&gt;"Yes",G80&lt;&gt;"No"),"Review: billability",IF(AB80="","Review: billing evidence","OK"))))))))))))))</x:f>
      </x:c>
      <x:c r="J80" s="24"/>
      <x:c r="K80" s="38"/>
      <x:c r="L80" s="38"/>
      <x:c r="M80" s="38"/>
      <x:c r="N80" s="39"/>
      <x:c r="O80" s="24"/>
      <x:c r="P80" s="24"/>
      <x:c r="Q80" s="38"/>
      <x:c r="R80" s="38"/>
      <x:c r="S80" s="24"/>
      <x:c r="T80" s="24"/>
      <x:c r="U80" s="37" t="str">
        <x:f>IF(OR(J80="",Q80="",R80=""),"",J80&amp;"|"&amp;Q80&amp;"|"&amp;R80)</x:f>
      </x:c>
      <x:c r="V80" s="24"/>
      <x:c r="W80" s="24"/>
      <x:c r="X80" s="40"/>
      <x:c r="Y80" s="40"/>
      <x:c r="Z80" s="39"/>
      <x:c r="AA80" s="39"/>
      <x:c r="AB80" s="24"/>
    </x:row>
    <x:row r="81" ht="23" customHeight="1">
      <x:c r="A81" s="20"/>
      <x:c r="B81" s="5"/>
      <x:c r="C81" s="4"/>
      <x:c r="D81" s="34" t="str">
        <x:f>IF(OR(A81="",U81="",COUNTIF('Project codes'!$A$7:$A$106,U81)&lt;&gt;1),"",_xlfn.XLOOKUP(U81,'Project codes'!$A$7:$A$106,'Project codes'!$I$7:$I$106,"",0))</x:f>
      </x:c>
      <x:c r="E81" s="4"/>
      <x:c r="F81" s="35" t="str">
        <x:f>IF(AND(ISNUMBER(N81),N81&gt;=0,O81="Complete"),N81/3600000,"")</x:f>
      </x:c>
      <x:c r="G81" s="4"/>
      <x:c r="H81" s="4"/>
      <x:c r="I81" s="36" t="str">
        <x:f>IF(COUNTA(A81:C81,E81,G81:H81,J81:T81,V81:AB81)=0,"",IF(A81="","Review: missing entry ID",IF(COUNTIF($A$7:$A$506,A81)&gt;1,"Review: duplicate entry ID",IF(NOT(ISNUMBER(B81)),"Review: work date",IF(OR(C81="",E81="",K81="",M81="",H81=""),"Review: source details",IF(J81&lt;&gt;'Estimate review'!$J$5,"Review: project scope",IF(OR(NOT(ISNUMBER(N81)),N81&lt;0,O81&lt;&gt;"Complete"),"Review: duration",IF(S81&lt;&gt;"Coded","Review: coding status",IF(OR(U81="",COUNTIF('Project codes'!$A$7:$A$106,U81)=0),"Review: SOW mapping",IF(COUNTIF('Project codes'!$A$7:$A$106,U81)&gt;1,"Review: duplicate code",IF(_xlfn.XLOOKUP(U81,'Project codes'!$A$7:$A$106,'Project codes'!$F$7:$F$106,"Review",0)="Hold","Review: allocation hold",IF(OR(D81="",COUNTIF('SOW register'!$A$7:$A$36,D81)&lt;&gt;1),"Review: SOW mapping",IF(AND(G81&lt;&gt;"Yes",G81&lt;&gt;"No"),"Review: billability",IF(AB81="","Review: billing evidence","OK"))))))))))))))</x:f>
      </x:c>
      <x:c r="J81" s="24"/>
      <x:c r="K81" s="38"/>
      <x:c r="L81" s="38"/>
      <x:c r="M81" s="38"/>
      <x:c r="N81" s="39"/>
      <x:c r="O81" s="24"/>
      <x:c r="P81" s="24"/>
      <x:c r="Q81" s="38"/>
      <x:c r="R81" s="38"/>
      <x:c r="S81" s="24"/>
      <x:c r="T81" s="24"/>
      <x:c r="U81" s="37" t="str">
        <x:f>IF(OR(J81="",Q81="",R81=""),"",J81&amp;"|"&amp;Q81&amp;"|"&amp;R81)</x:f>
      </x:c>
      <x:c r="V81" s="24"/>
      <x:c r="W81" s="24"/>
      <x:c r="X81" s="40"/>
      <x:c r="Y81" s="40"/>
      <x:c r="Z81" s="39"/>
      <x:c r="AA81" s="39"/>
      <x:c r="AB81" s="24"/>
    </x:row>
    <x:row r="82" ht="23" customHeight="1">
      <x:c r="A82" s="20"/>
      <x:c r="B82" s="5"/>
      <x:c r="C82" s="4"/>
      <x:c r="D82" s="34" t="str">
        <x:f>IF(OR(A82="",U82="",COUNTIF('Project codes'!$A$7:$A$106,U82)&lt;&gt;1),"",_xlfn.XLOOKUP(U82,'Project codes'!$A$7:$A$106,'Project codes'!$I$7:$I$106,"",0))</x:f>
      </x:c>
      <x:c r="E82" s="4"/>
      <x:c r="F82" s="35" t="str">
        <x:f>IF(AND(ISNUMBER(N82),N82&gt;=0,O82="Complete"),N82/3600000,"")</x:f>
      </x:c>
      <x:c r="G82" s="4"/>
      <x:c r="H82" s="4"/>
      <x:c r="I82" s="36" t="str">
        <x:f>IF(COUNTA(A82:C82,E82,G82:H82,J82:T82,V82:AB82)=0,"",IF(A82="","Review: missing entry ID",IF(COUNTIF($A$7:$A$506,A82)&gt;1,"Review: duplicate entry ID",IF(NOT(ISNUMBER(B82)),"Review: work date",IF(OR(C82="",E82="",K82="",M82="",H82=""),"Review: source details",IF(J82&lt;&gt;'Estimate review'!$J$5,"Review: project scope",IF(OR(NOT(ISNUMBER(N82)),N82&lt;0,O82&lt;&gt;"Complete"),"Review: duration",IF(S82&lt;&gt;"Coded","Review: coding status",IF(OR(U82="",COUNTIF('Project codes'!$A$7:$A$106,U82)=0),"Review: SOW mapping",IF(COUNTIF('Project codes'!$A$7:$A$106,U82)&gt;1,"Review: duplicate code",IF(_xlfn.XLOOKUP(U82,'Project codes'!$A$7:$A$106,'Project codes'!$F$7:$F$106,"Review",0)="Hold","Review: allocation hold",IF(OR(D82="",COUNTIF('SOW register'!$A$7:$A$36,D82)&lt;&gt;1),"Review: SOW mapping",IF(AND(G82&lt;&gt;"Yes",G82&lt;&gt;"No"),"Review: billability",IF(AB82="","Review: billing evidence","OK"))))))))))))))</x:f>
      </x:c>
      <x:c r="J82" s="24"/>
      <x:c r="K82" s="38"/>
      <x:c r="L82" s="38"/>
      <x:c r="M82" s="38"/>
      <x:c r="N82" s="39"/>
      <x:c r="O82" s="24"/>
      <x:c r="P82" s="24"/>
      <x:c r="Q82" s="38"/>
      <x:c r="R82" s="38"/>
      <x:c r="S82" s="24"/>
      <x:c r="T82" s="24"/>
      <x:c r="U82" s="37" t="str">
        <x:f>IF(OR(J82="",Q82="",R82=""),"",J82&amp;"|"&amp;Q82&amp;"|"&amp;R82)</x:f>
      </x:c>
      <x:c r="V82" s="24"/>
      <x:c r="W82" s="24"/>
      <x:c r="X82" s="40"/>
      <x:c r="Y82" s="40"/>
      <x:c r="Z82" s="39"/>
      <x:c r="AA82" s="39"/>
      <x:c r="AB82" s="24"/>
    </x:row>
    <x:row r="83" ht="23" customHeight="1">
      <x:c r="A83" s="20"/>
      <x:c r="B83" s="5"/>
      <x:c r="C83" s="4"/>
      <x:c r="D83" s="34" t="str">
        <x:f>IF(OR(A83="",U83="",COUNTIF('Project codes'!$A$7:$A$106,U83)&lt;&gt;1),"",_xlfn.XLOOKUP(U83,'Project codes'!$A$7:$A$106,'Project codes'!$I$7:$I$106,"",0))</x:f>
      </x:c>
      <x:c r="E83" s="4"/>
      <x:c r="F83" s="35" t="str">
        <x:f>IF(AND(ISNUMBER(N83),N83&gt;=0,O83="Complete"),N83/3600000,"")</x:f>
      </x:c>
      <x:c r="G83" s="4"/>
      <x:c r="H83" s="4"/>
      <x:c r="I83" s="36" t="str">
        <x:f>IF(COUNTA(A83:C83,E83,G83:H83,J83:T83,V83:AB83)=0,"",IF(A83="","Review: missing entry ID",IF(COUNTIF($A$7:$A$506,A83)&gt;1,"Review: duplicate entry ID",IF(NOT(ISNUMBER(B83)),"Review: work date",IF(OR(C83="",E83="",K83="",M83="",H83=""),"Review: source details",IF(J83&lt;&gt;'Estimate review'!$J$5,"Review: project scope",IF(OR(NOT(ISNUMBER(N83)),N83&lt;0,O83&lt;&gt;"Complete"),"Review: duration",IF(S83&lt;&gt;"Coded","Review: coding status",IF(OR(U83="",COUNTIF('Project codes'!$A$7:$A$106,U83)=0),"Review: SOW mapping",IF(COUNTIF('Project codes'!$A$7:$A$106,U83)&gt;1,"Review: duplicate code",IF(_xlfn.XLOOKUP(U83,'Project codes'!$A$7:$A$106,'Project codes'!$F$7:$F$106,"Review",0)="Hold","Review: allocation hold",IF(OR(D83="",COUNTIF('SOW register'!$A$7:$A$36,D83)&lt;&gt;1),"Review: SOW mapping",IF(AND(G83&lt;&gt;"Yes",G83&lt;&gt;"No"),"Review: billability",IF(AB83="","Review: billing evidence","OK"))))))))))))))</x:f>
      </x:c>
      <x:c r="J83" s="24"/>
      <x:c r="K83" s="38"/>
      <x:c r="L83" s="38"/>
      <x:c r="M83" s="38"/>
      <x:c r="N83" s="39"/>
      <x:c r="O83" s="24"/>
      <x:c r="P83" s="24"/>
      <x:c r="Q83" s="38"/>
      <x:c r="R83" s="38"/>
      <x:c r="S83" s="24"/>
      <x:c r="T83" s="24"/>
      <x:c r="U83" s="37" t="str">
        <x:f>IF(OR(J83="",Q83="",R83=""),"",J83&amp;"|"&amp;Q83&amp;"|"&amp;R83)</x:f>
      </x:c>
      <x:c r="V83" s="24"/>
      <x:c r="W83" s="24"/>
      <x:c r="X83" s="40"/>
      <x:c r="Y83" s="40"/>
      <x:c r="Z83" s="39"/>
      <x:c r="AA83" s="39"/>
      <x:c r="AB83" s="24"/>
    </x:row>
    <x:row r="84" ht="23" customHeight="1">
      <x:c r="A84" s="20"/>
      <x:c r="B84" s="5"/>
      <x:c r="C84" s="4"/>
      <x:c r="D84" s="34" t="str">
        <x:f>IF(OR(A84="",U84="",COUNTIF('Project codes'!$A$7:$A$106,U84)&lt;&gt;1),"",_xlfn.XLOOKUP(U84,'Project codes'!$A$7:$A$106,'Project codes'!$I$7:$I$106,"",0))</x:f>
      </x:c>
      <x:c r="E84" s="4"/>
      <x:c r="F84" s="35" t="str">
        <x:f>IF(AND(ISNUMBER(N84),N84&gt;=0,O84="Complete"),N84/3600000,"")</x:f>
      </x:c>
      <x:c r="G84" s="4"/>
      <x:c r="H84" s="4"/>
      <x:c r="I84" s="36" t="str">
        <x:f>IF(COUNTA(A84:C84,E84,G84:H84,J84:T84,V84:AB84)=0,"",IF(A84="","Review: missing entry ID",IF(COUNTIF($A$7:$A$506,A84)&gt;1,"Review: duplicate entry ID",IF(NOT(ISNUMBER(B84)),"Review: work date",IF(OR(C84="",E84="",K84="",M84="",H84=""),"Review: source details",IF(J84&lt;&gt;'Estimate review'!$J$5,"Review: project scope",IF(OR(NOT(ISNUMBER(N84)),N84&lt;0,O84&lt;&gt;"Complete"),"Review: duration",IF(S84&lt;&gt;"Coded","Review: coding status",IF(OR(U84="",COUNTIF('Project codes'!$A$7:$A$106,U84)=0),"Review: SOW mapping",IF(COUNTIF('Project codes'!$A$7:$A$106,U84)&gt;1,"Review: duplicate code",IF(_xlfn.XLOOKUP(U84,'Project codes'!$A$7:$A$106,'Project codes'!$F$7:$F$106,"Review",0)="Hold","Review: allocation hold",IF(OR(D84="",COUNTIF('SOW register'!$A$7:$A$36,D84)&lt;&gt;1),"Review: SOW mapping",IF(AND(G84&lt;&gt;"Yes",G84&lt;&gt;"No"),"Review: billability",IF(AB84="","Review: billing evidence","OK"))))))))))))))</x:f>
      </x:c>
      <x:c r="J84" s="24"/>
      <x:c r="K84" s="38"/>
      <x:c r="L84" s="38"/>
      <x:c r="M84" s="38"/>
      <x:c r="N84" s="39"/>
      <x:c r="O84" s="24"/>
      <x:c r="P84" s="24"/>
      <x:c r="Q84" s="38"/>
      <x:c r="R84" s="38"/>
      <x:c r="S84" s="24"/>
      <x:c r="T84" s="24"/>
      <x:c r="U84" s="37" t="str">
        <x:f>IF(OR(J84="",Q84="",R84=""),"",J84&amp;"|"&amp;Q84&amp;"|"&amp;R84)</x:f>
      </x:c>
      <x:c r="V84" s="24"/>
      <x:c r="W84" s="24"/>
      <x:c r="X84" s="40"/>
      <x:c r="Y84" s="40"/>
      <x:c r="Z84" s="39"/>
      <x:c r="AA84" s="39"/>
      <x:c r="AB84" s="24"/>
    </x:row>
    <x:row r="85" ht="23" customHeight="1">
      <x:c r="A85" s="20"/>
      <x:c r="B85" s="5"/>
      <x:c r="C85" s="4"/>
      <x:c r="D85" s="34" t="str">
        <x:f>IF(OR(A85="",U85="",COUNTIF('Project codes'!$A$7:$A$106,U85)&lt;&gt;1),"",_xlfn.XLOOKUP(U85,'Project codes'!$A$7:$A$106,'Project codes'!$I$7:$I$106,"",0))</x:f>
      </x:c>
      <x:c r="E85" s="4"/>
      <x:c r="F85" s="35" t="str">
        <x:f>IF(AND(ISNUMBER(N85),N85&gt;=0,O85="Complete"),N85/3600000,"")</x:f>
      </x:c>
      <x:c r="G85" s="4"/>
      <x:c r="H85" s="4"/>
      <x:c r="I85" s="36" t="str">
        <x:f>IF(COUNTA(A85:C85,E85,G85:H85,J85:T85,V85:AB85)=0,"",IF(A85="","Review: missing entry ID",IF(COUNTIF($A$7:$A$506,A85)&gt;1,"Review: duplicate entry ID",IF(NOT(ISNUMBER(B85)),"Review: work date",IF(OR(C85="",E85="",K85="",M85="",H85=""),"Review: source details",IF(J85&lt;&gt;'Estimate review'!$J$5,"Review: project scope",IF(OR(NOT(ISNUMBER(N85)),N85&lt;0,O85&lt;&gt;"Complete"),"Review: duration",IF(S85&lt;&gt;"Coded","Review: coding status",IF(OR(U85="",COUNTIF('Project codes'!$A$7:$A$106,U85)=0),"Review: SOW mapping",IF(COUNTIF('Project codes'!$A$7:$A$106,U85)&gt;1,"Review: duplicate code",IF(_xlfn.XLOOKUP(U85,'Project codes'!$A$7:$A$106,'Project codes'!$F$7:$F$106,"Review",0)="Hold","Review: allocation hold",IF(OR(D85="",COUNTIF('SOW register'!$A$7:$A$36,D85)&lt;&gt;1),"Review: SOW mapping",IF(AND(G85&lt;&gt;"Yes",G85&lt;&gt;"No"),"Review: billability",IF(AB85="","Review: billing evidence","OK"))))))))))))))</x:f>
      </x:c>
      <x:c r="J85" s="24"/>
      <x:c r="K85" s="38"/>
      <x:c r="L85" s="38"/>
      <x:c r="M85" s="38"/>
      <x:c r="N85" s="39"/>
      <x:c r="O85" s="24"/>
      <x:c r="P85" s="24"/>
      <x:c r="Q85" s="38"/>
      <x:c r="R85" s="38"/>
      <x:c r="S85" s="24"/>
      <x:c r="T85" s="24"/>
      <x:c r="U85" s="37" t="str">
        <x:f>IF(OR(J85="",Q85="",R85=""),"",J85&amp;"|"&amp;Q85&amp;"|"&amp;R85)</x:f>
      </x:c>
      <x:c r="V85" s="24"/>
      <x:c r="W85" s="24"/>
      <x:c r="X85" s="40"/>
      <x:c r="Y85" s="40"/>
      <x:c r="Z85" s="39"/>
      <x:c r="AA85" s="39"/>
      <x:c r="AB85" s="24"/>
    </x:row>
    <x:row r="86" ht="23" customHeight="1">
      <x:c r="A86" s="20"/>
      <x:c r="B86" s="5"/>
      <x:c r="C86" s="4"/>
      <x:c r="D86" s="34" t="str">
        <x:f>IF(OR(A86="",U86="",COUNTIF('Project codes'!$A$7:$A$106,U86)&lt;&gt;1),"",_xlfn.XLOOKUP(U86,'Project codes'!$A$7:$A$106,'Project codes'!$I$7:$I$106,"",0))</x:f>
      </x:c>
      <x:c r="E86" s="4"/>
      <x:c r="F86" s="35" t="str">
        <x:f>IF(AND(ISNUMBER(N86),N86&gt;=0,O86="Complete"),N86/3600000,"")</x:f>
      </x:c>
      <x:c r="G86" s="4"/>
      <x:c r="H86" s="4"/>
      <x:c r="I86" s="36" t="str">
        <x:f>IF(COUNTA(A86:C86,E86,G86:H86,J86:T86,V86:AB86)=0,"",IF(A86="","Review: missing entry ID",IF(COUNTIF($A$7:$A$506,A86)&gt;1,"Review: duplicate entry ID",IF(NOT(ISNUMBER(B86)),"Review: work date",IF(OR(C86="",E86="",K86="",M86="",H86=""),"Review: source details",IF(J86&lt;&gt;'Estimate review'!$J$5,"Review: project scope",IF(OR(NOT(ISNUMBER(N86)),N86&lt;0,O86&lt;&gt;"Complete"),"Review: duration",IF(S86&lt;&gt;"Coded","Review: coding status",IF(OR(U86="",COUNTIF('Project codes'!$A$7:$A$106,U86)=0),"Review: SOW mapping",IF(COUNTIF('Project codes'!$A$7:$A$106,U86)&gt;1,"Review: duplicate code",IF(_xlfn.XLOOKUP(U86,'Project codes'!$A$7:$A$106,'Project codes'!$F$7:$F$106,"Review",0)="Hold","Review: allocation hold",IF(OR(D86="",COUNTIF('SOW register'!$A$7:$A$36,D86)&lt;&gt;1),"Review: SOW mapping",IF(AND(G86&lt;&gt;"Yes",G86&lt;&gt;"No"),"Review: billability",IF(AB86="","Review: billing evidence","OK"))))))))))))))</x:f>
      </x:c>
      <x:c r="J86" s="24"/>
      <x:c r="K86" s="38"/>
      <x:c r="L86" s="38"/>
      <x:c r="M86" s="38"/>
      <x:c r="N86" s="39"/>
      <x:c r="O86" s="24"/>
      <x:c r="P86" s="24"/>
      <x:c r="Q86" s="38"/>
      <x:c r="R86" s="38"/>
      <x:c r="S86" s="24"/>
      <x:c r="T86" s="24"/>
      <x:c r="U86" s="37" t="str">
        <x:f>IF(OR(J86="",Q86="",R86=""),"",J86&amp;"|"&amp;Q86&amp;"|"&amp;R86)</x:f>
      </x:c>
      <x:c r="V86" s="24"/>
      <x:c r="W86" s="24"/>
      <x:c r="X86" s="40"/>
      <x:c r="Y86" s="40"/>
      <x:c r="Z86" s="39"/>
      <x:c r="AA86" s="39"/>
      <x:c r="AB86" s="24"/>
    </x:row>
    <x:row r="87" ht="23" customHeight="1">
      <x:c r="A87" s="20"/>
      <x:c r="B87" s="5"/>
      <x:c r="C87" s="4"/>
      <x:c r="D87" s="34" t="str">
        <x:f>IF(OR(A87="",U87="",COUNTIF('Project codes'!$A$7:$A$106,U87)&lt;&gt;1),"",_xlfn.XLOOKUP(U87,'Project codes'!$A$7:$A$106,'Project codes'!$I$7:$I$106,"",0))</x:f>
      </x:c>
      <x:c r="E87" s="4"/>
      <x:c r="F87" s="35" t="str">
        <x:f>IF(AND(ISNUMBER(N87),N87&gt;=0,O87="Complete"),N87/3600000,"")</x:f>
      </x:c>
      <x:c r="G87" s="4"/>
      <x:c r="H87" s="4"/>
      <x:c r="I87" s="36" t="str">
        <x:f>IF(COUNTA(A87:C87,E87,G87:H87,J87:T87,V87:AB87)=0,"",IF(A87="","Review: missing entry ID",IF(COUNTIF($A$7:$A$506,A87)&gt;1,"Review: duplicate entry ID",IF(NOT(ISNUMBER(B87)),"Review: work date",IF(OR(C87="",E87="",K87="",M87="",H87=""),"Review: source details",IF(J87&lt;&gt;'Estimate review'!$J$5,"Review: project scope",IF(OR(NOT(ISNUMBER(N87)),N87&lt;0,O87&lt;&gt;"Complete"),"Review: duration",IF(S87&lt;&gt;"Coded","Review: coding status",IF(OR(U87="",COUNTIF('Project codes'!$A$7:$A$106,U87)=0),"Review: SOW mapping",IF(COUNTIF('Project codes'!$A$7:$A$106,U87)&gt;1,"Review: duplicate code",IF(_xlfn.XLOOKUP(U87,'Project codes'!$A$7:$A$106,'Project codes'!$F$7:$F$106,"Review",0)="Hold","Review: allocation hold",IF(OR(D87="",COUNTIF('SOW register'!$A$7:$A$36,D87)&lt;&gt;1),"Review: SOW mapping",IF(AND(G87&lt;&gt;"Yes",G87&lt;&gt;"No"),"Review: billability",IF(AB87="","Review: billing evidence","OK"))))))))))))))</x:f>
      </x:c>
      <x:c r="J87" s="24"/>
      <x:c r="K87" s="38"/>
      <x:c r="L87" s="38"/>
      <x:c r="M87" s="38"/>
      <x:c r="N87" s="39"/>
      <x:c r="O87" s="24"/>
      <x:c r="P87" s="24"/>
      <x:c r="Q87" s="38"/>
      <x:c r="R87" s="38"/>
      <x:c r="S87" s="24"/>
      <x:c r="T87" s="24"/>
      <x:c r="U87" s="37" t="str">
        <x:f>IF(OR(J87="",Q87="",R87=""),"",J87&amp;"|"&amp;Q87&amp;"|"&amp;R87)</x:f>
      </x:c>
      <x:c r="V87" s="24"/>
      <x:c r="W87" s="24"/>
      <x:c r="X87" s="40"/>
      <x:c r="Y87" s="40"/>
      <x:c r="Z87" s="39"/>
      <x:c r="AA87" s="39"/>
      <x:c r="AB87" s="24"/>
    </x:row>
    <x:row r="88" ht="23" customHeight="1">
      <x:c r="A88" s="20"/>
      <x:c r="B88" s="5"/>
      <x:c r="C88" s="4"/>
      <x:c r="D88" s="34" t="str">
        <x:f>IF(OR(A88="",U88="",COUNTIF('Project codes'!$A$7:$A$106,U88)&lt;&gt;1),"",_xlfn.XLOOKUP(U88,'Project codes'!$A$7:$A$106,'Project codes'!$I$7:$I$106,"",0))</x:f>
      </x:c>
      <x:c r="E88" s="4"/>
      <x:c r="F88" s="35" t="str">
        <x:f>IF(AND(ISNUMBER(N88),N88&gt;=0,O88="Complete"),N88/3600000,"")</x:f>
      </x:c>
      <x:c r="G88" s="4"/>
      <x:c r="H88" s="4"/>
      <x:c r="I88" s="36" t="str">
        <x:f>IF(COUNTA(A88:C88,E88,G88:H88,J88:T88,V88:AB88)=0,"",IF(A88="","Review: missing entry ID",IF(COUNTIF($A$7:$A$506,A88)&gt;1,"Review: duplicate entry ID",IF(NOT(ISNUMBER(B88)),"Review: work date",IF(OR(C88="",E88="",K88="",M88="",H88=""),"Review: source details",IF(J88&lt;&gt;'Estimate review'!$J$5,"Review: project scope",IF(OR(NOT(ISNUMBER(N88)),N88&lt;0,O88&lt;&gt;"Complete"),"Review: duration",IF(S88&lt;&gt;"Coded","Review: coding status",IF(OR(U88="",COUNTIF('Project codes'!$A$7:$A$106,U88)=0),"Review: SOW mapping",IF(COUNTIF('Project codes'!$A$7:$A$106,U88)&gt;1,"Review: duplicate code",IF(_xlfn.XLOOKUP(U88,'Project codes'!$A$7:$A$106,'Project codes'!$F$7:$F$106,"Review",0)="Hold","Review: allocation hold",IF(OR(D88="",COUNTIF('SOW register'!$A$7:$A$36,D88)&lt;&gt;1),"Review: SOW mapping",IF(AND(G88&lt;&gt;"Yes",G88&lt;&gt;"No"),"Review: billability",IF(AB88="","Review: billing evidence","OK"))))))))))))))</x:f>
      </x:c>
      <x:c r="J88" s="24"/>
      <x:c r="K88" s="38"/>
      <x:c r="L88" s="38"/>
      <x:c r="M88" s="38"/>
      <x:c r="N88" s="39"/>
      <x:c r="O88" s="24"/>
      <x:c r="P88" s="24"/>
      <x:c r="Q88" s="38"/>
      <x:c r="R88" s="38"/>
      <x:c r="S88" s="24"/>
      <x:c r="T88" s="24"/>
      <x:c r="U88" s="37" t="str">
        <x:f>IF(OR(J88="",Q88="",R88=""),"",J88&amp;"|"&amp;Q88&amp;"|"&amp;R88)</x:f>
      </x:c>
      <x:c r="V88" s="24"/>
      <x:c r="W88" s="24"/>
      <x:c r="X88" s="40"/>
      <x:c r="Y88" s="40"/>
      <x:c r="Z88" s="39"/>
      <x:c r="AA88" s="39"/>
      <x:c r="AB88" s="24"/>
    </x:row>
    <x:row r="89" ht="23" customHeight="1">
      <x:c r="A89" s="20"/>
      <x:c r="B89" s="5"/>
      <x:c r="C89" s="4"/>
      <x:c r="D89" s="34" t="str">
        <x:f>IF(OR(A89="",U89="",COUNTIF('Project codes'!$A$7:$A$106,U89)&lt;&gt;1),"",_xlfn.XLOOKUP(U89,'Project codes'!$A$7:$A$106,'Project codes'!$I$7:$I$106,"",0))</x:f>
      </x:c>
      <x:c r="E89" s="4"/>
      <x:c r="F89" s="35" t="str">
        <x:f>IF(AND(ISNUMBER(N89),N89&gt;=0,O89="Complete"),N89/3600000,"")</x:f>
      </x:c>
      <x:c r="G89" s="4"/>
      <x:c r="H89" s="4"/>
      <x:c r="I89" s="36" t="str">
        <x:f>IF(COUNTA(A89:C89,E89,G89:H89,J89:T89,V89:AB89)=0,"",IF(A89="","Review: missing entry ID",IF(COUNTIF($A$7:$A$506,A89)&gt;1,"Review: duplicate entry ID",IF(NOT(ISNUMBER(B89)),"Review: work date",IF(OR(C89="",E89="",K89="",M89="",H89=""),"Review: source details",IF(J89&lt;&gt;'Estimate review'!$J$5,"Review: project scope",IF(OR(NOT(ISNUMBER(N89)),N89&lt;0,O89&lt;&gt;"Complete"),"Review: duration",IF(S89&lt;&gt;"Coded","Review: coding status",IF(OR(U89="",COUNTIF('Project codes'!$A$7:$A$106,U89)=0),"Review: SOW mapping",IF(COUNTIF('Project codes'!$A$7:$A$106,U89)&gt;1,"Review: duplicate code",IF(_xlfn.XLOOKUP(U89,'Project codes'!$A$7:$A$106,'Project codes'!$F$7:$F$106,"Review",0)="Hold","Review: allocation hold",IF(OR(D89="",COUNTIF('SOW register'!$A$7:$A$36,D89)&lt;&gt;1),"Review: SOW mapping",IF(AND(G89&lt;&gt;"Yes",G89&lt;&gt;"No"),"Review: billability",IF(AB89="","Review: billing evidence","OK"))))))))))))))</x:f>
      </x:c>
      <x:c r="J89" s="24"/>
      <x:c r="K89" s="38"/>
      <x:c r="L89" s="38"/>
      <x:c r="M89" s="38"/>
      <x:c r="N89" s="39"/>
      <x:c r="O89" s="24"/>
      <x:c r="P89" s="24"/>
      <x:c r="Q89" s="38"/>
      <x:c r="R89" s="38"/>
      <x:c r="S89" s="24"/>
      <x:c r="T89" s="24"/>
      <x:c r="U89" s="37" t="str">
        <x:f>IF(OR(J89="",Q89="",R89=""),"",J89&amp;"|"&amp;Q89&amp;"|"&amp;R89)</x:f>
      </x:c>
      <x:c r="V89" s="24"/>
      <x:c r="W89" s="24"/>
      <x:c r="X89" s="40"/>
      <x:c r="Y89" s="40"/>
      <x:c r="Z89" s="39"/>
      <x:c r="AA89" s="39"/>
      <x:c r="AB89" s="24"/>
    </x:row>
    <x:row r="90" ht="23" customHeight="1">
      <x:c r="A90" s="20"/>
      <x:c r="B90" s="5"/>
      <x:c r="C90" s="4"/>
      <x:c r="D90" s="34" t="str">
        <x:f>IF(OR(A90="",U90="",COUNTIF('Project codes'!$A$7:$A$106,U90)&lt;&gt;1),"",_xlfn.XLOOKUP(U90,'Project codes'!$A$7:$A$106,'Project codes'!$I$7:$I$106,"",0))</x:f>
      </x:c>
      <x:c r="E90" s="4"/>
      <x:c r="F90" s="35" t="str">
        <x:f>IF(AND(ISNUMBER(N90),N90&gt;=0,O90="Complete"),N90/3600000,"")</x:f>
      </x:c>
      <x:c r="G90" s="4"/>
      <x:c r="H90" s="4"/>
      <x:c r="I90" s="36" t="str">
        <x:f>IF(COUNTA(A90:C90,E90,G90:H90,J90:T90,V90:AB90)=0,"",IF(A90="","Review: missing entry ID",IF(COUNTIF($A$7:$A$506,A90)&gt;1,"Review: duplicate entry ID",IF(NOT(ISNUMBER(B90)),"Review: work date",IF(OR(C90="",E90="",K90="",M90="",H90=""),"Review: source details",IF(J90&lt;&gt;'Estimate review'!$J$5,"Review: project scope",IF(OR(NOT(ISNUMBER(N90)),N90&lt;0,O90&lt;&gt;"Complete"),"Review: duration",IF(S90&lt;&gt;"Coded","Review: coding status",IF(OR(U90="",COUNTIF('Project codes'!$A$7:$A$106,U90)=0),"Review: SOW mapping",IF(COUNTIF('Project codes'!$A$7:$A$106,U90)&gt;1,"Review: duplicate code",IF(_xlfn.XLOOKUP(U90,'Project codes'!$A$7:$A$106,'Project codes'!$F$7:$F$106,"Review",0)="Hold","Review: allocation hold",IF(OR(D90="",COUNTIF('SOW register'!$A$7:$A$36,D90)&lt;&gt;1),"Review: SOW mapping",IF(AND(G90&lt;&gt;"Yes",G90&lt;&gt;"No"),"Review: billability",IF(AB90="","Review: billing evidence","OK"))))))))))))))</x:f>
      </x:c>
      <x:c r="J90" s="24"/>
      <x:c r="K90" s="38"/>
      <x:c r="L90" s="38"/>
      <x:c r="M90" s="38"/>
      <x:c r="N90" s="39"/>
      <x:c r="O90" s="24"/>
      <x:c r="P90" s="24"/>
      <x:c r="Q90" s="38"/>
      <x:c r="R90" s="38"/>
      <x:c r="S90" s="24"/>
      <x:c r="T90" s="24"/>
      <x:c r="U90" s="37" t="str">
        <x:f>IF(OR(J90="",Q90="",R90=""),"",J90&amp;"|"&amp;Q90&amp;"|"&amp;R90)</x:f>
      </x:c>
      <x:c r="V90" s="24"/>
      <x:c r="W90" s="24"/>
      <x:c r="X90" s="40"/>
      <x:c r="Y90" s="40"/>
      <x:c r="Z90" s="39"/>
      <x:c r="AA90" s="39"/>
      <x:c r="AB90" s="24"/>
    </x:row>
    <x:row r="91" ht="23" customHeight="1">
      <x:c r="A91" s="20"/>
      <x:c r="B91" s="5"/>
      <x:c r="C91" s="4"/>
      <x:c r="D91" s="34" t="str">
        <x:f>IF(OR(A91="",U91="",COUNTIF('Project codes'!$A$7:$A$106,U91)&lt;&gt;1),"",_xlfn.XLOOKUP(U91,'Project codes'!$A$7:$A$106,'Project codes'!$I$7:$I$106,"",0))</x:f>
      </x:c>
      <x:c r="E91" s="4"/>
      <x:c r="F91" s="35" t="str">
        <x:f>IF(AND(ISNUMBER(N91),N91&gt;=0,O91="Complete"),N91/3600000,"")</x:f>
      </x:c>
      <x:c r="G91" s="4"/>
      <x:c r="H91" s="4"/>
      <x:c r="I91" s="36" t="str">
        <x:f>IF(COUNTA(A91:C91,E91,G91:H91,J91:T91,V91:AB91)=0,"",IF(A91="","Review: missing entry ID",IF(COUNTIF($A$7:$A$506,A91)&gt;1,"Review: duplicate entry ID",IF(NOT(ISNUMBER(B91)),"Review: work date",IF(OR(C91="",E91="",K91="",M91="",H91=""),"Review: source details",IF(J91&lt;&gt;'Estimate review'!$J$5,"Review: project scope",IF(OR(NOT(ISNUMBER(N91)),N91&lt;0,O91&lt;&gt;"Complete"),"Review: duration",IF(S91&lt;&gt;"Coded","Review: coding status",IF(OR(U91="",COUNTIF('Project codes'!$A$7:$A$106,U91)=0),"Review: SOW mapping",IF(COUNTIF('Project codes'!$A$7:$A$106,U91)&gt;1,"Review: duplicate code",IF(_xlfn.XLOOKUP(U91,'Project codes'!$A$7:$A$106,'Project codes'!$F$7:$F$106,"Review",0)="Hold","Review: allocation hold",IF(OR(D91="",COUNTIF('SOW register'!$A$7:$A$36,D91)&lt;&gt;1),"Review: SOW mapping",IF(AND(G91&lt;&gt;"Yes",G91&lt;&gt;"No"),"Review: billability",IF(AB91="","Review: billing evidence","OK"))))))))))))))</x:f>
      </x:c>
      <x:c r="J91" s="24"/>
      <x:c r="K91" s="38"/>
      <x:c r="L91" s="38"/>
      <x:c r="M91" s="38"/>
      <x:c r="N91" s="39"/>
      <x:c r="O91" s="24"/>
      <x:c r="P91" s="24"/>
      <x:c r="Q91" s="38"/>
      <x:c r="R91" s="38"/>
      <x:c r="S91" s="24"/>
      <x:c r="T91" s="24"/>
      <x:c r="U91" s="37" t="str">
        <x:f>IF(OR(J91="",Q91="",R91=""),"",J91&amp;"|"&amp;Q91&amp;"|"&amp;R91)</x:f>
      </x:c>
      <x:c r="V91" s="24"/>
      <x:c r="W91" s="24"/>
      <x:c r="X91" s="40"/>
      <x:c r="Y91" s="40"/>
      <x:c r="Z91" s="39"/>
      <x:c r="AA91" s="39"/>
      <x:c r="AB91" s="24"/>
    </x:row>
    <x:row r="92" ht="23" customHeight="1">
      <x:c r="A92" s="20"/>
      <x:c r="B92" s="5"/>
      <x:c r="C92" s="4"/>
      <x:c r="D92" s="34" t="str">
        <x:f>IF(OR(A92="",U92="",COUNTIF('Project codes'!$A$7:$A$106,U92)&lt;&gt;1),"",_xlfn.XLOOKUP(U92,'Project codes'!$A$7:$A$106,'Project codes'!$I$7:$I$106,"",0))</x:f>
      </x:c>
      <x:c r="E92" s="4"/>
      <x:c r="F92" s="35" t="str">
        <x:f>IF(AND(ISNUMBER(N92),N92&gt;=0,O92="Complete"),N92/3600000,"")</x:f>
      </x:c>
      <x:c r="G92" s="4"/>
      <x:c r="H92" s="4"/>
      <x:c r="I92" s="36" t="str">
        <x:f>IF(COUNTA(A92:C92,E92,G92:H92,J92:T92,V92:AB92)=0,"",IF(A92="","Review: missing entry ID",IF(COUNTIF($A$7:$A$506,A92)&gt;1,"Review: duplicate entry ID",IF(NOT(ISNUMBER(B92)),"Review: work date",IF(OR(C92="",E92="",K92="",M92="",H92=""),"Review: source details",IF(J92&lt;&gt;'Estimate review'!$J$5,"Review: project scope",IF(OR(NOT(ISNUMBER(N92)),N92&lt;0,O92&lt;&gt;"Complete"),"Review: duration",IF(S92&lt;&gt;"Coded","Review: coding status",IF(OR(U92="",COUNTIF('Project codes'!$A$7:$A$106,U92)=0),"Review: SOW mapping",IF(COUNTIF('Project codes'!$A$7:$A$106,U92)&gt;1,"Review: duplicate code",IF(_xlfn.XLOOKUP(U92,'Project codes'!$A$7:$A$106,'Project codes'!$F$7:$F$106,"Review",0)="Hold","Review: allocation hold",IF(OR(D92="",COUNTIF('SOW register'!$A$7:$A$36,D92)&lt;&gt;1),"Review: SOW mapping",IF(AND(G92&lt;&gt;"Yes",G92&lt;&gt;"No"),"Review: billability",IF(AB92="","Review: billing evidence","OK"))))))))))))))</x:f>
      </x:c>
      <x:c r="J92" s="24"/>
      <x:c r="K92" s="38"/>
      <x:c r="L92" s="38"/>
      <x:c r="M92" s="38"/>
      <x:c r="N92" s="39"/>
      <x:c r="O92" s="24"/>
      <x:c r="P92" s="24"/>
      <x:c r="Q92" s="38"/>
      <x:c r="R92" s="38"/>
      <x:c r="S92" s="24"/>
      <x:c r="T92" s="24"/>
      <x:c r="U92" s="37" t="str">
        <x:f>IF(OR(J92="",Q92="",R92=""),"",J92&amp;"|"&amp;Q92&amp;"|"&amp;R92)</x:f>
      </x:c>
      <x:c r="V92" s="24"/>
      <x:c r="W92" s="24"/>
      <x:c r="X92" s="40"/>
      <x:c r="Y92" s="40"/>
      <x:c r="Z92" s="39"/>
      <x:c r="AA92" s="39"/>
      <x:c r="AB92" s="24"/>
    </x:row>
    <x:row r="93" ht="23" customHeight="1">
      <x:c r="A93" s="20"/>
      <x:c r="B93" s="5"/>
      <x:c r="C93" s="4"/>
      <x:c r="D93" s="34" t="str">
        <x:f>IF(OR(A93="",U93="",COUNTIF('Project codes'!$A$7:$A$106,U93)&lt;&gt;1),"",_xlfn.XLOOKUP(U93,'Project codes'!$A$7:$A$106,'Project codes'!$I$7:$I$106,"",0))</x:f>
      </x:c>
      <x:c r="E93" s="4"/>
      <x:c r="F93" s="35" t="str">
        <x:f>IF(AND(ISNUMBER(N93),N93&gt;=0,O93="Complete"),N93/3600000,"")</x:f>
      </x:c>
      <x:c r="G93" s="4"/>
      <x:c r="H93" s="4"/>
      <x:c r="I93" s="36" t="str">
        <x:f>IF(COUNTA(A93:C93,E93,G93:H93,J93:T93,V93:AB93)=0,"",IF(A93="","Review: missing entry ID",IF(COUNTIF($A$7:$A$506,A93)&gt;1,"Review: duplicate entry ID",IF(NOT(ISNUMBER(B93)),"Review: work date",IF(OR(C93="",E93="",K93="",M93="",H93=""),"Review: source details",IF(J93&lt;&gt;'Estimate review'!$J$5,"Review: project scope",IF(OR(NOT(ISNUMBER(N93)),N93&lt;0,O93&lt;&gt;"Complete"),"Review: duration",IF(S93&lt;&gt;"Coded","Review: coding status",IF(OR(U93="",COUNTIF('Project codes'!$A$7:$A$106,U93)=0),"Review: SOW mapping",IF(COUNTIF('Project codes'!$A$7:$A$106,U93)&gt;1,"Review: duplicate code",IF(_xlfn.XLOOKUP(U93,'Project codes'!$A$7:$A$106,'Project codes'!$F$7:$F$106,"Review",0)="Hold","Review: allocation hold",IF(OR(D93="",COUNTIF('SOW register'!$A$7:$A$36,D93)&lt;&gt;1),"Review: SOW mapping",IF(AND(G93&lt;&gt;"Yes",G93&lt;&gt;"No"),"Review: billability",IF(AB93="","Review: billing evidence","OK"))))))))))))))</x:f>
      </x:c>
      <x:c r="J93" s="24"/>
      <x:c r="K93" s="38"/>
      <x:c r="L93" s="38"/>
      <x:c r="M93" s="38"/>
      <x:c r="N93" s="39"/>
      <x:c r="O93" s="24"/>
      <x:c r="P93" s="24"/>
      <x:c r="Q93" s="38"/>
      <x:c r="R93" s="38"/>
      <x:c r="S93" s="24"/>
      <x:c r="T93" s="24"/>
      <x:c r="U93" s="37" t="str">
        <x:f>IF(OR(J93="",Q93="",R93=""),"",J93&amp;"|"&amp;Q93&amp;"|"&amp;R93)</x:f>
      </x:c>
      <x:c r="V93" s="24"/>
      <x:c r="W93" s="24"/>
      <x:c r="X93" s="40"/>
      <x:c r="Y93" s="40"/>
      <x:c r="Z93" s="39"/>
      <x:c r="AA93" s="39"/>
      <x:c r="AB93" s="24"/>
    </x:row>
    <x:row r="94" ht="23" customHeight="1">
      <x:c r="A94" s="20"/>
      <x:c r="B94" s="5"/>
      <x:c r="C94" s="4"/>
      <x:c r="D94" s="34" t="str">
        <x:f>IF(OR(A94="",U94="",COUNTIF('Project codes'!$A$7:$A$106,U94)&lt;&gt;1),"",_xlfn.XLOOKUP(U94,'Project codes'!$A$7:$A$106,'Project codes'!$I$7:$I$106,"",0))</x:f>
      </x:c>
      <x:c r="E94" s="4"/>
      <x:c r="F94" s="35" t="str">
        <x:f>IF(AND(ISNUMBER(N94),N94&gt;=0,O94="Complete"),N94/3600000,"")</x:f>
      </x:c>
      <x:c r="G94" s="4"/>
      <x:c r="H94" s="4"/>
      <x:c r="I94" s="36" t="str">
        <x:f>IF(COUNTA(A94:C94,E94,G94:H94,J94:T94,V94:AB94)=0,"",IF(A94="","Review: missing entry ID",IF(COUNTIF($A$7:$A$506,A94)&gt;1,"Review: duplicate entry ID",IF(NOT(ISNUMBER(B94)),"Review: work date",IF(OR(C94="",E94="",K94="",M94="",H94=""),"Review: source details",IF(J94&lt;&gt;'Estimate review'!$J$5,"Review: project scope",IF(OR(NOT(ISNUMBER(N94)),N94&lt;0,O94&lt;&gt;"Complete"),"Review: duration",IF(S94&lt;&gt;"Coded","Review: coding status",IF(OR(U94="",COUNTIF('Project codes'!$A$7:$A$106,U94)=0),"Review: SOW mapping",IF(COUNTIF('Project codes'!$A$7:$A$106,U94)&gt;1,"Review: duplicate code",IF(_xlfn.XLOOKUP(U94,'Project codes'!$A$7:$A$106,'Project codes'!$F$7:$F$106,"Review",0)="Hold","Review: allocation hold",IF(OR(D94="",COUNTIF('SOW register'!$A$7:$A$36,D94)&lt;&gt;1),"Review: SOW mapping",IF(AND(G94&lt;&gt;"Yes",G94&lt;&gt;"No"),"Review: billability",IF(AB94="","Review: billing evidence","OK"))))))))))))))</x:f>
      </x:c>
      <x:c r="J94" s="24"/>
      <x:c r="K94" s="38"/>
      <x:c r="L94" s="38"/>
      <x:c r="M94" s="38"/>
      <x:c r="N94" s="39"/>
      <x:c r="O94" s="24"/>
      <x:c r="P94" s="24"/>
      <x:c r="Q94" s="38"/>
      <x:c r="R94" s="38"/>
      <x:c r="S94" s="24"/>
      <x:c r="T94" s="24"/>
      <x:c r="U94" s="37" t="str">
        <x:f>IF(OR(J94="",Q94="",R94=""),"",J94&amp;"|"&amp;Q94&amp;"|"&amp;R94)</x:f>
      </x:c>
      <x:c r="V94" s="24"/>
      <x:c r="W94" s="24"/>
      <x:c r="X94" s="40"/>
      <x:c r="Y94" s="40"/>
      <x:c r="Z94" s="39"/>
      <x:c r="AA94" s="39"/>
      <x:c r="AB94" s="24"/>
    </x:row>
    <x:row r="95" ht="23" customHeight="1">
      <x:c r="A95" s="20"/>
      <x:c r="B95" s="5"/>
      <x:c r="C95" s="4"/>
      <x:c r="D95" s="34" t="str">
        <x:f>IF(OR(A95="",U95="",COUNTIF('Project codes'!$A$7:$A$106,U95)&lt;&gt;1),"",_xlfn.XLOOKUP(U95,'Project codes'!$A$7:$A$106,'Project codes'!$I$7:$I$106,"",0))</x:f>
      </x:c>
      <x:c r="E95" s="4"/>
      <x:c r="F95" s="35" t="str">
        <x:f>IF(AND(ISNUMBER(N95),N95&gt;=0,O95="Complete"),N95/3600000,"")</x:f>
      </x:c>
      <x:c r="G95" s="4"/>
      <x:c r="H95" s="4"/>
      <x:c r="I95" s="36" t="str">
        <x:f>IF(COUNTA(A95:C95,E95,G95:H95,J95:T95,V95:AB95)=0,"",IF(A95="","Review: missing entry ID",IF(COUNTIF($A$7:$A$506,A95)&gt;1,"Review: duplicate entry ID",IF(NOT(ISNUMBER(B95)),"Review: work date",IF(OR(C95="",E95="",K95="",M95="",H95=""),"Review: source details",IF(J95&lt;&gt;'Estimate review'!$J$5,"Review: project scope",IF(OR(NOT(ISNUMBER(N95)),N95&lt;0,O95&lt;&gt;"Complete"),"Review: duration",IF(S95&lt;&gt;"Coded","Review: coding status",IF(OR(U95="",COUNTIF('Project codes'!$A$7:$A$106,U95)=0),"Review: SOW mapping",IF(COUNTIF('Project codes'!$A$7:$A$106,U95)&gt;1,"Review: duplicate code",IF(_xlfn.XLOOKUP(U95,'Project codes'!$A$7:$A$106,'Project codes'!$F$7:$F$106,"Review",0)="Hold","Review: allocation hold",IF(OR(D95="",COUNTIF('SOW register'!$A$7:$A$36,D95)&lt;&gt;1),"Review: SOW mapping",IF(AND(G95&lt;&gt;"Yes",G95&lt;&gt;"No"),"Review: billability",IF(AB95="","Review: billing evidence","OK"))))))))))))))</x:f>
      </x:c>
      <x:c r="J95" s="24"/>
      <x:c r="K95" s="38"/>
      <x:c r="L95" s="38"/>
      <x:c r="M95" s="38"/>
      <x:c r="N95" s="39"/>
      <x:c r="O95" s="24"/>
      <x:c r="P95" s="24"/>
      <x:c r="Q95" s="38"/>
      <x:c r="R95" s="38"/>
      <x:c r="S95" s="24"/>
      <x:c r="T95" s="24"/>
      <x:c r="U95" s="37" t="str">
        <x:f>IF(OR(J95="",Q95="",R95=""),"",J95&amp;"|"&amp;Q95&amp;"|"&amp;R95)</x:f>
      </x:c>
      <x:c r="V95" s="24"/>
      <x:c r="W95" s="24"/>
      <x:c r="X95" s="40"/>
      <x:c r="Y95" s="40"/>
      <x:c r="Z95" s="39"/>
      <x:c r="AA95" s="39"/>
      <x:c r="AB95" s="24"/>
    </x:row>
    <x:row r="96" ht="23" customHeight="1">
      <x:c r="A96" s="20"/>
      <x:c r="B96" s="5"/>
      <x:c r="C96" s="4"/>
      <x:c r="D96" s="34" t="str">
        <x:f>IF(OR(A96="",U96="",COUNTIF('Project codes'!$A$7:$A$106,U96)&lt;&gt;1),"",_xlfn.XLOOKUP(U96,'Project codes'!$A$7:$A$106,'Project codes'!$I$7:$I$106,"",0))</x:f>
      </x:c>
      <x:c r="E96" s="4"/>
      <x:c r="F96" s="35" t="str">
        <x:f>IF(AND(ISNUMBER(N96),N96&gt;=0,O96="Complete"),N96/3600000,"")</x:f>
      </x:c>
      <x:c r="G96" s="4"/>
      <x:c r="H96" s="4"/>
      <x:c r="I96" s="36" t="str">
        <x:f>IF(COUNTA(A96:C96,E96,G96:H96,J96:T96,V96:AB96)=0,"",IF(A96="","Review: missing entry ID",IF(COUNTIF($A$7:$A$506,A96)&gt;1,"Review: duplicate entry ID",IF(NOT(ISNUMBER(B96)),"Review: work date",IF(OR(C96="",E96="",K96="",M96="",H96=""),"Review: source details",IF(J96&lt;&gt;'Estimate review'!$J$5,"Review: project scope",IF(OR(NOT(ISNUMBER(N96)),N96&lt;0,O96&lt;&gt;"Complete"),"Review: duration",IF(S96&lt;&gt;"Coded","Review: coding status",IF(OR(U96="",COUNTIF('Project codes'!$A$7:$A$106,U96)=0),"Review: SOW mapping",IF(COUNTIF('Project codes'!$A$7:$A$106,U96)&gt;1,"Review: duplicate code",IF(_xlfn.XLOOKUP(U96,'Project codes'!$A$7:$A$106,'Project codes'!$F$7:$F$106,"Review",0)="Hold","Review: allocation hold",IF(OR(D96="",COUNTIF('SOW register'!$A$7:$A$36,D96)&lt;&gt;1),"Review: SOW mapping",IF(AND(G96&lt;&gt;"Yes",G96&lt;&gt;"No"),"Review: billability",IF(AB96="","Review: billing evidence","OK"))))))))))))))</x:f>
      </x:c>
      <x:c r="J96" s="24"/>
      <x:c r="K96" s="38"/>
      <x:c r="L96" s="38"/>
      <x:c r="M96" s="38"/>
      <x:c r="N96" s="39"/>
      <x:c r="O96" s="24"/>
      <x:c r="P96" s="24"/>
      <x:c r="Q96" s="38"/>
      <x:c r="R96" s="38"/>
      <x:c r="S96" s="24"/>
      <x:c r="T96" s="24"/>
      <x:c r="U96" s="37" t="str">
        <x:f>IF(OR(J96="",Q96="",R96=""),"",J96&amp;"|"&amp;Q96&amp;"|"&amp;R96)</x:f>
      </x:c>
      <x:c r="V96" s="24"/>
      <x:c r="W96" s="24"/>
      <x:c r="X96" s="40"/>
      <x:c r="Y96" s="40"/>
      <x:c r="Z96" s="39"/>
      <x:c r="AA96" s="39"/>
      <x:c r="AB96" s="24"/>
    </x:row>
    <x:row r="97" ht="23" customHeight="1">
      <x:c r="A97" s="20"/>
      <x:c r="B97" s="5"/>
      <x:c r="C97" s="4"/>
      <x:c r="D97" s="34" t="str">
        <x:f>IF(OR(A97="",U97="",COUNTIF('Project codes'!$A$7:$A$106,U97)&lt;&gt;1),"",_xlfn.XLOOKUP(U97,'Project codes'!$A$7:$A$106,'Project codes'!$I$7:$I$106,"",0))</x:f>
      </x:c>
      <x:c r="E97" s="4"/>
      <x:c r="F97" s="35" t="str">
        <x:f>IF(AND(ISNUMBER(N97),N97&gt;=0,O97="Complete"),N97/3600000,"")</x:f>
      </x:c>
      <x:c r="G97" s="4"/>
      <x:c r="H97" s="4"/>
      <x:c r="I97" s="36" t="str">
        <x:f>IF(COUNTA(A97:C97,E97,G97:H97,J97:T97,V97:AB97)=0,"",IF(A97="","Review: missing entry ID",IF(COUNTIF($A$7:$A$506,A97)&gt;1,"Review: duplicate entry ID",IF(NOT(ISNUMBER(B97)),"Review: work date",IF(OR(C97="",E97="",K97="",M97="",H97=""),"Review: source details",IF(J97&lt;&gt;'Estimate review'!$J$5,"Review: project scope",IF(OR(NOT(ISNUMBER(N97)),N97&lt;0,O97&lt;&gt;"Complete"),"Review: duration",IF(S97&lt;&gt;"Coded","Review: coding status",IF(OR(U97="",COUNTIF('Project codes'!$A$7:$A$106,U97)=0),"Review: SOW mapping",IF(COUNTIF('Project codes'!$A$7:$A$106,U97)&gt;1,"Review: duplicate code",IF(_xlfn.XLOOKUP(U97,'Project codes'!$A$7:$A$106,'Project codes'!$F$7:$F$106,"Review",0)="Hold","Review: allocation hold",IF(OR(D97="",COUNTIF('SOW register'!$A$7:$A$36,D97)&lt;&gt;1),"Review: SOW mapping",IF(AND(G97&lt;&gt;"Yes",G97&lt;&gt;"No"),"Review: billability",IF(AB97="","Review: billing evidence","OK"))))))))))))))</x:f>
      </x:c>
      <x:c r="J97" s="24"/>
      <x:c r="K97" s="38"/>
      <x:c r="L97" s="38"/>
      <x:c r="M97" s="38"/>
      <x:c r="N97" s="39"/>
      <x:c r="O97" s="24"/>
      <x:c r="P97" s="24"/>
      <x:c r="Q97" s="38"/>
      <x:c r="R97" s="38"/>
      <x:c r="S97" s="24"/>
      <x:c r="T97" s="24"/>
      <x:c r="U97" s="37" t="str">
        <x:f>IF(OR(J97="",Q97="",R97=""),"",J97&amp;"|"&amp;Q97&amp;"|"&amp;R97)</x:f>
      </x:c>
      <x:c r="V97" s="24"/>
      <x:c r="W97" s="24"/>
      <x:c r="X97" s="40"/>
      <x:c r="Y97" s="40"/>
      <x:c r="Z97" s="39"/>
      <x:c r="AA97" s="39"/>
      <x:c r="AB97" s="24"/>
    </x:row>
    <x:row r="98" ht="23" customHeight="1">
      <x:c r="A98" s="20"/>
      <x:c r="B98" s="5"/>
      <x:c r="C98" s="4"/>
      <x:c r="D98" s="34" t="str">
        <x:f>IF(OR(A98="",U98="",COUNTIF('Project codes'!$A$7:$A$106,U98)&lt;&gt;1),"",_xlfn.XLOOKUP(U98,'Project codes'!$A$7:$A$106,'Project codes'!$I$7:$I$106,"",0))</x:f>
      </x:c>
      <x:c r="E98" s="4"/>
      <x:c r="F98" s="35" t="str">
        <x:f>IF(AND(ISNUMBER(N98),N98&gt;=0,O98="Complete"),N98/3600000,"")</x:f>
      </x:c>
      <x:c r="G98" s="4"/>
      <x:c r="H98" s="4"/>
      <x:c r="I98" s="36" t="str">
        <x:f>IF(COUNTA(A98:C98,E98,G98:H98,J98:T98,V98:AB98)=0,"",IF(A98="","Review: missing entry ID",IF(COUNTIF($A$7:$A$506,A98)&gt;1,"Review: duplicate entry ID",IF(NOT(ISNUMBER(B98)),"Review: work date",IF(OR(C98="",E98="",K98="",M98="",H98=""),"Review: source details",IF(J98&lt;&gt;'Estimate review'!$J$5,"Review: project scope",IF(OR(NOT(ISNUMBER(N98)),N98&lt;0,O98&lt;&gt;"Complete"),"Review: duration",IF(S98&lt;&gt;"Coded","Review: coding status",IF(OR(U98="",COUNTIF('Project codes'!$A$7:$A$106,U98)=0),"Review: SOW mapping",IF(COUNTIF('Project codes'!$A$7:$A$106,U98)&gt;1,"Review: duplicate code",IF(_xlfn.XLOOKUP(U98,'Project codes'!$A$7:$A$106,'Project codes'!$F$7:$F$106,"Review",0)="Hold","Review: allocation hold",IF(OR(D98="",COUNTIF('SOW register'!$A$7:$A$36,D98)&lt;&gt;1),"Review: SOW mapping",IF(AND(G98&lt;&gt;"Yes",G98&lt;&gt;"No"),"Review: billability",IF(AB98="","Review: billing evidence","OK"))))))))))))))</x:f>
      </x:c>
      <x:c r="J98" s="24"/>
      <x:c r="K98" s="38"/>
      <x:c r="L98" s="38"/>
      <x:c r="M98" s="38"/>
      <x:c r="N98" s="39"/>
      <x:c r="O98" s="24"/>
      <x:c r="P98" s="24"/>
      <x:c r="Q98" s="38"/>
      <x:c r="R98" s="38"/>
      <x:c r="S98" s="24"/>
      <x:c r="T98" s="24"/>
      <x:c r="U98" s="37" t="str">
        <x:f>IF(OR(J98="",Q98="",R98=""),"",J98&amp;"|"&amp;Q98&amp;"|"&amp;R98)</x:f>
      </x:c>
      <x:c r="V98" s="24"/>
      <x:c r="W98" s="24"/>
      <x:c r="X98" s="40"/>
      <x:c r="Y98" s="40"/>
      <x:c r="Z98" s="39"/>
      <x:c r="AA98" s="39"/>
      <x:c r="AB98" s="24"/>
    </x:row>
    <x:row r="99" ht="23" customHeight="1">
      <x:c r="A99" s="20"/>
      <x:c r="B99" s="5"/>
      <x:c r="C99" s="4"/>
      <x:c r="D99" s="34" t="str">
        <x:f>IF(OR(A99="",U99="",COUNTIF('Project codes'!$A$7:$A$106,U99)&lt;&gt;1),"",_xlfn.XLOOKUP(U99,'Project codes'!$A$7:$A$106,'Project codes'!$I$7:$I$106,"",0))</x:f>
      </x:c>
      <x:c r="E99" s="4"/>
      <x:c r="F99" s="35" t="str">
        <x:f>IF(AND(ISNUMBER(N99),N99&gt;=0,O99="Complete"),N99/3600000,"")</x:f>
      </x:c>
      <x:c r="G99" s="4"/>
      <x:c r="H99" s="4"/>
      <x:c r="I99" s="36" t="str">
        <x:f>IF(COUNTA(A99:C99,E99,G99:H99,J99:T99,V99:AB99)=0,"",IF(A99="","Review: missing entry ID",IF(COUNTIF($A$7:$A$506,A99)&gt;1,"Review: duplicate entry ID",IF(NOT(ISNUMBER(B99)),"Review: work date",IF(OR(C99="",E99="",K99="",M99="",H99=""),"Review: source details",IF(J99&lt;&gt;'Estimate review'!$J$5,"Review: project scope",IF(OR(NOT(ISNUMBER(N99)),N99&lt;0,O99&lt;&gt;"Complete"),"Review: duration",IF(S99&lt;&gt;"Coded","Review: coding status",IF(OR(U99="",COUNTIF('Project codes'!$A$7:$A$106,U99)=0),"Review: SOW mapping",IF(COUNTIF('Project codes'!$A$7:$A$106,U99)&gt;1,"Review: duplicate code",IF(_xlfn.XLOOKUP(U99,'Project codes'!$A$7:$A$106,'Project codes'!$F$7:$F$106,"Review",0)="Hold","Review: allocation hold",IF(OR(D99="",COUNTIF('SOW register'!$A$7:$A$36,D99)&lt;&gt;1),"Review: SOW mapping",IF(AND(G99&lt;&gt;"Yes",G99&lt;&gt;"No"),"Review: billability",IF(AB99="","Review: billing evidence","OK"))))))))))))))</x:f>
      </x:c>
      <x:c r="J99" s="24"/>
      <x:c r="K99" s="38"/>
      <x:c r="L99" s="38"/>
      <x:c r="M99" s="38"/>
      <x:c r="N99" s="39"/>
      <x:c r="O99" s="24"/>
      <x:c r="P99" s="24"/>
      <x:c r="Q99" s="38"/>
      <x:c r="R99" s="38"/>
      <x:c r="S99" s="24"/>
      <x:c r="T99" s="24"/>
      <x:c r="U99" s="37" t="str">
        <x:f>IF(OR(J99="",Q99="",R99=""),"",J99&amp;"|"&amp;Q99&amp;"|"&amp;R99)</x:f>
      </x:c>
      <x:c r="V99" s="24"/>
      <x:c r="W99" s="24"/>
      <x:c r="X99" s="40"/>
      <x:c r="Y99" s="40"/>
      <x:c r="Z99" s="39"/>
      <x:c r="AA99" s="39"/>
      <x:c r="AB99" s="24"/>
    </x:row>
    <x:row r="100" ht="23" customHeight="1">
      <x:c r="A100" s="20"/>
      <x:c r="B100" s="5"/>
      <x:c r="C100" s="4"/>
      <x:c r="D100" s="34" t="str">
        <x:f>IF(OR(A100="",U100="",COUNTIF('Project codes'!$A$7:$A$106,U100)&lt;&gt;1),"",_xlfn.XLOOKUP(U100,'Project codes'!$A$7:$A$106,'Project codes'!$I$7:$I$106,"",0))</x:f>
      </x:c>
      <x:c r="E100" s="4"/>
      <x:c r="F100" s="35" t="str">
        <x:f>IF(AND(ISNUMBER(N100),N100&gt;=0,O100="Complete"),N100/3600000,"")</x:f>
      </x:c>
      <x:c r="G100" s="4"/>
      <x:c r="H100" s="4"/>
      <x:c r="I100" s="36" t="str">
        <x:f>IF(COUNTA(A100:C100,E100,G100:H100,J100:T100,V100:AB100)=0,"",IF(A100="","Review: missing entry ID",IF(COUNTIF($A$7:$A$506,A100)&gt;1,"Review: duplicate entry ID",IF(NOT(ISNUMBER(B100)),"Review: work date",IF(OR(C100="",E100="",K100="",M100="",H100=""),"Review: source details",IF(J100&lt;&gt;'Estimate review'!$J$5,"Review: project scope",IF(OR(NOT(ISNUMBER(N100)),N100&lt;0,O100&lt;&gt;"Complete"),"Review: duration",IF(S100&lt;&gt;"Coded","Review: coding status",IF(OR(U100="",COUNTIF('Project codes'!$A$7:$A$106,U100)=0),"Review: SOW mapping",IF(COUNTIF('Project codes'!$A$7:$A$106,U100)&gt;1,"Review: duplicate code",IF(_xlfn.XLOOKUP(U100,'Project codes'!$A$7:$A$106,'Project codes'!$F$7:$F$106,"Review",0)="Hold","Review: allocation hold",IF(OR(D100="",COUNTIF('SOW register'!$A$7:$A$36,D100)&lt;&gt;1),"Review: SOW mapping",IF(AND(G100&lt;&gt;"Yes",G100&lt;&gt;"No"),"Review: billability",IF(AB100="","Review: billing evidence","OK"))))))))))))))</x:f>
      </x:c>
      <x:c r="J100" s="24"/>
      <x:c r="K100" s="38"/>
      <x:c r="L100" s="38"/>
      <x:c r="M100" s="38"/>
      <x:c r="N100" s="39"/>
      <x:c r="O100" s="24"/>
      <x:c r="P100" s="24"/>
      <x:c r="Q100" s="38"/>
      <x:c r="R100" s="38"/>
      <x:c r="S100" s="24"/>
      <x:c r="T100" s="24"/>
      <x:c r="U100" s="37" t="str">
        <x:f>IF(OR(J100="",Q100="",R100=""),"",J100&amp;"|"&amp;Q100&amp;"|"&amp;R100)</x:f>
      </x:c>
      <x:c r="V100" s="24"/>
      <x:c r="W100" s="24"/>
      <x:c r="X100" s="40"/>
      <x:c r="Y100" s="40"/>
      <x:c r="Z100" s="39"/>
      <x:c r="AA100" s="39"/>
      <x:c r="AB100" s="24"/>
    </x:row>
    <x:row r="101" ht="23" customHeight="1">
      <x:c r="A101" s="20"/>
      <x:c r="B101" s="5"/>
      <x:c r="C101" s="4"/>
      <x:c r="D101" s="34" t="str">
        <x:f>IF(OR(A101="",U101="",COUNTIF('Project codes'!$A$7:$A$106,U101)&lt;&gt;1),"",_xlfn.XLOOKUP(U101,'Project codes'!$A$7:$A$106,'Project codes'!$I$7:$I$106,"",0))</x:f>
      </x:c>
      <x:c r="E101" s="4"/>
      <x:c r="F101" s="35" t="str">
        <x:f>IF(AND(ISNUMBER(N101),N101&gt;=0,O101="Complete"),N101/3600000,"")</x:f>
      </x:c>
      <x:c r="G101" s="4"/>
      <x:c r="H101" s="4"/>
      <x:c r="I101" s="36" t="str">
        <x:f>IF(COUNTA(A101:C101,E101,G101:H101,J101:T101,V101:AB101)=0,"",IF(A101="","Review: missing entry ID",IF(COUNTIF($A$7:$A$506,A101)&gt;1,"Review: duplicate entry ID",IF(NOT(ISNUMBER(B101)),"Review: work date",IF(OR(C101="",E101="",K101="",M101="",H101=""),"Review: source details",IF(J101&lt;&gt;'Estimate review'!$J$5,"Review: project scope",IF(OR(NOT(ISNUMBER(N101)),N101&lt;0,O101&lt;&gt;"Complete"),"Review: duration",IF(S101&lt;&gt;"Coded","Review: coding status",IF(OR(U101="",COUNTIF('Project codes'!$A$7:$A$106,U101)=0),"Review: SOW mapping",IF(COUNTIF('Project codes'!$A$7:$A$106,U101)&gt;1,"Review: duplicate code",IF(_xlfn.XLOOKUP(U101,'Project codes'!$A$7:$A$106,'Project codes'!$F$7:$F$106,"Review",0)="Hold","Review: allocation hold",IF(OR(D101="",COUNTIF('SOW register'!$A$7:$A$36,D101)&lt;&gt;1),"Review: SOW mapping",IF(AND(G101&lt;&gt;"Yes",G101&lt;&gt;"No"),"Review: billability",IF(AB101="","Review: billing evidence","OK"))))))))))))))</x:f>
      </x:c>
      <x:c r="J101" s="24"/>
      <x:c r="K101" s="38"/>
      <x:c r="L101" s="38"/>
      <x:c r="M101" s="38"/>
      <x:c r="N101" s="39"/>
      <x:c r="O101" s="24"/>
      <x:c r="P101" s="24"/>
      <x:c r="Q101" s="38"/>
      <x:c r="R101" s="38"/>
      <x:c r="S101" s="24"/>
      <x:c r="T101" s="24"/>
      <x:c r="U101" s="37" t="str">
        <x:f>IF(OR(J101="",Q101="",R101=""),"",J101&amp;"|"&amp;Q101&amp;"|"&amp;R101)</x:f>
      </x:c>
      <x:c r="V101" s="24"/>
      <x:c r="W101" s="24"/>
      <x:c r="X101" s="40"/>
      <x:c r="Y101" s="40"/>
      <x:c r="Z101" s="39"/>
      <x:c r="AA101" s="39"/>
      <x:c r="AB101" s="24"/>
    </x:row>
    <x:row r="102" ht="23" customHeight="1">
      <x:c r="A102" s="20"/>
      <x:c r="B102" s="5"/>
      <x:c r="C102" s="4"/>
      <x:c r="D102" s="34" t="str">
        <x:f>IF(OR(A102="",U102="",COUNTIF('Project codes'!$A$7:$A$106,U102)&lt;&gt;1),"",_xlfn.XLOOKUP(U102,'Project codes'!$A$7:$A$106,'Project codes'!$I$7:$I$106,"",0))</x:f>
      </x:c>
      <x:c r="E102" s="4"/>
      <x:c r="F102" s="35" t="str">
        <x:f>IF(AND(ISNUMBER(N102),N102&gt;=0,O102="Complete"),N102/3600000,"")</x:f>
      </x:c>
      <x:c r="G102" s="4"/>
      <x:c r="H102" s="4"/>
      <x:c r="I102" s="36" t="str">
        <x:f>IF(COUNTA(A102:C102,E102,G102:H102,J102:T102,V102:AB102)=0,"",IF(A102="","Review: missing entry ID",IF(COUNTIF($A$7:$A$506,A102)&gt;1,"Review: duplicate entry ID",IF(NOT(ISNUMBER(B102)),"Review: work date",IF(OR(C102="",E102="",K102="",M102="",H102=""),"Review: source details",IF(J102&lt;&gt;'Estimate review'!$J$5,"Review: project scope",IF(OR(NOT(ISNUMBER(N102)),N102&lt;0,O102&lt;&gt;"Complete"),"Review: duration",IF(S102&lt;&gt;"Coded","Review: coding status",IF(OR(U102="",COUNTIF('Project codes'!$A$7:$A$106,U102)=0),"Review: SOW mapping",IF(COUNTIF('Project codes'!$A$7:$A$106,U102)&gt;1,"Review: duplicate code",IF(_xlfn.XLOOKUP(U102,'Project codes'!$A$7:$A$106,'Project codes'!$F$7:$F$106,"Review",0)="Hold","Review: allocation hold",IF(OR(D102="",COUNTIF('SOW register'!$A$7:$A$36,D102)&lt;&gt;1),"Review: SOW mapping",IF(AND(G102&lt;&gt;"Yes",G102&lt;&gt;"No"),"Review: billability",IF(AB102="","Review: billing evidence","OK"))))))))))))))</x:f>
      </x:c>
      <x:c r="J102" s="24"/>
      <x:c r="K102" s="38"/>
      <x:c r="L102" s="38"/>
      <x:c r="M102" s="38"/>
      <x:c r="N102" s="39"/>
      <x:c r="O102" s="24"/>
      <x:c r="P102" s="24"/>
      <x:c r="Q102" s="38"/>
      <x:c r="R102" s="38"/>
      <x:c r="S102" s="24"/>
      <x:c r="T102" s="24"/>
      <x:c r="U102" s="37" t="str">
        <x:f>IF(OR(J102="",Q102="",R102=""),"",J102&amp;"|"&amp;Q102&amp;"|"&amp;R102)</x:f>
      </x:c>
      <x:c r="V102" s="24"/>
      <x:c r="W102" s="24"/>
      <x:c r="X102" s="40"/>
      <x:c r="Y102" s="40"/>
      <x:c r="Z102" s="39"/>
      <x:c r="AA102" s="39"/>
      <x:c r="AB102" s="24"/>
    </x:row>
    <x:row r="103" ht="23" customHeight="1">
      <x:c r="A103" s="20"/>
      <x:c r="B103" s="5"/>
      <x:c r="C103" s="4"/>
      <x:c r="D103" s="34" t="str">
        <x:f>IF(OR(A103="",U103="",COUNTIF('Project codes'!$A$7:$A$106,U103)&lt;&gt;1),"",_xlfn.XLOOKUP(U103,'Project codes'!$A$7:$A$106,'Project codes'!$I$7:$I$106,"",0))</x:f>
      </x:c>
      <x:c r="E103" s="4"/>
      <x:c r="F103" s="35" t="str">
        <x:f>IF(AND(ISNUMBER(N103),N103&gt;=0,O103="Complete"),N103/3600000,"")</x:f>
      </x:c>
      <x:c r="G103" s="4"/>
      <x:c r="H103" s="4"/>
      <x:c r="I103" s="36" t="str">
        <x:f>IF(COUNTA(A103:C103,E103,G103:H103,J103:T103,V103:AB103)=0,"",IF(A103="","Review: missing entry ID",IF(COUNTIF($A$7:$A$506,A103)&gt;1,"Review: duplicate entry ID",IF(NOT(ISNUMBER(B103)),"Review: work date",IF(OR(C103="",E103="",K103="",M103="",H103=""),"Review: source details",IF(J103&lt;&gt;'Estimate review'!$J$5,"Review: project scope",IF(OR(NOT(ISNUMBER(N103)),N103&lt;0,O103&lt;&gt;"Complete"),"Review: duration",IF(S103&lt;&gt;"Coded","Review: coding status",IF(OR(U103="",COUNTIF('Project codes'!$A$7:$A$106,U103)=0),"Review: SOW mapping",IF(COUNTIF('Project codes'!$A$7:$A$106,U103)&gt;1,"Review: duplicate code",IF(_xlfn.XLOOKUP(U103,'Project codes'!$A$7:$A$106,'Project codes'!$F$7:$F$106,"Review",0)="Hold","Review: allocation hold",IF(OR(D103="",COUNTIF('SOW register'!$A$7:$A$36,D103)&lt;&gt;1),"Review: SOW mapping",IF(AND(G103&lt;&gt;"Yes",G103&lt;&gt;"No"),"Review: billability",IF(AB103="","Review: billing evidence","OK"))))))))))))))</x:f>
      </x:c>
      <x:c r="J103" s="24"/>
      <x:c r="K103" s="38"/>
      <x:c r="L103" s="38"/>
      <x:c r="M103" s="38"/>
      <x:c r="N103" s="39"/>
      <x:c r="O103" s="24"/>
      <x:c r="P103" s="24"/>
      <x:c r="Q103" s="38"/>
      <x:c r="R103" s="38"/>
      <x:c r="S103" s="24"/>
      <x:c r="T103" s="24"/>
      <x:c r="U103" s="37" t="str">
        <x:f>IF(OR(J103="",Q103="",R103=""),"",J103&amp;"|"&amp;Q103&amp;"|"&amp;R103)</x:f>
      </x:c>
      <x:c r="V103" s="24"/>
      <x:c r="W103" s="24"/>
      <x:c r="X103" s="40"/>
      <x:c r="Y103" s="40"/>
      <x:c r="Z103" s="39"/>
      <x:c r="AA103" s="39"/>
      <x:c r="AB103" s="24"/>
    </x:row>
    <x:row r="104" ht="23" customHeight="1">
      <x:c r="A104" s="20"/>
      <x:c r="B104" s="5"/>
      <x:c r="C104" s="4"/>
      <x:c r="D104" s="34" t="str">
        <x:f>IF(OR(A104="",U104="",COUNTIF('Project codes'!$A$7:$A$106,U104)&lt;&gt;1),"",_xlfn.XLOOKUP(U104,'Project codes'!$A$7:$A$106,'Project codes'!$I$7:$I$106,"",0))</x:f>
      </x:c>
      <x:c r="E104" s="4"/>
      <x:c r="F104" s="35" t="str">
        <x:f>IF(AND(ISNUMBER(N104),N104&gt;=0,O104="Complete"),N104/3600000,"")</x:f>
      </x:c>
      <x:c r="G104" s="4"/>
      <x:c r="H104" s="4"/>
      <x:c r="I104" s="36" t="str">
        <x:f>IF(COUNTA(A104:C104,E104,G104:H104,J104:T104,V104:AB104)=0,"",IF(A104="","Review: missing entry ID",IF(COUNTIF($A$7:$A$506,A104)&gt;1,"Review: duplicate entry ID",IF(NOT(ISNUMBER(B104)),"Review: work date",IF(OR(C104="",E104="",K104="",M104="",H104=""),"Review: source details",IF(J104&lt;&gt;'Estimate review'!$J$5,"Review: project scope",IF(OR(NOT(ISNUMBER(N104)),N104&lt;0,O104&lt;&gt;"Complete"),"Review: duration",IF(S104&lt;&gt;"Coded","Review: coding status",IF(OR(U104="",COUNTIF('Project codes'!$A$7:$A$106,U104)=0),"Review: SOW mapping",IF(COUNTIF('Project codes'!$A$7:$A$106,U104)&gt;1,"Review: duplicate code",IF(_xlfn.XLOOKUP(U104,'Project codes'!$A$7:$A$106,'Project codes'!$F$7:$F$106,"Review",0)="Hold","Review: allocation hold",IF(OR(D104="",COUNTIF('SOW register'!$A$7:$A$36,D104)&lt;&gt;1),"Review: SOW mapping",IF(AND(G104&lt;&gt;"Yes",G104&lt;&gt;"No"),"Review: billability",IF(AB104="","Review: billing evidence","OK"))))))))))))))</x:f>
      </x:c>
      <x:c r="J104" s="24"/>
      <x:c r="K104" s="38"/>
      <x:c r="L104" s="38"/>
      <x:c r="M104" s="38"/>
      <x:c r="N104" s="39"/>
      <x:c r="O104" s="24"/>
      <x:c r="P104" s="24"/>
      <x:c r="Q104" s="38"/>
      <x:c r="R104" s="38"/>
      <x:c r="S104" s="24"/>
      <x:c r="T104" s="24"/>
      <x:c r="U104" s="37" t="str">
        <x:f>IF(OR(J104="",Q104="",R104=""),"",J104&amp;"|"&amp;Q104&amp;"|"&amp;R104)</x:f>
      </x:c>
      <x:c r="V104" s="24"/>
      <x:c r="W104" s="24"/>
      <x:c r="X104" s="40"/>
      <x:c r="Y104" s="40"/>
      <x:c r="Z104" s="39"/>
      <x:c r="AA104" s="39"/>
      <x:c r="AB104" s="24"/>
    </x:row>
    <x:row r="105" ht="23" customHeight="1">
      <x:c r="A105" s="20"/>
      <x:c r="B105" s="5"/>
      <x:c r="C105" s="4"/>
      <x:c r="D105" s="34" t="str">
        <x:f>IF(OR(A105="",U105="",COUNTIF('Project codes'!$A$7:$A$106,U105)&lt;&gt;1),"",_xlfn.XLOOKUP(U105,'Project codes'!$A$7:$A$106,'Project codes'!$I$7:$I$106,"",0))</x:f>
      </x:c>
      <x:c r="E105" s="4"/>
      <x:c r="F105" s="35" t="str">
        <x:f>IF(AND(ISNUMBER(N105),N105&gt;=0,O105="Complete"),N105/3600000,"")</x:f>
      </x:c>
      <x:c r="G105" s="4"/>
      <x:c r="H105" s="4"/>
      <x:c r="I105" s="36" t="str">
        <x:f>IF(COUNTA(A105:C105,E105,G105:H105,J105:T105,V105:AB105)=0,"",IF(A105="","Review: missing entry ID",IF(COUNTIF($A$7:$A$506,A105)&gt;1,"Review: duplicate entry ID",IF(NOT(ISNUMBER(B105)),"Review: work date",IF(OR(C105="",E105="",K105="",M105="",H105=""),"Review: source details",IF(J105&lt;&gt;'Estimate review'!$J$5,"Review: project scope",IF(OR(NOT(ISNUMBER(N105)),N105&lt;0,O105&lt;&gt;"Complete"),"Review: duration",IF(S105&lt;&gt;"Coded","Review: coding status",IF(OR(U105="",COUNTIF('Project codes'!$A$7:$A$106,U105)=0),"Review: SOW mapping",IF(COUNTIF('Project codes'!$A$7:$A$106,U105)&gt;1,"Review: duplicate code",IF(_xlfn.XLOOKUP(U105,'Project codes'!$A$7:$A$106,'Project codes'!$F$7:$F$106,"Review",0)="Hold","Review: allocation hold",IF(OR(D105="",COUNTIF('SOW register'!$A$7:$A$36,D105)&lt;&gt;1),"Review: SOW mapping",IF(AND(G105&lt;&gt;"Yes",G105&lt;&gt;"No"),"Review: billability",IF(AB105="","Review: billing evidence","OK"))))))))))))))</x:f>
      </x:c>
      <x:c r="J105" s="24"/>
      <x:c r="K105" s="38"/>
      <x:c r="L105" s="38"/>
      <x:c r="M105" s="38"/>
      <x:c r="N105" s="39"/>
      <x:c r="O105" s="24"/>
      <x:c r="P105" s="24"/>
      <x:c r="Q105" s="38"/>
      <x:c r="R105" s="38"/>
      <x:c r="S105" s="24"/>
      <x:c r="T105" s="24"/>
      <x:c r="U105" s="37" t="str">
        <x:f>IF(OR(J105="",Q105="",R105=""),"",J105&amp;"|"&amp;Q105&amp;"|"&amp;R105)</x:f>
      </x:c>
      <x:c r="V105" s="24"/>
      <x:c r="W105" s="24"/>
      <x:c r="X105" s="40"/>
      <x:c r="Y105" s="40"/>
      <x:c r="Z105" s="39"/>
      <x:c r="AA105" s="39"/>
      <x:c r="AB105" s="24"/>
    </x:row>
    <x:row r="106" ht="23" customHeight="1">
      <x:c r="A106" s="20"/>
      <x:c r="B106" s="5"/>
      <x:c r="C106" s="4"/>
      <x:c r="D106" s="34" t="str">
        <x:f>IF(OR(A106="",U106="",COUNTIF('Project codes'!$A$7:$A$106,U106)&lt;&gt;1),"",_xlfn.XLOOKUP(U106,'Project codes'!$A$7:$A$106,'Project codes'!$I$7:$I$106,"",0))</x:f>
      </x:c>
      <x:c r="E106" s="4"/>
      <x:c r="F106" s="35" t="str">
        <x:f>IF(AND(ISNUMBER(N106),N106&gt;=0,O106="Complete"),N106/3600000,"")</x:f>
      </x:c>
      <x:c r="G106" s="4"/>
      <x:c r="H106" s="4"/>
      <x:c r="I106" s="36" t="str">
        <x:f>IF(COUNTA(A106:C106,E106,G106:H106,J106:T106,V106:AB106)=0,"",IF(A106="","Review: missing entry ID",IF(COUNTIF($A$7:$A$506,A106)&gt;1,"Review: duplicate entry ID",IF(NOT(ISNUMBER(B106)),"Review: work date",IF(OR(C106="",E106="",K106="",M106="",H106=""),"Review: source details",IF(J106&lt;&gt;'Estimate review'!$J$5,"Review: project scope",IF(OR(NOT(ISNUMBER(N106)),N106&lt;0,O106&lt;&gt;"Complete"),"Review: duration",IF(S106&lt;&gt;"Coded","Review: coding status",IF(OR(U106="",COUNTIF('Project codes'!$A$7:$A$106,U106)=0),"Review: SOW mapping",IF(COUNTIF('Project codes'!$A$7:$A$106,U106)&gt;1,"Review: duplicate code",IF(_xlfn.XLOOKUP(U106,'Project codes'!$A$7:$A$106,'Project codes'!$F$7:$F$106,"Review",0)="Hold","Review: allocation hold",IF(OR(D106="",COUNTIF('SOW register'!$A$7:$A$36,D106)&lt;&gt;1),"Review: SOW mapping",IF(AND(G106&lt;&gt;"Yes",G106&lt;&gt;"No"),"Review: billability",IF(AB106="","Review: billing evidence","OK"))))))))))))))</x:f>
      </x:c>
      <x:c r="J106" s="24"/>
      <x:c r="K106" s="38"/>
      <x:c r="L106" s="38"/>
      <x:c r="M106" s="38"/>
      <x:c r="N106" s="39"/>
      <x:c r="O106" s="24"/>
      <x:c r="P106" s="24"/>
      <x:c r="Q106" s="38"/>
      <x:c r="R106" s="38"/>
      <x:c r="S106" s="24"/>
      <x:c r="T106" s="24"/>
      <x:c r="U106" s="37" t="str">
        <x:f>IF(OR(J106="",Q106="",R106=""),"",J106&amp;"|"&amp;Q106&amp;"|"&amp;R106)</x:f>
      </x:c>
      <x:c r="V106" s="24"/>
      <x:c r="W106" s="24"/>
      <x:c r="X106" s="40"/>
      <x:c r="Y106" s="40"/>
      <x:c r="Z106" s="39"/>
      <x:c r="AA106" s="39"/>
      <x:c r="AB106" s="24"/>
    </x:row>
    <x:row r="107" ht="23" customHeight="1">
      <x:c r="A107" s="20"/>
      <x:c r="B107" s="5"/>
      <x:c r="C107" s="4"/>
      <x:c r="D107" s="34" t="str">
        <x:f>IF(OR(A107="",U107="",COUNTIF('Project codes'!$A$7:$A$106,U107)&lt;&gt;1),"",_xlfn.XLOOKUP(U107,'Project codes'!$A$7:$A$106,'Project codes'!$I$7:$I$106,"",0))</x:f>
      </x:c>
      <x:c r="E107" s="4"/>
      <x:c r="F107" s="35" t="str">
        <x:f>IF(AND(ISNUMBER(N107),N107&gt;=0,O107="Complete"),N107/3600000,"")</x:f>
      </x:c>
      <x:c r="G107" s="4"/>
      <x:c r="H107" s="4"/>
      <x:c r="I107" s="36" t="str">
        <x:f>IF(COUNTA(A107:C107,E107,G107:H107,J107:T107,V107:AB107)=0,"",IF(A107="","Review: missing entry ID",IF(COUNTIF($A$7:$A$506,A107)&gt;1,"Review: duplicate entry ID",IF(NOT(ISNUMBER(B107)),"Review: work date",IF(OR(C107="",E107="",K107="",M107="",H107=""),"Review: source details",IF(J107&lt;&gt;'Estimate review'!$J$5,"Review: project scope",IF(OR(NOT(ISNUMBER(N107)),N107&lt;0,O107&lt;&gt;"Complete"),"Review: duration",IF(S107&lt;&gt;"Coded","Review: coding status",IF(OR(U107="",COUNTIF('Project codes'!$A$7:$A$106,U107)=0),"Review: SOW mapping",IF(COUNTIF('Project codes'!$A$7:$A$106,U107)&gt;1,"Review: duplicate code",IF(_xlfn.XLOOKUP(U107,'Project codes'!$A$7:$A$106,'Project codes'!$F$7:$F$106,"Review",0)="Hold","Review: allocation hold",IF(OR(D107="",COUNTIF('SOW register'!$A$7:$A$36,D107)&lt;&gt;1),"Review: SOW mapping",IF(AND(G107&lt;&gt;"Yes",G107&lt;&gt;"No"),"Review: billability",IF(AB107="","Review: billing evidence","OK"))))))))))))))</x:f>
      </x:c>
      <x:c r="J107" s="24"/>
      <x:c r="K107" s="38"/>
      <x:c r="L107" s="38"/>
      <x:c r="M107" s="38"/>
      <x:c r="N107" s="39"/>
      <x:c r="O107" s="24"/>
      <x:c r="P107" s="24"/>
      <x:c r="Q107" s="38"/>
      <x:c r="R107" s="38"/>
      <x:c r="S107" s="24"/>
      <x:c r="T107" s="24"/>
      <x:c r="U107" s="37" t="str">
        <x:f>IF(OR(J107="",Q107="",R107=""),"",J107&amp;"|"&amp;Q107&amp;"|"&amp;R107)</x:f>
      </x:c>
      <x:c r="V107" s="24"/>
      <x:c r="W107" s="24"/>
      <x:c r="X107" s="40"/>
      <x:c r="Y107" s="40"/>
      <x:c r="Z107" s="39"/>
      <x:c r="AA107" s="39"/>
      <x:c r="AB107" s="24"/>
    </x:row>
    <x:row r="108" ht="23" customHeight="1">
      <x:c r="A108" s="20"/>
      <x:c r="B108" s="5"/>
      <x:c r="C108" s="4"/>
      <x:c r="D108" s="34" t="str">
        <x:f>IF(OR(A108="",U108="",COUNTIF('Project codes'!$A$7:$A$106,U108)&lt;&gt;1),"",_xlfn.XLOOKUP(U108,'Project codes'!$A$7:$A$106,'Project codes'!$I$7:$I$106,"",0))</x:f>
      </x:c>
      <x:c r="E108" s="4"/>
      <x:c r="F108" s="35" t="str">
        <x:f>IF(AND(ISNUMBER(N108),N108&gt;=0,O108="Complete"),N108/3600000,"")</x:f>
      </x:c>
      <x:c r="G108" s="4"/>
      <x:c r="H108" s="4"/>
      <x:c r="I108" s="36" t="str">
        <x:f>IF(COUNTA(A108:C108,E108,G108:H108,J108:T108,V108:AB108)=0,"",IF(A108="","Review: missing entry ID",IF(COUNTIF($A$7:$A$506,A108)&gt;1,"Review: duplicate entry ID",IF(NOT(ISNUMBER(B108)),"Review: work date",IF(OR(C108="",E108="",K108="",M108="",H108=""),"Review: source details",IF(J108&lt;&gt;'Estimate review'!$J$5,"Review: project scope",IF(OR(NOT(ISNUMBER(N108)),N108&lt;0,O108&lt;&gt;"Complete"),"Review: duration",IF(S108&lt;&gt;"Coded","Review: coding status",IF(OR(U108="",COUNTIF('Project codes'!$A$7:$A$106,U108)=0),"Review: SOW mapping",IF(COUNTIF('Project codes'!$A$7:$A$106,U108)&gt;1,"Review: duplicate code",IF(_xlfn.XLOOKUP(U108,'Project codes'!$A$7:$A$106,'Project codes'!$F$7:$F$106,"Review",0)="Hold","Review: allocation hold",IF(OR(D108="",COUNTIF('SOW register'!$A$7:$A$36,D108)&lt;&gt;1),"Review: SOW mapping",IF(AND(G108&lt;&gt;"Yes",G108&lt;&gt;"No"),"Review: billability",IF(AB108="","Review: billing evidence","OK"))))))))))))))</x:f>
      </x:c>
      <x:c r="J108" s="24"/>
      <x:c r="K108" s="38"/>
      <x:c r="L108" s="38"/>
      <x:c r="M108" s="38"/>
      <x:c r="N108" s="39"/>
      <x:c r="O108" s="24"/>
      <x:c r="P108" s="24"/>
      <x:c r="Q108" s="38"/>
      <x:c r="R108" s="38"/>
      <x:c r="S108" s="24"/>
      <x:c r="T108" s="24"/>
      <x:c r="U108" s="37" t="str">
        <x:f>IF(OR(J108="",Q108="",R108=""),"",J108&amp;"|"&amp;Q108&amp;"|"&amp;R108)</x:f>
      </x:c>
      <x:c r="V108" s="24"/>
      <x:c r="W108" s="24"/>
      <x:c r="X108" s="40"/>
      <x:c r="Y108" s="40"/>
      <x:c r="Z108" s="39"/>
      <x:c r="AA108" s="39"/>
      <x:c r="AB108" s="24"/>
    </x:row>
    <x:row r="109" ht="23" customHeight="1">
      <x:c r="A109" s="20"/>
      <x:c r="B109" s="5"/>
      <x:c r="C109" s="4"/>
      <x:c r="D109" s="34" t="str">
        <x:f>IF(OR(A109="",U109="",COUNTIF('Project codes'!$A$7:$A$106,U109)&lt;&gt;1),"",_xlfn.XLOOKUP(U109,'Project codes'!$A$7:$A$106,'Project codes'!$I$7:$I$106,"",0))</x:f>
      </x:c>
      <x:c r="E109" s="4"/>
      <x:c r="F109" s="35" t="str">
        <x:f>IF(AND(ISNUMBER(N109),N109&gt;=0,O109="Complete"),N109/3600000,"")</x:f>
      </x:c>
      <x:c r="G109" s="4"/>
      <x:c r="H109" s="4"/>
      <x:c r="I109" s="36" t="str">
        <x:f>IF(COUNTA(A109:C109,E109,G109:H109,J109:T109,V109:AB109)=0,"",IF(A109="","Review: missing entry ID",IF(COUNTIF($A$7:$A$506,A109)&gt;1,"Review: duplicate entry ID",IF(NOT(ISNUMBER(B109)),"Review: work date",IF(OR(C109="",E109="",K109="",M109="",H109=""),"Review: source details",IF(J109&lt;&gt;'Estimate review'!$J$5,"Review: project scope",IF(OR(NOT(ISNUMBER(N109)),N109&lt;0,O109&lt;&gt;"Complete"),"Review: duration",IF(S109&lt;&gt;"Coded","Review: coding status",IF(OR(U109="",COUNTIF('Project codes'!$A$7:$A$106,U109)=0),"Review: SOW mapping",IF(COUNTIF('Project codes'!$A$7:$A$106,U109)&gt;1,"Review: duplicate code",IF(_xlfn.XLOOKUP(U109,'Project codes'!$A$7:$A$106,'Project codes'!$F$7:$F$106,"Review",0)="Hold","Review: allocation hold",IF(OR(D109="",COUNTIF('SOW register'!$A$7:$A$36,D109)&lt;&gt;1),"Review: SOW mapping",IF(AND(G109&lt;&gt;"Yes",G109&lt;&gt;"No"),"Review: billability",IF(AB109="","Review: billing evidence","OK"))))))))))))))</x:f>
      </x:c>
      <x:c r="J109" s="24"/>
      <x:c r="K109" s="38"/>
      <x:c r="L109" s="38"/>
      <x:c r="M109" s="38"/>
      <x:c r="N109" s="39"/>
      <x:c r="O109" s="24"/>
      <x:c r="P109" s="24"/>
      <x:c r="Q109" s="38"/>
      <x:c r="R109" s="38"/>
      <x:c r="S109" s="24"/>
      <x:c r="T109" s="24"/>
      <x:c r="U109" s="37" t="str">
        <x:f>IF(OR(J109="",Q109="",R109=""),"",J109&amp;"|"&amp;Q109&amp;"|"&amp;R109)</x:f>
      </x:c>
      <x:c r="V109" s="24"/>
      <x:c r="W109" s="24"/>
      <x:c r="X109" s="40"/>
      <x:c r="Y109" s="40"/>
      <x:c r="Z109" s="39"/>
      <x:c r="AA109" s="39"/>
      <x:c r="AB109" s="24"/>
    </x:row>
    <x:row r="110" ht="23" customHeight="1">
      <x:c r="A110" s="20"/>
      <x:c r="B110" s="5"/>
      <x:c r="C110" s="4"/>
      <x:c r="D110" s="34" t="str">
        <x:f>IF(OR(A110="",U110="",COUNTIF('Project codes'!$A$7:$A$106,U110)&lt;&gt;1),"",_xlfn.XLOOKUP(U110,'Project codes'!$A$7:$A$106,'Project codes'!$I$7:$I$106,"",0))</x:f>
      </x:c>
      <x:c r="E110" s="4"/>
      <x:c r="F110" s="35" t="str">
        <x:f>IF(AND(ISNUMBER(N110),N110&gt;=0,O110="Complete"),N110/3600000,"")</x:f>
      </x:c>
      <x:c r="G110" s="4"/>
      <x:c r="H110" s="4"/>
      <x:c r="I110" s="36" t="str">
        <x:f>IF(COUNTA(A110:C110,E110,G110:H110,J110:T110,V110:AB110)=0,"",IF(A110="","Review: missing entry ID",IF(COUNTIF($A$7:$A$506,A110)&gt;1,"Review: duplicate entry ID",IF(NOT(ISNUMBER(B110)),"Review: work date",IF(OR(C110="",E110="",K110="",M110="",H110=""),"Review: source details",IF(J110&lt;&gt;'Estimate review'!$J$5,"Review: project scope",IF(OR(NOT(ISNUMBER(N110)),N110&lt;0,O110&lt;&gt;"Complete"),"Review: duration",IF(S110&lt;&gt;"Coded","Review: coding status",IF(OR(U110="",COUNTIF('Project codes'!$A$7:$A$106,U110)=0),"Review: SOW mapping",IF(COUNTIF('Project codes'!$A$7:$A$106,U110)&gt;1,"Review: duplicate code",IF(_xlfn.XLOOKUP(U110,'Project codes'!$A$7:$A$106,'Project codes'!$F$7:$F$106,"Review",0)="Hold","Review: allocation hold",IF(OR(D110="",COUNTIF('SOW register'!$A$7:$A$36,D110)&lt;&gt;1),"Review: SOW mapping",IF(AND(G110&lt;&gt;"Yes",G110&lt;&gt;"No"),"Review: billability",IF(AB110="","Review: billing evidence","OK"))))))))))))))</x:f>
      </x:c>
      <x:c r="J110" s="24"/>
      <x:c r="K110" s="38"/>
      <x:c r="L110" s="38"/>
      <x:c r="M110" s="38"/>
      <x:c r="N110" s="39"/>
      <x:c r="O110" s="24"/>
      <x:c r="P110" s="24"/>
      <x:c r="Q110" s="38"/>
      <x:c r="R110" s="38"/>
      <x:c r="S110" s="24"/>
      <x:c r="T110" s="24"/>
      <x:c r="U110" s="37" t="str">
        <x:f>IF(OR(J110="",Q110="",R110=""),"",J110&amp;"|"&amp;Q110&amp;"|"&amp;R110)</x:f>
      </x:c>
      <x:c r="V110" s="24"/>
      <x:c r="W110" s="24"/>
      <x:c r="X110" s="40"/>
      <x:c r="Y110" s="40"/>
      <x:c r="Z110" s="39"/>
      <x:c r="AA110" s="39"/>
      <x:c r="AB110" s="24"/>
    </x:row>
    <x:row r="111" ht="23" customHeight="1">
      <x:c r="A111" s="20"/>
      <x:c r="B111" s="5"/>
      <x:c r="C111" s="4"/>
      <x:c r="D111" s="34" t="str">
        <x:f>IF(OR(A111="",U111="",COUNTIF('Project codes'!$A$7:$A$106,U111)&lt;&gt;1),"",_xlfn.XLOOKUP(U111,'Project codes'!$A$7:$A$106,'Project codes'!$I$7:$I$106,"",0))</x:f>
      </x:c>
      <x:c r="E111" s="4"/>
      <x:c r="F111" s="35" t="str">
        <x:f>IF(AND(ISNUMBER(N111),N111&gt;=0,O111="Complete"),N111/3600000,"")</x:f>
      </x:c>
      <x:c r="G111" s="4"/>
      <x:c r="H111" s="4"/>
      <x:c r="I111" s="36" t="str">
        <x:f>IF(COUNTA(A111:C111,E111,G111:H111,J111:T111,V111:AB111)=0,"",IF(A111="","Review: missing entry ID",IF(COUNTIF($A$7:$A$506,A111)&gt;1,"Review: duplicate entry ID",IF(NOT(ISNUMBER(B111)),"Review: work date",IF(OR(C111="",E111="",K111="",M111="",H111=""),"Review: source details",IF(J111&lt;&gt;'Estimate review'!$J$5,"Review: project scope",IF(OR(NOT(ISNUMBER(N111)),N111&lt;0,O111&lt;&gt;"Complete"),"Review: duration",IF(S111&lt;&gt;"Coded","Review: coding status",IF(OR(U111="",COUNTIF('Project codes'!$A$7:$A$106,U111)=0),"Review: SOW mapping",IF(COUNTIF('Project codes'!$A$7:$A$106,U111)&gt;1,"Review: duplicate code",IF(_xlfn.XLOOKUP(U111,'Project codes'!$A$7:$A$106,'Project codes'!$F$7:$F$106,"Review",0)="Hold","Review: allocation hold",IF(OR(D111="",COUNTIF('SOW register'!$A$7:$A$36,D111)&lt;&gt;1),"Review: SOW mapping",IF(AND(G111&lt;&gt;"Yes",G111&lt;&gt;"No"),"Review: billability",IF(AB111="","Review: billing evidence","OK"))))))))))))))</x:f>
      </x:c>
      <x:c r="J111" s="24"/>
      <x:c r="K111" s="38"/>
      <x:c r="L111" s="38"/>
      <x:c r="M111" s="38"/>
      <x:c r="N111" s="39"/>
      <x:c r="O111" s="24"/>
      <x:c r="P111" s="24"/>
      <x:c r="Q111" s="38"/>
      <x:c r="R111" s="38"/>
      <x:c r="S111" s="24"/>
      <x:c r="T111" s="24"/>
      <x:c r="U111" s="37" t="str">
        <x:f>IF(OR(J111="",Q111="",R111=""),"",J111&amp;"|"&amp;Q111&amp;"|"&amp;R111)</x:f>
      </x:c>
      <x:c r="V111" s="24"/>
      <x:c r="W111" s="24"/>
      <x:c r="X111" s="40"/>
      <x:c r="Y111" s="40"/>
      <x:c r="Z111" s="39"/>
      <x:c r="AA111" s="39"/>
      <x:c r="AB111" s="24"/>
    </x:row>
    <x:row r="112" ht="23" customHeight="1">
      <x:c r="A112" s="20"/>
      <x:c r="B112" s="5"/>
      <x:c r="C112" s="4"/>
      <x:c r="D112" s="34" t="str">
        <x:f>IF(OR(A112="",U112="",COUNTIF('Project codes'!$A$7:$A$106,U112)&lt;&gt;1),"",_xlfn.XLOOKUP(U112,'Project codes'!$A$7:$A$106,'Project codes'!$I$7:$I$106,"",0))</x:f>
      </x:c>
      <x:c r="E112" s="4"/>
      <x:c r="F112" s="35" t="str">
        <x:f>IF(AND(ISNUMBER(N112),N112&gt;=0,O112="Complete"),N112/3600000,"")</x:f>
      </x:c>
      <x:c r="G112" s="4"/>
      <x:c r="H112" s="4"/>
      <x:c r="I112" s="36" t="str">
        <x:f>IF(COUNTA(A112:C112,E112,G112:H112,J112:T112,V112:AB112)=0,"",IF(A112="","Review: missing entry ID",IF(COUNTIF($A$7:$A$506,A112)&gt;1,"Review: duplicate entry ID",IF(NOT(ISNUMBER(B112)),"Review: work date",IF(OR(C112="",E112="",K112="",M112="",H112=""),"Review: source details",IF(J112&lt;&gt;'Estimate review'!$J$5,"Review: project scope",IF(OR(NOT(ISNUMBER(N112)),N112&lt;0,O112&lt;&gt;"Complete"),"Review: duration",IF(S112&lt;&gt;"Coded","Review: coding status",IF(OR(U112="",COUNTIF('Project codes'!$A$7:$A$106,U112)=0),"Review: SOW mapping",IF(COUNTIF('Project codes'!$A$7:$A$106,U112)&gt;1,"Review: duplicate code",IF(_xlfn.XLOOKUP(U112,'Project codes'!$A$7:$A$106,'Project codes'!$F$7:$F$106,"Review",0)="Hold","Review: allocation hold",IF(OR(D112="",COUNTIF('SOW register'!$A$7:$A$36,D112)&lt;&gt;1),"Review: SOW mapping",IF(AND(G112&lt;&gt;"Yes",G112&lt;&gt;"No"),"Review: billability",IF(AB112="","Review: billing evidence","OK"))))))))))))))</x:f>
      </x:c>
      <x:c r="J112" s="24"/>
      <x:c r="K112" s="38"/>
      <x:c r="L112" s="38"/>
      <x:c r="M112" s="38"/>
      <x:c r="N112" s="39"/>
      <x:c r="O112" s="24"/>
      <x:c r="P112" s="24"/>
      <x:c r="Q112" s="38"/>
      <x:c r="R112" s="38"/>
      <x:c r="S112" s="24"/>
      <x:c r="T112" s="24"/>
      <x:c r="U112" s="37" t="str">
        <x:f>IF(OR(J112="",Q112="",R112=""),"",J112&amp;"|"&amp;Q112&amp;"|"&amp;R112)</x:f>
      </x:c>
      <x:c r="V112" s="24"/>
      <x:c r="W112" s="24"/>
      <x:c r="X112" s="40"/>
      <x:c r="Y112" s="40"/>
      <x:c r="Z112" s="39"/>
      <x:c r="AA112" s="39"/>
      <x:c r="AB112" s="24"/>
    </x:row>
    <x:row r="113" ht="23" customHeight="1">
      <x:c r="A113" s="20"/>
      <x:c r="B113" s="5"/>
      <x:c r="C113" s="4"/>
      <x:c r="D113" s="34" t="str">
        <x:f>IF(OR(A113="",U113="",COUNTIF('Project codes'!$A$7:$A$106,U113)&lt;&gt;1),"",_xlfn.XLOOKUP(U113,'Project codes'!$A$7:$A$106,'Project codes'!$I$7:$I$106,"",0))</x:f>
      </x:c>
      <x:c r="E113" s="4"/>
      <x:c r="F113" s="35" t="str">
        <x:f>IF(AND(ISNUMBER(N113),N113&gt;=0,O113="Complete"),N113/3600000,"")</x:f>
      </x:c>
      <x:c r="G113" s="4"/>
      <x:c r="H113" s="4"/>
      <x:c r="I113" s="36" t="str">
        <x:f>IF(COUNTA(A113:C113,E113,G113:H113,J113:T113,V113:AB113)=0,"",IF(A113="","Review: missing entry ID",IF(COUNTIF($A$7:$A$506,A113)&gt;1,"Review: duplicate entry ID",IF(NOT(ISNUMBER(B113)),"Review: work date",IF(OR(C113="",E113="",K113="",M113="",H113=""),"Review: source details",IF(J113&lt;&gt;'Estimate review'!$J$5,"Review: project scope",IF(OR(NOT(ISNUMBER(N113)),N113&lt;0,O113&lt;&gt;"Complete"),"Review: duration",IF(S113&lt;&gt;"Coded","Review: coding status",IF(OR(U113="",COUNTIF('Project codes'!$A$7:$A$106,U113)=0),"Review: SOW mapping",IF(COUNTIF('Project codes'!$A$7:$A$106,U113)&gt;1,"Review: duplicate code",IF(_xlfn.XLOOKUP(U113,'Project codes'!$A$7:$A$106,'Project codes'!$F$7:$F$106,"Review",0)="Hold","Review: allocation hold",IF(OR(D113="",COUNTIF('SOW register'!$A$7:$A$36,D113)&lt;&gt;1),"Review: SOW mapping",IF(AND(G113&lt;&gt;"Yes",G113&lt;&gt;"No"),"Review: billability",IF(AB113="","Review: billing evidence","OK"))))))))))))))</x:f>
      </x:c>
      <x:c r="J113" s="24"/>
      <x:c r="K113" s="38"/>
      <x:c r="L113" s="38"/>
      <x:c r="M113" s="38"/>
      <x:c r="N113" s="39"/>
      <x:c r="O113" s="24"/>
      <x:c r="P113" s="24"/>
      <x:c r="Q113" s="38"/>
      <x:c r="R113" s="38"/>
      <x:c r="S113" s="24"/>
      <x:c r="T113" s="24"/>
      <x:c r="U113" s="37" t="str">
        <x:f>IF(OR(J113="",Q113="",R113=""),"",J113&amp;"|"&amp;Q113&amp;"|"&amp;R113)</x:f>
      </x:c>
      <x:c r="V113" s="24"/>
      <x:c r="W113" s="24"/>
      <x:c r="X113" s="40"/>
      <x:c r="Y113" s="40"/>
      <x:c r="Z113" s="39"/>
      <x:c r="AA113" s="39"/>
      <x:c r="AB113" s="24"/>
    </x:row>
    <x:row r="114" ht="23" customHeight="1">
      <x:c r="A114" s="20"/>
      <x:c r="B114" s="5"/>
      <x:c r="C114" s="4"/>
      <x:c r="D114" s="34" t="str">
        <x:f>IF(OR(A114="",U114="",COUNTIF('Project codes'!$A$7:$A$106,U114)&lt;&gt;1),"",_xlfn.XLOOKUP(U114,'Project codes'!$A$7:$A$106,'Project codes'!$I$7:$I$106,"",0))</x:f>
      </x:c>
      <x:c r="E114" s="4"/>
      <x:c r="F114" s="35" t="str">
        <x:f>IF(AND(ISNUMBER(N114),N114&gt;=0,O114="Complete"),N114/3600000,"")</x:f>
      </x:c>
      <x:c r="G114" s="4"/>
      <x:c r="H114" s="4"/>
      <x:c r="I114" s="36" t="str">
        <x:f>IF(COUNTA(A114:C114,E114,G114:H114,J114:T114,V114:AB114)=0,"",IF(A114="","Review: missing entry ID",IF(COUNTIF($A$7:$A$506,A114)&gt;1,"Review: duplicate entry ID",IF(NOT(ISNUMBER(B114)),"Review: work date",IF(OR(C114="",E114="",K114="",M114="",H114=""),"Review: source details",IF(J114&lt;&gt;'Estimate review'!$J$5,"Review: project scope",IF(OR(NOT(ISNUMBER(N114)),N114&lt;0,O114&lt;&gt;"Complete"),"Review: duration",IF(S114&lt;&gt;"Coded","Review: coding status",IF(OR(U114="",COUNTIF('Project codes'!$A$7:$A$106,U114)=0),"Review: SOW mapping",IF(COUNTIF('Project codes'!$A$7:$A$106,U114)&gt;1,"Review: duplicate code",IF(_xlfn.XLOOKUP(U114,'Project codes'!$A$7:$A$106,'Project codes'!$F$7:$F$106,"Review",0)="Hold","Review: allocation hold",IF(OR(D114="",COUNTIF('SOW register'!$A$7:$A$36,D114)&lt;&gt;1),"Review: SOW mapping",IF(AND(G114&lt;&gt;"Yes",G114&lt;&gt;"No"),"Review: billability",IF(AB114="","Review: billing evidence","OK"))))))))))))))</x:f>
      </x:c>
      <x:c r="J114" s="24"/>
      <x:c r="K114" s="38"/>
      <x:c r="L114" s="38"/>
      <x:c r="M114" s="38"/>
      <x:c r="N114" s="39"/>
      <x:c r="O114" s="24"/>
      <x:c r="P114" s="24"/>
      <x:c r="Q114" s="38"/>
      <x:c r="R114" s="38"/>
      <x:c r="S114" s="24"/>
      <x:c r="T114" s="24"/>
      <x:c r="U114" s="37" t="str">
        <x:f>IF(OR(J114="",Q114="",R114=""),"",J114&amp;"|"&amp;Q114&amp;"|"&amp;R114)</x:f>
      </x:c>
      <x:c r="V114" s="24"/>
      <x:c r="W114" s="24"/>
      <x:c r="X114" s="40"/>
      <x:c r="Y114" s="40"/>
      <x:c r="Z114" s="39"/>
      <x:c r="AA114" s="39"/>
      <x:c r="AB114" s="24"/>
    </x:row>
    <x:row r="115" ht="23" customHeight="1">
      <x:c r="A115" s="20"/>
      <x:c r="B115" s="5"/>
      <x:c r="C115" s="4"/>
      <x:c r="D115" s="34" t="str">
        <x:f>IF(OR(A115="",U115="",COUNTIF('Project codes'!$A$7:$A$106,U115)&lt;&gt;1),"",_xlfn.XLOOKUP(U115,'Project codes'!$A$7:$A$106,'Project codes'!$I$7:$I$106,"",0))</x:f>
      </x:c>
      <x:c r="E115" s="4"/>
      <x:c r="F115" s="35" t="str">
        <x:f>IF(AND(ISNUMBER(N115),N115&gt;=0,O115="Complete"),N115/3600000,"")</x:f>
      </x:c>
      <x:c r="G115" s="4"/>
      <x:c r="H115" s="4"/>
      <x:c r="I115" s="36" t="str">
        <x:f>IF(COUNTA(A115:C115,E115,G115:H115,J115:T115,V115:AB115)=0,"",IF(A115="","Review: missing entry ID",IF(COUNTIF($A$7:$A$506,A115)&gt;1,"Review: duplicate entry ID",IF(NOT(ISNUMBER(B115)),"Review: work date",IF(OR(C115="",E115="",K115="",M115="",H115=""),"Review: source details",IF(J115&lt;&gt;'Estimate review'!$J$5,"Review: project scope",IF(OR(NOT(ISNUMBER(N115)),N115&lt;0,O115&lt;&gt;"Complete"),"Review: duration",IF(S115&lt;&gt;"Coded","Review: coding status",IF(OR(U115="",COUNTIF('Project codes'!$A$7:$A$106,U115)=0),"Review: SOW mapping",IF(COUNTIF('Project codes'!$A$7:$A$106,U115)&gt;1,"Review: duplicate code",IF(_xlfn.XLOOKUP(U115,'Project codes'!$A$7:$A$106,'Project codes'!$F$7:$F$106,"Review",0)="Hold","Review: allocation hold",IF(OR(D115="",COUNTIF('SOW register'!$A$7:$A$36,D115)&lt;&gt;1),"Review: SOW mapping",IF(AND(G115&lt;&gt;"Yes",G115&lt;&gt;"No"),"Review: billability",IF(AB115="","Review: billing evidence","OK"))))))))))))))</x:f>
      </x:c>
      <x:c r="J115" s="24"/>
      <x:c r="K115" s="38"/>
      <x:c r="L115" s="38"/>
      <x:c r="M115" s="38"/>
      <x:c r="N115" s="39"/>
      <x:c r="O115" s="24"/>
      <x:c r="P115" s="24"/>
      <x:c r="Q115" s="38"/>
      <x:c r="R115" s="38"/>
      <x:c r="S115" s="24"/>
      <x:c r="T115" s="24"/>
      <x:c r="U115" s="37" t="str">
        <x:f>IF(OR(J115="",Q115="",R115=""),"",J115&amp;"|"&amp;Q115&amp;"|"&amp;R115)</x:f>
      </x:c>
      <x:c r="V115" s="24"/>
      <x:c r="W115" s="24"/>
      <x:c r="X115" s="40"/>
      <x:c r="Y115" s="40"/>
      <x:c r="Z115" s="39"/>
      <x:c r="AA115" s="39"/>
      <x:c r="AB115" s="24"/>
    </x:row>
    <x:row r="116" ht="23" customHeight="1">
      <x:c r="A116" s="20"/>
      <x:c r="B116" s="5"/>
      <x:c r="C116" s="4"/>
      <x:c r="D116" s="34" t="str">
        <x:f>IF(OR(A116="",U116="",COUNTIF('Project codes'!$A$7:$A$106,U116)&lt;&gt;1),"",_xlfn.XLOOKUP(U116,'Project codes'!$A$7:$A$106,'Project codes'!$I$7:$I$106,"",0))</x:f>
      </x:c>
      <x:c r="E116" s="4"/>
      <x:c r="F116" s="35" t="str">
        <x:f>IF(AND(ISNUMBER(N116),N116&gt;=0,O116="Complete"),N116/3600000,"")</x:f>
      </x:c>
      <x:c r="G116" s="4"/>
      <x:c r="H116" s="4"/>
      <x:c r="I116" s="36" t="str">
        <x:f>IF(COUNTA(A116:C116,E116,G116:H116,J116:T116,V116:AB116)=0,"",IF(A116="","Review: missing entry ID",IF(COUNTIF($A$7:$A$506,A116)&gt;1,"Review: duplicate entry ID",IF(NOT(ISNUMBER(B116)),"Review: work date",IF(OR(C116="",E116="",K116="",M116="",H116=""),"Review: source details",IF(J116&lt;&gt;'Estimate review'!$J$5,"Review: project scope",IF(OR(NOT(ISNUMBER(N116)),N116&lt;0,O116&lt;&gt;"Complete"),"Review: duration",IF(S116&lt;&gt;"Coded","Review: coding status",IF(OR(U116="",COUNTIF('Project codes'!$A$7:$A$106,U116)=0),"Review: SOW mapping",IF(COUNTIF('Project codes'!$A$7:$A$106,U116)&gt;1,"Review: duplicate code",IF(_xlfn.XLOOKUP(U116,'Project codes'!$A$7:$A$106,'Project codes'!$F$7:$F$106,"Review",0)="Hold","Review: allocation hold",IF(OR(D116="",COUNTIF('SOW register'!$A$7:$A$36,D116)&lt;&gt;1),"Review: SOW mapping",IF(AND(G116&lt;&gt;"Yes",G116&lt;&gt;"No"),"Review: billability",IF(AB116="","Review: billing evidence","OK"))))))))))))))</x:f>
      </x:c>
      <x:c r="J116" s="24"/>
      <x:c r="K116" s="38"/>
      <x:c r="L116" s="38"/>
      <x:c r="M116" s="38"/>
      <x:c r="N116" s="39"/>
      <x:c r="O116" s="24"/>
      <x:c r="P116" s="24"/>
      <x:c r="Q116" s="38"/>
      <x:c r="R116" s="38"/>
      <x:c r="S116" s="24"/>
      <x:c r="T116" s="24"/>
      <x:c r="U116" s="37" t="str">
        <x:f>IF(OR(J116="",Q116="",R116=""),"",J116&amp;"|"&amp;Q116&amp;"|"&amp;R116)</x:f>
      </x:c>
      <x:c r="V116" s="24"/>
      <x:c r="W116" s="24"/>
      <x:c r="X116" s="40"/>
      <x:c r="Y116" s="40"/>
      <x:c r="Z116" s="39"/>
      <x:c r="AA116" s="39"/>
      <x:c r="AB116" s="24"/>
    </x:row>
    <x:row r="117" ht="23" customHeight="1">
      <x:c r="A117" s="20"/>
      <x:c r="B117" s="5"/>
      <x:c r="C117" s="4"/>
      <x:c r="D117" s="34" t="str">
        <x:f>IF(OR(A117="",U117="",COUNTIF('Project codes'!$A$7:$A$106,U117)&lt;&gt;1),"",_xlfn.XLOOKUP(U117,'Project codes'!$A$7:$A$106,'Project codes'!$I$7:$I$106,"",0))</x:f>
      </x:c>
      <x:c r="E117" s="4"/>
      <x:c r="F117" s="35" t="str">
        <x:f>IF(AND(ISNUMBER(N117),N117&gt;=0,O117="Complete"),N117/3600000,"")</x:f>
      </x:c>
      <x:c r="G117" s="4"/>
      <x:c r="H117" s="4"/>
      <x:c r="I117" s="36" t="str">
        <x:f>IF(COUNTA(A117:C117,E117,G117:H117,J117:T117,V117:AB117)=0,"",IF(A117="","Review: missing entry ID",IF(COUNTIF($A$7:$A$506,A117)&gt;1,"Review: duplicate entry ID",IF(NOT(ISNUMBER(B117)),"Review: work date",IF(OR(C117="",E117="",K117="",M117="",H117=""),"Review: source details",IF(J117&lt;&gt;'Estimate review'!$J$5,"Review: project scope",IF(OR(NOT(ISNUMBER(N117)),N117&lt;0,O117&lt;&gt;"Complete"),"Review: duration",IF(S117&lt;&gt;"Coded","Review: coding status",IF(OR(U117="",COUNTIF('Project codes'!$A$7:$A$106,U117)=0),"Review: SOW mapping",IF(COUNTIF('Project codes'!$A$7:$A$106,U117)&gt;1,"Review: duplicate code",IF(_xlfn.XLOOKUP(U117,'Project codes'!$A$7:$A$106,'Project codes'!$F$7:$F$106,"Review",0)="Hold","Review: allocation hold",IF(OR(D117="",COUNTIF('SOW register'!$A$7:$A$36,D117)&lt;&gt;1),"Review: SOW mapping",IF(AND(G117&lt;&gt;"Yes",G117&lt;&gt;"No"),"Review: billability",IF(AB117="","Review: billing evidence","OK"))))))))))))))</x:f>
      </x:c>
      <x:c r="J117" s="24"/>
      <x:c r="K117" s="38"/>
      <x:c r="L117" s="38"/>
      <x:c r="M117" s="38"/>
      <x:c r="N117" s="39"/>
      <x:c r="O117" s="24"/>
      <x:c r="P117" s="24"/>
      <x:c r="Q117" s="38"/>
      <x:c r="R117" s="38"/>
      <x:c r="S117" s="24"/>
      <x:c r="T117" s="24"/>
      <x:c r="U117" s="37" t="str">
        <x:f>IF(OR(J117="",Q117="",R117=""),"",J117&amp;"|"&amp;Q117&amp;"|"&amp;R117)</x:f>
      </x:c>
      <x:c r="V117" s="24"/>
      <x:c r="W117" s="24"/>
      <x:c r="X117" s="40"/>
      <x:c r="Y117" s="40"/>
      <x:c r="Z117" s="39"/>
      <x:c r="AA117" s="39"/>
      <x:c r="AB117" s="24"/>
    </x:row>
    <x:row r="118" ht="23" customHeight="1">
      <x:c r="A118" s="20"/>
      <x:c r="B118" s="5"/>
      <x:c r="C118" s="4"/>
      <x:c r="D118" s="34" t="str">
        <x:f>IF(OR(A118="",U118="",COUNTIF('Project codes'!$A$7:$A$106,U118)&lt;&gt;1),"",_xlfn.XLOOKUP(U118,'Project codes'!$A$7:$A$106,'Project codes'!$I$7:$I$106,"",0))</x:f>
      </x:c>
      <x:c r="E118" s="4"/>
      <x:c r="F118" s="35" t="str">
        <x:f>IF(AND(ISNUMBER(N118),N118&gt;=0,O118="Complete"),N118/3600000,"")</x:f>
      </x:c>
      <x:c r="G118" s="4"/>
      <x:c r="H118" s="4"/>
      <x:c r="I118" s="36" t="str">
        <x:f>IF(COUNTA(A118:C118,E118,G118:H118,J118:T118,V118:AB118)=0,"",IF(A118="","Review: missing entry ID",IF(COUNTIF($A$7:$A$506,A118)&gt;1,"Review: duplicate entry ID",IF(NOT(ISNUMBER(B118)),"Review: work date",IF(OR(C118="",E118="",K118="",M118="",H118=""),"Review: source details",IF(J118&lt;&gt;'Estimate review'!$J$5,"Review: project scope",IF(OR(NOT(ISNUMBER(N118)),N118&lt;0,O118&lt;&gt;"Complete"),"Review: duration",IF(S118&lt;&gt;"Coded","Review: coding status",IF(OR(U118="",COUNTIF('Project codes'!$A$7:$A$106,U118)=0),"Review: SOW mapping",IF(COUNTIF('Project codes'!$A$7:$A$106,U118)&gt;1,"Review: duplicate code",IF(_xlfn.XLOOKUP(U118,'Project codes'!$A$7:$A$106,'Project codes'!$F$7:$F$106,"Review",0)="Hold","Review: allocation hold",IF(OR(D118="",COUNTIF('SOW register'!$A$7:$A$36,D118)&lt;&gt;1),"Review: SOW mapping",IF(AND(G118&lt;&gt;"Yes",G118&lt;&gt;"No"),"Review: billability",IF(AB118="","Review: billing evidence","OK"))))))))))))))</x:f>
      </x:c>
      <x:c r="J118" s="24"/>
      <x:c r="K118" s="38"/>
      <x:c r="L118" s="38"/>
      <x:c r="M118" s="38"/>
      <x:c r="N118" s="39"/>
      <x:c r="O118" s="24"/>
      <x:c r="P118" s="24"/>
      <x:c r="Q118" s="38"/>
      <x:c r="R118" s="38"/>
      <x:c r="S118" s="24"/>
      <x:c r="T118" s="24"/>
      <x:c r="U118" s="37" t="str">
        <x:f>IF(OR(J118="",Q118="",R118=""),"",J118&amp;"|"&amp;Q118&amp;"|"&amp;R118)</x:f>
      </x:c>
      <x:c r="V118" s="24"/>
      <x:c r="W118" s="24"/>
      <x:c r="X118" s="40"/>
      <x:c r="Y118" s="40"/>
      <x:c r="Z118" s="39"/>
      <x:c r="AA118" s="39"/>
      <x:c r="AB118" s="24"/>
    </x:row>
    <x:row r="119" ht="23" customHeight="1">
      <x:c r="A119" s="20"/>
      <x:c r="B119" s="5"/>
      <x:c r="C119" s="4"/>
      <x:c r="D119" s="34" t="str">
        <x:f>IF(OR(A119="",U119="",COUNTIF('Project codes'!$A$7:$A$106,U119)&lt;&gt;1),"",_xlfn.XLOOKUP(U119,'Project codes'!$A$7:$A$106,'Project codes'!$I$7:$I$106,"",0))</x:f>
      </x:c>
      <x:c r="E119" s="4"/>
      <x:c r="F119" s="35" t="str">
        <x:f>IF(AND(ISNUMBER(N119),N119&gt;=0,O119="Complete"),N119/3600000,"")</x:f>
      </x:c>
      <x:c r="G119" s="4"/>
      <x:c r="H119" s="4"/>
      <x:c r="I119" s="36" t="str">
        <x:f>IF(COUNTA(A119:C119,E119,G119:H119,J119:T119,V119:AB119)=0,"",IF(A119="","Review: missing entry ID",IF(COUNTIF($A$7:$A$506,A119)&gt;1,"Review: duplicate entry ID",IF(NOT(ISNUMBER(B119)),"Review: work date",IF(OR(C119="",E119="",K119="",M119="",H119=""),"Review: source details",IF(J119&lt;&gt;'Estimate review'!$J$5,"Review: project scope",IF(OR(NOT(ISNUMBER(N119)),N119&lt;0,O119&lt;&gt;"Complete"),"Review: duration",IF(S119&lt;&gt;"Coded","Review: coding status",IF(OR(U119="",COUNTIF('Project codes'!$A$7:$A$106,U119)=0),"Review: SOW mapping",IF(COUNTIF('Project codes'!$A$7:$A$106,U119)&gt;1,"Review: duplicate code",IF(_xlfn.XLOOKUP(U119,'Project codes'!$A$7:$A$106,'Project codes'!$F$7:$F$106,"Review",0)="Hold","Review: allocation hold",IF(OR(D119="",COUNTIF('SOW register'!$A$7:$A$36,D119)&lt;&gt;1),"Review: SOW mapping",IF(AND(G119&lt;&gt;"Yes",G119&lt;&gt;"No"),"Review: billability",IF(AB119="","Review: billing evidence","OK"))))))))))))))</x:f>
      </x:c>
      <x:c r="J119" s="24"/>
      <x:c r="K119" s="38"/>
      <x:c r="L119" s="38"/>
      <x:c r="M119" s="38"/>
      <x:c r="N119" s="39"/>
      <x:c r="O119" s="24"/>
      <x:c r="P119" s="24"/>
      <x:c r="Q119" s="38"/>
      <x:c r="R119" s="38"/>
      <x:c r="S119" s="24"/>
      <x:c r="T119" s="24"/>
      <x:c r="U119" s="37" t="str">
        <x:f>IF(OR(J119="",Q119="",R119=""),"",J119&amp;"|"&amp;Q119&amp;"|"&amp;R119)</x:f>
      </x:c>
      <x:c r="V119" s="24"/>
      <x:c r="W119" s="24"/>
      <x:c r="X119" s="40"/>
      <x:c r="Y119" s="40"/>
      <x:c r="Z119" s="39"/>
      <x:c r="AA119" s="39"/>
      <x:c r="AB119" s="24"/>
    </x:row>
    <x:row r="120" ht="23" customHeight="1">
      <x:c r="A120" s="20"/>
      <x:c r="B120" s="5"/>
      <x:c r="C120" s="4"/>
      <x:c r="D120" s="34" t="str">
        <x:f>IF(OR(A120="",U120="",COUNTIF('Project codes'!$A$7:$A$106,U120)&lt;&gt;1),"",_xlfn.XLOOKUP(U120,'Project codes'!$A$7:$A$106,'Project codes'!$I$7:$I$106,"",0))</x:f>
      </x:c>
      <x:c r="E120" s="4"/>
      <x:c r="F120" s="35" t="str">
        <x:f>IF(AND(ISNUMBER(N120),N120&gt;=0,O120="Complete"),N120/3600000,"")</x:f>
      </x:c>
      <x:c r="G120" s="4"/>
      <x:c r="H120" s="4"/>
      <x:c r="I120" s="36" t="str">
        <x:f>IF(COUNTA(A120:C120,E120,G120:H120,J120:T120,V120:AB120)=0,"",IF(A120="","Review: missing entry ID",IF(COUNTIF($A$7:$A$506,A120)&gt;1,"Review: duplicate entry ID",IF(NOT(ISNUMBER(B120)),"Review: work date",IF(OR(C120="",E120="",K120="",M120="",H120=""),"Review: source details",IF(J120&lt;&gt;'Estimate review'!$J$5,"Review: project scope",IF(OR(NOT(ISNUMBER(N120)),N120&lt;0,O120&lt;&gt;"Complete"),"Review: duration",IF(S120&lt;&gt;"Coded","Review: coding status",IF(OR(U120="",COUNTIF('Project codes'!$A$7:$A$106,U120)=0),"Review: SOW mapping",IF(COUNTIF('Project codes'!$A$7:$A$106,U120)&gt;1,"Review: duplicate code",IF(_xlfn.XLOOKUP(U120,'Project codes'!$A$7:$A$106,'Project codes'!$F$7:$F$106,"Review",0)="Hold","Review: allocation hold",IF(OR(D120="",COUNTIF('SOW register'!$A$7:$A$36,D120)&lt;&gt;1),"Review: SOW mapping",IF(AND(G120&lt;&gt;"Yes",G120&lt;&gt;"No"),"Review: billability",IF(AB120="","Review: billing evidence","OK"))))))))))))))</x:f>
      </x:c>
      <x:c r="J120" s="24"/>
      <x:c r="K120" s="38"/>
      <x:c r="L120" s="38"/>
      <x:c r="M120" s="38"/>
      <x:c r="N120" s="39"/>
      <x:c r="O120" s="24"/>
      <x:c r="P120" s="24"/>
      <x:c r="Q120" s="38"/>
      <x:c r="R120" s="38"/>
      <x:c r="S120" s="24"/>
      <x:c r="T120" s="24"/>
      <x:c r="U120" s="37" t="str">
        <x:f>IF(OR(J120="",Q120="",R120=""),"",J120&amp;"|"&amp;Q120&amp;"|"&amp;R120)</x:f>
      </x:c>
      <x:c r="V120" s="24"/>
      <x:c r="W120" s="24"/>
      <x:c r="X120" s="40"/>
      <x:c r="Y120" s="40"/>
      <x:c r="Z120" s="39"/>
      <x:c r="AA120" s="39"/>
      <x:c r="AB120" s="24"/>
    </x:row>
    <x:row r="121" ht="23" customHeight="1">
      <x:c r="A121" s="20"/>
      <x:c r="B121" s="5"/>
      <x:c r="C121" s="4"/>
      <x:c r="D121" s="34" t="str">
        <x:f>IF(OR(A121="",U121="",COUNTIF('Project codes'!$A$7:$A$106,U121)&lt;&gt;1),"",_xlfn.XLOOKUP(U121,'Project codes'!$A$7:$A$106,'Project codes'!$I$7:$I$106,"",0))</x:f>
      </x:c>
      <x:c r="E121" s="4"/>
      <x:c r="F121" s="35" t="str">
        <x:f>IF(AND(ISNUMBER(N121),N121&gt;=0,O121="Complete"),N121/3600000,"")</x:f>
      </x:c>
      <x:c r="G121" s="4"/>
      <x:c r="H121" s="4"/>
      <x:c r="I121" s="36" t="str">
        <x:f>IF(COUNTA(A121:C121,E121,G121:H121,J121:T121,V121:AB121)=0,"",IF(A121="","Review: missing entry ID",IF(COUNTIF($A$7:$A$506,A121)&gt;1,"Review: duplicate entry ID",IF(NOT(ISNUMBER(B121)),"Review: work date",IF(OR(C121="",E121="",K121="",M121="",H121=""),"Review: source details",IF(J121&lt;&gt;'Estimate review'!$J$5,"Review: project scope",IF(OR(NOT(ISNUMBER(N121)),N121&lt;0,O121&lt;&gt;"Complete"),"Review: duration",IF(S121&lt;&gt;"Coded","Review: coding status",IF(OR(U121="",COUNTIF('Project codes'!$A$7:$A$106,U121)=0),"Review: SOW mapping",IF(COUNTIF('Project codes'!$A$7:$A$106,U121)&gt;1,"Review: duplicate code",IF(_xlfn.XLOOKUP(U121,'Project codes'!$A$7:$A$106,'Project codes'!$F$7:$F$106,"Review",0)="Hold","Review: allocation hold",IF(OR(D121="",COUNTIF('SOW register'!$A$7:$A$36,D121)&lt;&gt;1),"Review: SOW mapping",IF(AND(G121&lt;&gt;"Yes",G121&lt;&gt;"No"),"Review: billability",IF(AB121="","Review: billing evidence","OK"))))))))))))))</x:f>
      </x:c>
      <x:c r="J121" s="24"/>
      <x:c r="K121" s="38"/>
      <x:c r="L121" s="38"/>
      <x:c r="M121" s="38"/>
      <x:c r="N121" s="39"/>
      <x:c r="O121" s="24"/>
      <x:c r="P121" s="24"/>
      <x:c r="Q121" s="38"/>
      <x:c r="R121" s="38"/>
      <x:c r="S121" s="24"/>
      <x:c r="T121" s="24"/>
      <x:c r="U121" s="37" t="str">
        <x:f>IF(OR(J121="",Q121="",R121=""),"",J121&amp;"|"&amp;Q121&amp;"|"&amp;R121)</x:f>
      </x:c>
      <x:c r="V121" s="24"/>
      <x:c r="W121" s="24"/>
      <x:c r="X121" s="40"/>
      <x:c r="Y121" s="40"/>
      <x:c r="Z121" s="39"/>
      <x:c r="AA121" s="39"/>
      <x:c r="AB121" s="24"/>
    </x:row>
    <x:row r="122" ht="23" customHeight="1">
      <x:c r="A122" s="20"/>
      <x:c r="B122" s="5"/>
      <x:c r="C122" s="4"/>
      <x:c r="D122" s="34" t="str">
        <x:f>IF(OR(A122="",U122="",COUNTIF('Project codes'!$A$7:$A$106,U122)&lt;&gt;1),"",_xlfn.XLOOKUP(U122,'Project codes'!$A$7:$A$106,'Project codes'!$I$7:$I$106,"",0))</x:f>
      </x:c>
      <x:c r="E122" s="4"/>
      <x:c r="F122" s="35" t="str">
        <x:f>IF(AND(ISNUMBER(N122),N122&gt;=0,O122="Complete"),N122/3600000,"")</x:f>
      </x:c>
      <x:c r="G122" s="4"/>
      <x:c r="H122" s="4"/>
      <x:c r="I122" s="36" t="str">
        <x:f>IF(COUNTA(A122:C122,E122,G122:H122,J122:T122,V122:AB122)=0,"",IF(A122="","Review: missing entry ID",IF(COUNTIF($A$7:$A$506,A122)&gt;1,"Review: duplicate entry ID",IF(NOT(ISNUMBER(B122)),"Review: work date",IF(OR(C122="",E122="",K122="",M122="",H122=""),"Review: source details",IF(J122&lt;&gt;'Estimate review'!$J$5,"Review: project scope",IF(OR(NOT(ISNUMBER(N122)),N122&lt;0,O122&lt;&gt;"Complete"),"Review: duration",IF(S122&lt;&gt;"Coded","Review: coding status",IF(OR(U122="",COUNTIF('Project codes'!$A$7:$A$106,U122)=0),"Review: SOW mapping",IF(COUNTIF('Project codes'!$A$7:$A$106,U122)&gt;1,"Review: duplicate code",IF(_xlfn.XLOOKUP(U122,'Project codes'!$A$7:$A$106,'Project codes'!$F$7:$F$106,"Review",0)="Hold","Review: allocation hold",IF(OR(D122="",COUNTIF('SOW register'!$A$7:$A$36,D122)&lt;&gt;1),"Review: SOW mapping",IF(AND(G122&lt;&gt;"Yes",G122&lt;&gt;"No"),"Review: billability",IF(AB122="","Review: billing evidence","OK"))))))))))))))</x:f>
      </x:c>
      <x:c r="J122" s="24"/>
      <x:c r="K122" s="38"/>
      <x:c r="L122" s="38"/>
      <x:c r="M122" s="38"/>
      <x:c r="N122" s="39"/>
      <x:c r="O122" s="24"/>
      <x:c r="P122" s="24"/>
      <x:c r="Q122" s="38"/>
      <x:c r="R122" s="38"/>
      <x:c r="S122" s="24"/>
      <x:c r="T122" s="24"/>
      <x:c r="U122" s="37" t="str">
        <x:f>IF(OR(J122="",Q122="",R122=""),"",J122&amp;"|"&amp;Q122&amp;"|"&amp;R122)</x:f>
      </x:c>
      <x:c r="V122" s="24"/>
      <x:c r="W122" s="24"/>
      <x:c r="X122" s="40"/>
      <x:c r="Y122" s="40"/>
      <x:c r="Z122" s="39"/>
      <x:c r="AA122" s="39"/>
      <x:c r="AB122" s="24"/>
    </x:row>
    <x:row r="123" ht="23" customHeight="1">
      <x:c r="A123" s="20"/>
      <x:c r="B123" s="5"/>
      <x:c r="C123" s="4"/>
      <x:c r="D123" s="34" t="str">
        <x:f>IF(OR(A123="",U123="",COUNTIF('Project codes'!$A$7:$A$106,U123)&lt;&gt;1),"",_xlfn.XLOOKUP(U123,'Project codes'!$A$7:$A$106,'Project codes'!$I$7:$I$106,"",0))</x:f>
      </x:c>
      <x:c r="E123" s="4"/>
      <x:c r="F123" s="35" t="str">
        <x:f>IF(AND(ISNUMBER(N123),N123&gt;=0,O123="Complete"),N123/3600000,"")</x:f>
      </x:c>
      <x:c r="G123" s="4"/>
      <x:c r="H123" s="4"/>
      <x:c r="I123" s="36" t="str">
        <x:f>IF(COUNTA(A123:C123,E123,G123:H123,J123:T123,V123:AB123)=0,"",IF(A123="","Review: missing entry ID",IF(COUNTIF($A$7:$A$506,A123)&gt;1,"Review: duplicate entry ID",IF(NOT(ISNUMBER(B123)),"Review: work date",IF(OR(C123="",E123="",K123="",M123="",H123=""),"Review: source details",IF(J123&lt;&gt;'Estimate review'!$J$5,"Review: project scope",IF(OR(NOT(ISNUMBER(N123)),N123&lt;0,O123&lt;&gt;"Complete"),"Review: duration",IF(S123&lt;&gt;"Coded","Review: coding status",IF(OR(U123="",COUNTIF('Project codes'!$A$7:$A$106,U123)=0),"Review: SOW mapping",IF(COUNTIF('Project codes'!$A$7:$A$106,U123)&gt;1,"Review: duplicate code",IF(_xlfn.XLOOKUP(U123,'Project codes'!$A$7:$A$106,'Project codes'!$F$7:$F$106,"Review",0)="Hold","Review: allocation hold",IF(OR(D123="",COUNTIF('SOW register'!$A$7:$A$36,D123)&lt;&gt;1),"Review: SOW mapping",IF(AND(G123&lt;&gt;"Yes",G123&lt;&gt;"No"),"Review: billability",IF(AB123="","Review: billing evidence","OK"))))))))))))))</x:f>
      </x:c>
      <x:c r="J123" s="24"/>
      <x:c r="K123" s="38"/>
      <x:c r="L123" s="38"/>
      <x:c r="M123" s="38"/>
      <x:c r="N123" s="39"/>
      <x:c r="O123" s="24"/>
      <x:c r="P123" s="24"/>
      <x:c r="Q123" s="38"/>
      <x:c r="R123" s="38"/>
      <x:c r="S123" s="24"/>
      <x:c r="T123" s="24"/>
      <x:c r="U123" s="37" t="str">
        <x:f>IF(OR(J123="",Q123="",R123=""),"",J123&amp;"|"&amp;Q123&amp;"|"&amp;R123)</x:f>
      </x:c>
      <x:c r="V123" s="24"/>
      <x:c r="W123" s="24"/>
      <x:c r="X123" s="40"/>
      <x:c r="Y123" s="40"/>
      <x:c r="Z123" s="39"/>
      <x:c r="AA123" s="39"/>
      <x:c r="AB123" s="24"/>
    </x:row>
    <x:row r="124" ht="23" customHeight="1">
      <x:c r="A124" s="20"/>
      <x:c r="B124" s="5"/>
      <x:c r="C124" s="4"/>
      <x:c r="D124" s="34" t="str">
        <x:f>IF(OR(A124="",U124="",COUNTIF('Project codes'!$A$7:$A$106,U124)&lt;&gt;1),"",_xlfn.XLOOKUP(U124,'Project codes'!$A$7:$A$106,'Project codes'!$I$7:$I$106,"",0))</x:f>
      </x:c>
      <x:c r="E124" s="4"/>
      <x:c r="F124" s="35" t="str">
        <x:f>IF(AND(ISNUMBER(N124),N124&gt;=0,O124="Complete"),N124/3600000,"")</x:f>
      </x:c>
      <x:c r="G124" s="4"/>
      <x:c r="H124" s="4"/>
      <x:c r="I124" s="36" t="str">
        <x:f>IF(COUNTA(A124:C124,E124,G124:H124,J124:T124,V124:AB124)=0,"",IF(A124="","Review: missing entry ID",IF(COUNTIF($A$7:$A$506,A124)&gt;1,"Review: duplicate entry ID",IF(NOT(ISNUMBER(B124)),"Review: work date",IF(OR(C124="",E124="",K124="",M124="",H124=""),"Review: source details",IF(J124&lt;&gt;'Estimate review'!$J$5,"Review: project scope",IF(OR(NOT(ISNUMBER(N124)),N124&lt;0,O124&lt;&gt;"Complete"),"Review: duration",IF(S124&lt;&gt;"Coded","Review: coding status",IF(OR(U124="",COUNTIF('Project codes'!$A$7:$A$106,U124)=0),"Review: SOW mapping",IF(COUNTIF('Project codes'!$A$7:$A$106,U124)&gt;1,"Review: duplicate code",IF(_xlfn.XLOOKUP(U124,'Project codes'!$A$7:$A$106,'Project codes'!$F$7:$F$106,"Review",0)="Hold","Review: allocation hold",IF(OR(D124="",COUNTIF('SOW register'!$A$7:$A$36,D124)&lt;&gt;1),"Review: SOW mapping",IF(AND(G124&lt;&gt;"Yes",G124&lt;&gt;"No"),"Review: billability",IF(AB124="","Review: billing evidence","OK"))))))))))))))</x:f>
      </x:c>
      <x:c r="J124" s="24"/>
      <x:c r="K124" s="38"/>
      <x:c r="L124" s="38"/>
      <x:c r="M124" s="38"/>
      <x:c r="N124" s="39"/>
      <x:c r="O124" s="24"/>
      <x:c r="P124" s="24"/>
      <x:c r="Q124" s="38"/>
      <x:c r="R124" s="38"/>
      <x:c r="S124" s="24"/>
      <x:c r="T124" s="24"/>
      <x:c r="U124" s="37" t="str">
        <x:f>IF(OR(J124="",Q124="",R124=""),"",J124&amp;"|"&amp;Q124&amp;"|"&amp;R124)</x:f>
      </x:c>
      <x:c r="V124" s="24"/>
      <x:c r="W124" s="24"/>
      <x:c r="X124" s="40"/>
      <x:c r="Y124" s="40"/>
      <x:c r="Z124" s="39"/>
      <x:c r="AA124" s="39"/>
      <x:c r="AB124" s="24"/>
    </x:row>
    <x:row r="125" ht="23" customHeight="1">
      <x:c r="A125" s="20"/>
      <x:c r="B125" s="5"/>
      <x:c r="C125" s="4"/>
      <x:c r="D125" s="34" t="str">
        <x:f>IF(OR(A125="",U125="",COUNTIF('Project codes'!$A$7:$A$106,U125)&lt;&gt;1),"",_xlfn.XLOOKUP(U125,'Project codes'!$A$7:$A$106,'Project codes'!$I$7:$I$106,"",0))</x:f>
      </x:c>
      <x:c r="E125" s="4"/>
      <x:c r="F125" s="35" t="str">
        <x:f>IF(AND(ISNUMBER(N125),N125&gt;=0,O125="Complete"),N125/3600000,"")</x:f>
      </x:c>
      <x:c r="G125" s="4"/>
      <x:c r="H125" s="4"/>
      <x:c r="I125" s="36" t="str">
        <x:f>IF(COUNTA(A125:C125,E125,G125:H125,J125:T125,V125:AB125)=0,"",IF(A125="","Review: missing entry ID",IF(COUNTIF($A$7:$A$506,A125)&gt;1,"Review: duplicate entry ID",IF(NOT(ISNUMBER(B125)),"Review: work date",IF(OR(C125="",E125="",K125="",M125="",H125=""),"Review: source details",IF(J125&lt;&gt;'Estimate review'!$J$5,"Review: project scope",IF(OR(NOT(ISNUMBER(N125)),N125&lt;0,O125&lt;&gt;"Complete"),"Review: duration",IF(S125&lt;&gt;"Coded","Review: coding status",IF(OR(U125="",COUNTIF('Project codes'!$A$7:$A$106,U125)=0),"Review: SOW mapping",IF(COUNTIF('Project codes'!$A$7:$A$106,U125)&gt;1,"Review: duplicate code",IF(_xlfn.XLOOKUP(U125,'Project codes'!$A$7:$A$106,'Project codes'!$F$7:$F$106,"Review",0)="Hold","Review: allocation hold",IF(OR(D125="",COUNTIF('SOW register'!$A$7:$A$36,D125)&lt;&gt;1),"Review: SOW mapping",IF(AND(G125&lt;&gt;"Yes",G125&lt;&gt;"No"),"Review: billability",IF(AB125="","Review: billing evidence","OK"))))))))))))))</x:f>
      </x:c>
      <x:c r="J125" s="24"/>
      <x:c r="K125" s="38"/>
      <x:c r="L125" s="38"/>
      <x:c r="M125" s="38"/>
      <x:c r="N125" s="39"/>
      <x:c r="O125" s="24"/>
      <x:c r="P125" s="24"/>
      <x:c r="Q125" s="38"/>
      <x:c r="R125" s="38"/>
      <x:c r="S125" s="24"/>
      <x:c r="T125" s="24"/>
      <x:c r="U125" s="37" t="str">
        <x:f>IF(OR(J125="",Q125="",R125=""),"",J125&amp;"|"&amp;Q125&amp;"|"&amp;R125)</x:f>
      </x:c>
      <x:c r="V125" s="24"/>
      <x:c r="W125" s="24"/>
      <x:c r="X125" s="40"/>
      <x:c r="Y125" s="40"/>
      <x:c r="Z125" s="39"/>
      <x:c r="AA125" s="39"/>
      <x:c r="AB125" s="24"/>
    </x:row>
    <x:row r="126" ht="23" customHeight="1">
      <x:c r="A126" s="20"/>
      <x:c r="B126" s="5"/>
      <x:c r="C126" s="4"/>
      <x:c r="D126" s="34" t="str">
        <x:f>IF(OR(A126="",U126="",COUNTIF('Project codes'!$A$7:$A$106,U126)&lt;&gt;1),"",_xlfn.XLOOKUP(U126,'Project codes'!$A$7:$A$106,'Project codes'!$I$7:$I$106,"",0))</x:f>
      </x:c>
      <x:c r="E126" s="4"/>
      <x:c r="F126" s="35" t="str">
        <x:f>IF(AND(ISNUMBER(N126),N126&gt;=0,O126="Complete"),N126/3600000,"")</x:f>
      </x:c>
      <x:c r="G126" s="4"/>
      <x:c r="H126" s="4"/>
      <x:c r="I126" s="36" t="str">
        <x:f>IF(COUNTA(A126:C126,E126,G126:H126,J126:T126,V126:AB126)=0,"",IF(A126="","Review: missing entry ID",IF(COUNTIF($A$7:$A$506,A126)&gt;1,"Review: duplicate entry ID",IF(NOT(ISNUMBER(B126)),"Review: work date",IF(OR(C126="",E126="",K126="",M126="",H126=""),"Review: source details",IF(J126&lt;&gt;'Estimate review'!$J$5,"Review: project scope",IF(OR(NOT(ISNUMBER(N126)),N126&lt;0,O126&lt;&gt;"Complete"),"Review: duration",IF(S126&lt;&gt;"Coded","Review: coding status",IF(OR(U126="",COUNTIF('Project codes'!$A$7:$A$106,U126)=0),"Review: SOW mapping",IF(COUNTIF('Project codes'!$A$7:$A$106,U126)&gt;1,"Review: duplicate code",IF(_xlfn.XLOOKUP(U126,'Project codes'!$A$7:$A$106,'Project codes'!$F$7:$F$106,"Review",0)="Hold","Review: allocation hold",IF(OR(D126="",COUNTIF('SOW register'!$A$7:$A$36,D126)&lt;&gt;1),"Review: SOW mapping",IF(AND(G126&lt;&gt;"Yes",G126&lt;&gt;"No"),"Review: billability",IF(AB126="","Review: billing evidence","OK"))))))))))))))</x:f>
      </x:c>
      <x:c r="J126" s="24"/>
      <x:c r="K126" s="38"/>
      <x:c r="L126" s="38"/>
      <x:c r="M126" s="38"/>
      <x:c r="N126" s="39"/>
      <x:c r="O126" s="24"/>
      <x:c r="P126" s="24"/>
      <x:c r="Q126" s="38"/>
      <x:c r="R126" s="38"/>
      <x:c r="S126" s="24"/>
      <x:c r="T126" s="24"/>
      <x:c r="U126" s="37" t="str">
        <x:f>IF(OR(J126="",Q126="",R126=""),"",J126&amp;"|"&amp;Q126&amp;"|"&amp;R126)</x:f>
      </x:c>
      <x:c r="V126" s="24"/>
      <x:c r="W126" s="24"/>
      <x:c r="X126" s="40"/>
      <x:c r="Y126" s="40"/>
      <x:c r="Z126" s="39"/>
      <x:c r="AA126" s="39"/>
      <x:c r="AB126" s="24"/>
    </x:row>
    <x:row r="127" ht="23" customHeight="1">
      <x:c r="A127" s="20"/>
      <x:c r="B127" s="5"/>
      <x:c r="C127" s="4"/>
      <x:c r="D127" s="34" t="str">
        <x:f>IF(OR(A127="",U127="",COUNTIF('Project codes'!$A$7:$A$106,U127)&lt;&gt;1),"",_xlfn.XLOOKUP(U127,'Project codes'!$A$7:$A$106,'Project codes'!$I$7:$I$106,"",0))</x:f>
      </x:c>
      <x:c r="E127" s="4"/>
      <x:c r="F127" s="35" t="str">
        <x:f>IF(AND(ISNUMBER(N127),N127&gt;=0,O127="Complete"),N127/3600000,"")</x:f>
      </x:c>
      <x:c r="G127" s="4"/>
      <x:c r="H127" s="4"/>
      <x:c r="I127" s="36" t="str">
        <x:f>IF(COUNTA(A127:C127,E127,G127:H127,J127:T127,V127:AB127)=0,"",IF(A127="","Review: missing entry ID",IF(COUNTIF($A$7:$A$506,A127)&gt;1,"Review: duplicate entry ID",IF(NOT(ISNUMBER(B127)),"Review: work date",IF(OR(C127="",E127="",K127="",M127="",H127=""),"Review: source details",IF(J127&lt;&gt;'Estimate review'!$J$5,"Review: project scope",IF(OR(NOT(ISNUMBER(N127)),N127&lt;0,O127&lt;&gt;"Complete"),"Review: duration",IF(S127&lt;&gt;"Coded","Review: coding status",IF(OR(U127="",COUNTIF('Project codes'!$A$7:$A$106,U127)=0),"Review: SOW mapping",IF(COUNTIF('Project codes'!$A$7:$A$106,U127)&gt;1,"Review: duplicate code",IF(_xlfn.XLOOKUP(U127,'Project codes'!$A$7:$A$106,'Project codes'!$F$7:$F$106,"Review",0)="Hold","Review: allocation hold",IF(OR(D127="",COUNTIF('SOW register'!$A$7:$A$36,D127)&lt;&gt;1),"Review: SOW mapping",IF(AND(G127&lt;&gt;"Yes",G127&lt;&gt;"No"),"Review: billability",IF(AB127="","Review: billing evidence","OK"))))))))))))))</x:f>
      </x:c>
      <x:c r="J127" s="24"/>
      <x:c r="K127" s="38"/>
      <x:c r="L127" s="38"/>
      <x:c r="M127" s="38"/>
      <x:c r="N127" s="39"/>
      <x:c r="O127" s="24"/>
      <x:c r="P127" s="24"/>
      <x:c r="Q127" s="38"/>
      <x:c r="R127" s="38"/>
      <x:c r="S127" s="24"/>
      <x:c r="T127" s="24"/>
      <x:c r="U127" s="37" t="str">
        <x:f>IF(OR(J127="",Q127="",R127=""),"",J127&amp;"|"&amp;Q127&amp;"|"&amp;R127)</x:f>
      </x:c>
      <x:c r="V127" s="24"/>
      <x:c r="W127" s="24"/>
      <x:c r="X127" s="40"/>
      <x:c r="Y127" s="40"/>
      <x:c r="Z127" s="39"/>
      <x:c r="AA127" s="39"/>
      <x:c r="AB127" s="24"/>
    </x:row>
    <x:row r="128" ht="23" customHeight="1">
      <x:c r="A128" s="20"/>
      <x:c r="B128" s="5"/>
      <x:c r="C128" s="4"/>
      <x:c r="D128" s="34" t="str">
        <x:f>IF(OR(A128="",U128="",COUNTIF('Project codes'!$A$7:$A$106,U128)&lt;&gt;1),"",_xlfn.XLOOKUP(U128,'Project codes'!$A$7:$A$106,'Project codes'!$I$7:$I$106,"",0))</x:f>
      </x:c>
      <x:c r="E128" s="4"/>
      <x:c r="F128" s="35" t="str">
        <x:f>IF(AND(ISNUMBER(N128),N128&gt;=0,O128="Complete"),N128/3600000,"")</x:f>
      </x:c>
      <x:c r="G128" s="4"/>
      <x:c r="H128" s="4"/>
      <x:c r="I128" s="36" t="str">
        <x:f>IF(COUNTA(A128:C128,E128,G128:H128,J128:T128,V128:AB128)=0,"",IF(A128="","Review: missing entry ID",IF(COUNTIF($A$7:$A$506,A128)&gt;1,"Review: duplicate entry ID",IF(NOT(ISNUMBER(B128)),"Review: work date",IF(OR(C128="",E128="",K128="",M128="",H128=""),"Review: source details",IF(J128&lt;&gt;'Estimate review'!$J$5,"Review: project scope",IF(OR(NOT(ISNUMBER(N128)),N128&lt;0,O128&lt;&gt;"Complete"),"Review: duration",IF(S128&lt;&gt;"Coded","Review: coding status",IF(OR(U128="",COUNTIF('Project codes'!$A$7:$A$106,U128)=0),"Review: SOW mapping",IF(COUNTIF('Project codes'!$A$7:$A$106,U128)&gt;1,"Review: duplicate code",IF(_xlfn.XLOOKUP(U128,'Project codes'!$A$7:$A$106,'Project codes'!$F$7:$F$106,"Review",0)="Hold","Review: allocation hold",IF(OR(D128="",COUNTIF('SOW register'!$A$7:$A$36,D128)&lt;&gt;1),"Review: SOW mapping",IF(AND(G128&lt;&gt;"Yes",G128&lt;&gt;"No"),"Review: billability",IF(AB128="","Review: billing evidence","OK"))))))))))))))</x:f>
      </x:c>
      <x:c r="J128" s="24"/>
      <x:c r="K128" s="38"/>
      <x:c r="L128" s="38"/>
      <x:c r="M128" s="38"/>
      <x:c r="N128" s="39"/>
      <x:c r="O128" s="24"/>
      <x:c r="P128" s="24"/>
      <x:c r="Q128" s="38"/>
      <x:c r="R128" s="38"/>
      <x:c r="S128" s="24"/>
      <x:c r="T128" s="24"/>
      <x:c r="U128" s="37" t="str">
        <x:f>IF(OR(J128="",Q128="",R128=""),"",J128&amp;"|"&amp;Q128&amp;"|"&amp;R128)</x:f>
      </x:c>
      <x:c r="V128" s="24"/>
      <x:c r="W128" s="24"/>
      <x:c r="X128" s="40"/>
      <x:c r="Y128" s="40"/>
      <x:c r="Z128" s="39"/>
      <x:c r="AA128" s="39"/>
      <x:c r="AB128" s="24"/>
    </x:row>
    <x:row r="129" ht="23" customHeight="1">
      <x:c r="A129" s="20"/>
      <x:c r="B129" s="5"/>
      <x:c r="C129" s="4"/>
      <x:c r="D129" s="34" t="str">
        <x:f>IF(OR(A129="",U129="",COUNTIF('Project codes'!$A$7:$A$106,U129)&lt;&gt;1),"",_xlfn.XLOOKUP(U129,'Project codes'!$A$7:$A$106,'Project codes'!$I$7:$I$106,"",0))</x:f>
      </x:c>
      <x:c r="E129" s="4"/>
      <x:c r="F129" s="35" t="str">
        <x:f>IF(AND(ISNUMBER(N129),N129&gt;=0,O129="Complete"),N129/3600000,"")</x:f>
      </x:c>
      <x:c r="G129" s="4"/>
      <x:c r="H129" s="4"/>
      <x:c r="I129" s="36" t="str">
        <x:f>IF(COUNTA(A129:C129,E129,G129:H129,J129:T129,V129:AB129)=0,"",IF(A129="","Review: missing entry ID",IF(COUNTIF($A$7:$A$506,A129)&gt;1,"Review: duplicate entry ID",IF(NOT(ISNUMBER(B129)),"Review: work date",IF(OR(C129="",E129="",K129="",M129="",H129=""),"Review: source details",IF(J129&lt;&gt;'Estimate review'!$J$5,"Review: project scope",IF(OR(NOT(ISNUMBER(N129)),N129&lt;0,O129&lt;&gt;"Complete"),"Review: duration",IF(S129&lt;&gt;"Coded","Review: coding status",IF(OR(U129="",COUNTIF('Project codes'!$A$7:$A$106,U129)=0),"Review: SOW mapping",IF(COUNTIF('Project codes'!$A$7:$A$106,U129)&gt;1,"Review: duplicate code",IF(_xlfn.XLOOKUP(U129,'Project codes'!$A$7:$A$106,'Project codes'!$F$7:$F$106,"Review",0)="Hold","Review: allocation hold",IF(OR(D129="",COUNTIF('SOW register'!$A$7:$A$36,D129)&lt;&gt;1),"Review: SOW mapping",IF(AND(G129&lt;&gt;"Yes",G129&lt;&gt;"No"),"Review: billability",IF(AB129="","Review: billing evidence","OK"))))))))))))))</x:f>
      </x:c>
      <x:c r="J129" s="24"/>
      <x:c r="K129" s="38"/>
      <x:c r="L129" s="38"/>
      <x:c r="M129" s="38"/>
      <x:c r="N129" s="39"/>
      <x:c r="O129" s="24"/>
      <x:c r="P129" s="24"/>
      <x:c r="Q129" s="38"/>
      <x:c r="R129" s="38"/>
      <x:c r="S129" s="24"/>
      <x:c r="T129" s="24"/>
      <x:c r="U129" s="37" t="str">
        <x:f>IF(OR(J129="",Q129="",R129=""),"",J129&amp;"|"&amp;Q129&amp;"|"&amp;R129)</x:f>
      </x:c>
      <x:c r="V129" s="24"/>
      <x:c r="W129" s="24"/>
      <x:c r="X129" s="40"/>
      <x:c r="Y129" s="40"/>
      <x:c r="Z129" s="39"/>
      <x:c r="AA129" s="39"/>
      <x:c r="AB129" s="24"/>
    </x:row>
    <x:row r="130" ht="23" customHeight="1">
      <x:c r="A130" s="20"/>
      <x:c r="B130" s="5"/>
      <x:c r="C130" s="4"/>
      <x:c r="D130" s="34" t="str">
        <x:f>IF(OR(A130="",U130="",COUNTIF('Project codes'!$A$7:$A$106,U130)&lt;&gt;1),"",_xlfn.XLOOKUP(U130,'Project codes'!$A$7:$A$106,'Project codes'!$I$7:$I$106,"",0))</x:f>
      </x:c>
      <x:c r="E130" s="4"/>
      <x:c r="F130" s="35" t="str">
        <x:f>IF(AND(ISNUMBER(N130),N130&gt;=0,O130="Complete"),N130/3600000,"")</x:f>
      </x:c>
      <x:c r="G130" s="4"/>
      <x:c r="H130" s="4"/>
      <x:c r="I130" s="36" t="str">
        <x:f>IF(COUNTA(A130:C130,E130,G130:H130,J130:T130,V130:AB130)=0,"",IF(A130="","Review: missing entry ID",IF(COUNTIF($A$7:$A$506,A130)&gt;1,"Review: duplicate entry ID",IF(NOT(ISNUMBER(B130)),"Review: work date",IF(OR(C130="",E130="",K130="",M130="",H130=""),"Review: source details",IF(J130&lt;&gt;'Estimate review'!$J$5,"Review: project scope",IF(OR(NOT(ISNUMBER(N130)),N130&lt;0,O130&lt;&gt;"Complete"),"Review: duration",IF(S130&lt;&gt;"Coded","Review: coding status",IF(OR(U130="",COUNTIF('Project codes'!$A$7:$A$106,U130)=0),"Review: SOW mapping",IF(COUNTIF('Project codes'!$A$7:$A$106,U130)&gt;1,"Review: duplicate code",IF(_xlfn.XLOOKUP(U130,'Project codes'!$A$7:$A$106,'Project codes'!$F$7:$F$106,"Review",0)="Hold","Review: allocation hold",IF(OR(D130="",COUNTIF('SOW register'!$A$7:$A$36,D130)&lt;&gt;1),"Review: SOW mapping",IF(AND(G130&lt;&gt;"Yes",G130&lt;&gt;"No"),"Review: billability",IF(AB130="","Review: billing evidence","OK"))))))))))))))</x:f>
      </x:c>
      <x:c r="J130" s="24"/>
      <x:c r="K130" s="38"/>
      <x:c r="L130" s="38"/>
      <x:c r="M130" s="38"/>
      <x:c r="N130" s="39"/>
      <x:c r="O130" s="24"/>
      <x:c r="P130" s="24"/>
      <x:c r="Q130" s="38"/>
      <x:c r="R130" s="38"/>
      <x:c r="S130" s="24"/>
      <x:c r="T130" s="24"/>
      <x:c r="U130" s="37" t="str">
        <x:f>IF(OR(J130="",Q130="",R130=""),"",J130&amp;"|"&amp;Q130&amp;"|"&amp;R130)</x:f>
      </x:c>
      <x:c r="V130" s="24"/>
      <x:c r="W130" s="24"/>
      <x:c r="X130" s="40"/>
      <x:c r="Y130" s="40"/>
      <x:c r="Z130" s="39"/>
      <x:c r="AA130" s="39"/>
      <x:c r="AB130" s="24"/>
    </x:row>
    <x:row r="131" ht="23" customHeight="1">
      <x:c r="A131" s="20"/>
      <x:c r="B131" s="5"/>
      <x:c r="C131" s="4"/>
      <x:c r="D131" s="34" t="str">
        <x:f>IF(OR(A131="",U131="",COUNTIF('Project codes'!$A$7:$A$106,U131)&lt;&gt;1),"",_xlfn.XLOOKUP(U131,'Project codes'!$A$7:$A$106,'Project codes'!$I$7:$I$106,"",0))</x:f>
      </x:c>
      <x:c r="E131" s="4"/>
      <x:c r="F131" s="35" t="str">
        <x:f>IF(AND(ISNUMBER(N131),N131&gt;=0,O131="Complete"),N131/3600000,"")</x:f>
      </x:c>
      <x:c r="G131" s="4"/>
      <x:c r="H131" s="4"/>
      <x:c r="I131" s="36" t="str">
        <x:f>IF(COUNTA(A131:C131,E131,G131:H131,J131:T131,V131:AB131)=0,"",IF(A131="","Review: missing entry ID",IF(COUNTIF($A$7:$A$506,A131)&gt;1,"Review: duplicate entry ID",IF(NOT(ISNUMBER(B131)),"Review: work date",IF(OR(C131="",E131="",K131="",M131="",H131=""),"Review: source details",IF(J131&lt;&gt;'Estimate review'!$J$5,"Review: project scope",IF(OR(NOT(ISNUMBER(N131)),N131&lt;0,O131&lt;&gt;"Complete"),"Review: duration",IF(S131&lt;&gt;"Coded","Review: coding status",IF(OR(U131="",COUNTIF('Project codes'!$A$7:$A$106,U131)=0),"Review: SOW mapping",IF(COUNTIF('Project codes'!$A$7:$A$106,U131)&gt;1,"Review: duplicate code",IF(_xlfn.XLOOKUP(U131,'Project codes'!$A$7:$A$106,'Project codes'!$F$7:$F$106,"Review",0)="Hold","Review: allocation hold",IF(OR(D131="",COUNTIF('SOW register'!$A$7:$A$36,D131)&lt;&gt;1),"Review: SOW mapping",IF(AND(G131&lt;&gt;"Yes",G131&lt;&gt;"No"),"Review: billability",IF(AB131="","Review: billing evidence","OK"))))))))))))))</x:f>
      </x:c>
      <x:c r="J131" s="24"/>
      <x:c r="K131" s="38"/>
      <x:c r="L131" s="38"/>
      <x:c r="M131" s="38"/>
      <x:c r="N131" s="39"/>
      <x:c r="O131" s="24"/>
      <x:c r="P131" s="24"/>
      <x:c r="Q131" s="38"/>
      <x:c r="R131" s="38"/>
      <x:c r="S131" s="24"/>
      <x:c r="T131" s="24"/>
      <x:c r="U131" s="37" t="str">
        <x:f>IF(OR(J131="",Q131="",R131=""),"",J131&amp;"|"&amp;Q131&amp;"|"&amp;R131)</x:f>
      </x:c>
      <x:c r="V131" s="24"/>
      <x:c r="W131" s="24"/>
      <x:c r="X131" s="40"/>
      <x:c r="Y131" s="40"/>
      <x:c r="Z131" s="39"/>
      <x:c r="AA131" s="39"/>
      <x:c r="AB131" s="24"/>
    </x:row>
    <x:row r="132" ht="23" customHeight="1">
      <x:c r="A132" s="20"/>
      <x:c r="B132" s="5"/>
      <x:c r="C132" s="4"/>
      <x:c r="D132" s="34" t="str">
        <x:f>IF(OR(A132="",U132="",COUNTIF('Project codes'!$A$7:$A$106,U132)&lt;&gt;1),"",_xlfn.XLOOKUP(U132,'Project codes'!$A$7:$A$106,'Project codes'!$I$7:$I$106,"",0))</x:f>
      </x:c>
      <x:c r="E132" s="4"/>
      <x:c r="F132" s="35" t="str">
        <x:f>IF(AND(ISNUMBER(N132),N132&gt;=0,O132="Complete"),N132/3600000,"")</x:f>
      </x:c>
      <x:c r="G132" s="4"/>
      <x:c r="H132" s="4"/>
      <x:c r="I132" s="36" t="str">
        <x:f>IF(COUNTA(A132:C132,E132,G132:H132,J132:T132,V132:AB132)=0,"",IF(A132="","Review: missing entry ID",IF(COUNTIF($A$7:$A$506,A132)&gt;1,"Review: duplicate entry ID",IF(NOT(ISNUMBER(B132)),"Review: work date",IF(OR(C132="",E132="",K132="",M132="",H132=""),"Review: source details",IF(J132&lt;&gt;'Estimate review'!$J$5,"Review: project scope",IF(OR(NOT(ISNUMBER(N132)),N132&lt;0,O132&lt;&gt;"Complete"),"Review: duration",IF(S132&lt;&gt;"Coded","Review: coding status",IF(OR(U132="",COUNTIF('Project codes'!$A$7:$A$106,U132)=0),"Review: SOW mapping",IF(COUNTIF('Project codes'!$A$7:$A$106,U132)&gt;1,"Review: duplicate code",IF(_xlfn.XLOOKUP(U132,'Project codes'!$A$7:$A$106,'Project codes'!$F$7:$F$106,"Review",0)="Hold","Review: allocation hold",IF(OR(D132="",COUNTIF('SOW register'!$A$7:$A$36,D132)&lt;&gt;1),"Review: SOW mapping",IF(AND(G132&lt;&gt;"Yes",G132&lt;&gt;"No"),"Review: billability",IF(AB132="","Review: billing evidence","OK"))))))))))))))</x:f>
      </x:c>
      <x:c r="J132" s="24"/>
      <x:c r="K132" s="38"/>
      <x:c r="L132" s="38"/>
      <x:c r="M132" s="38"/>
      <x:c r="N132" s="39"/>
      <x:c r="O132" s="24"/>
      <x:c r="P132" s="24"/>
      <x:c r="Q132" s="38"/>
      <x:c r="R132" s="38"/>
      <x:c r="S132" s="24"/>
      <x:c r="T132" s="24"/>
      <x:c r="U132" s="37" t="str">
        <x:f>IF(OR(J132="",Q132="",R132=""),"",J132&amp;"|"&amp;Q132&amp;"|"&amp;R132)</x:f>
      </x:c>
      <x:c r="V132" s="24"/>
      <x:c r="W132" s="24"/>
      <x:c r="X132" s="40"/>
      <x:c r="Y132" s="40"/>
      <x:c r="Z132" s="39"/>
      <x:c r="AA132" s="39"/>
      <x:c r="AB132" s="24"/>
    </x:row>
    <x:row r="133" ht="23" customHeight="1">
      <x:c r="A133" s="20"/>
      <x:c r="B133" s="5"/>
      <x:c r="C133" s="4"/>
      <x:c r="D133" s="34" t="str">
        <x:f>IF(OR(A133="",U133="",COUNTIF('Project codes'!$A$7:$A$106,U133)&lt;&gt;1),"",_xlfn.XLOOKUP(U133,'Project codes'!$A$7:$A$106,'Project codes'!$I$7:$I$106,"",0))</x:f>
      </x:c>
      <x:c r="E133" s="4"/>
      <x:c r="F133" s="35" t="str">
        <x:f>IF(AND(ISNUMBER(N133),N133&gt;=0,O133="Complete"),N133/3600000,"")</x:f>
      </x:c>
      <x:c r="G133" s="4"/>
      <x:c r="H133" s="4"/>
      <x:c r="I133" s="36" t="str">
        <x:f>IF(COUNTA(A133:C133,E133,G133:H133,J133:T133,V133:AB133)=0,"",IF(A133="","Review: missing entry ID",IF(COUNTIF($A$7:$A$506,A133)&gt;1,"Review: duplicate entry ID",IF(NOT(ISNUMBER(B133)),"Review: work date",IF(OR(C133="",E133="",K133="",M133="",H133=""),"Review: source details",IF(J133&lt;&gt;'Estimate review'!$J$5,"Review: project scope",IF(OR(NOT(ISNUMBER(N133)),N133&lt;0,O133&lt;&gt;"Complete"),"Review: duration",IF(S133&lt;&gt;"Coded","Review: coding status",IF(OR(U133="",COUNTIF('Project codes'!$A$7:$A$106,U133)=0),"Review: SOW mapping",IF(COUNTIF('Project codes'!$A$7:$A$106,U133)&gt;1,"Review: duplicate code",IF(_xlfn.XLOOKUP(U133,'Project codes'!$A$7:$A$106,'Project codes'!$F$7:$F$106,"Review",0)="Hold","Review: allocation hold",IF(OR(D133="",COUNTIF('SOW register'!$A$7:$A$36,D133)&lt;&gt;1),"Review: SOW mapping",IF(AND(G133&lt;&gt;"Yes",G133&lt;&gt;"No"),"Review: billability",IF(AB133="","Review: billing evidence","OK"))))))))))))))</x:f>
      </x:c>
      <x:c r="J133" s="24"/>
      <x:c r="K133" s="38"/>
      <x:c r="L133" s="38"/>
      <x:c r="M133" s="38"/>
      <x:c r="N133" s="39"/>
      <x:c r="O133" s="24"/>
      <x:c r="P133" s="24"/>
      <x:c r="Q133" s="38"/>
      <x:c r="R133" s="38"/>
      <x:c r="S133" s="24"/>
      <x:c r="T133" s="24"/>
      <x:c r="U133" s="37" t="str">
        <x:f>IF(OR(J133="",Q133="",R133=""),"",J133&amp;"|"&amp;Q133&amp;"|"&amp;R133)</x:f>
      </x:c>
      <x:c r="V133" s="24"/>
      <x:c r="W133" s="24"/>
      <x:c r="X133" s="40"/>
      <x:c r="Y133" s="40"/>
      <x:c r="Z133" s="39"/>
      <x:c r="AA133" s="39"/>
      <x:c r="AB133" s="24"/>
    </x:row>
    <x:row r="134" ht="23" customHeight="1">
      <x:c r="A134" s="20"/>
      <x:c r="B134" s="5"/>
      <x:c r="C134" s="4"/>
      <x:c r="D134" s="34" t="str">
        <x:f>IF(OR(A134="",U134="",COUNTIF('Project codes'!$A$7:$A$106,U134)&lt;&gt;1),"",_xlfn.XLOOKUP(U134,'Project codes'!$A$7:$A$106,'Project codes'!$I$7:$I$106,"",0))</x:f>
      </x:c>
      <x:c r="E134" s="4"/>
      <x:c r="F134" s="35" t="str">
        <x:f>IF(AND(ISNUMBER(N134),N134&gt;=0,O134="Complete"),N134/3600000,"")</x:f>
      </x:c>
      <x:c r="G134" s="4"/>
      <x:c r="H134" s="4"/>
      <x:c r="I134" s="36" t="str">
        <x:f>IF(COUNTA(A134:C134,E134,G134:H134,J134:T134,V134:AB134)=0,"",IF(A134="","Review: missing entry ID",IF(COUNTIF($A$7:$A$506,A134)&gt;1,"Review: duplicate entry ID",IF(NOT(ISNUMBER(B134)),"Review: work date",IF(OR(C134="",E134="",K134="",M134="",H134=""),"Review: source details",IF(J134&lt;&gt;'Estimate review'!$J$5,"Review: project scope",IF(OR(NOT(ISNUMBER(N134)),N134&lt;0,O134&lt;&gt;"Complete"),"Review: duration",IF(S134&lt;&gt;"Coded","Review: coding status",IF(OR(U134="",COUNTIF('Project codes'!$A$7:$A$106,U134)=0),"Review: SOW mapping",IF(COUNTIF('Project codes'!$A$7:$A$106,U134)&gt;1,"Review: duplicate code",IF(_xlfn.XLOOKUP(U134,'Project codes'!$A$7:$A$106,'Project codes'!$F$7:$F$106,"Review",0)="Hold","Review: allocation hold",IF(OR(D134="",COUNTIF('SOW register'!$A$7:$A$36,D134)&lt;&gt;1),"Review: SOW mapping",IF(AND(G134&lt;&gt;"Yes",G134&lt;&gt;"No"),"Review: billability",IF(AB134="","Review: billing evidence","OK"))))))))))))))</x:f>
      </x:c>
      <x:c r="J134" s="24"/>
      <x:c r="K134" s="38"/>
      <x:c r="L134" s="38"/>
      <x:c r="M134" s="38"/>
      <x:c r="N134" s="39"/>
      <x:c r="O134" s="24"/>
      <x:c r="P134" s="24"/>
      <x:c r="Q134" s="38"/>
      <x:c r="R134" s="38"/>
      <x:c r="S134" s="24"/>
      <x:c r="T134" s="24"/>
      <x:c r="U134" s="37" t="str">
        <x:f>IF(OR(J134="",Q134="",R134=""),"",J134&amp;"|"&amp;Q134&amp;"|"&amp;R134)</x:f>
      </x:c>
      <x:c r="V134" s="24"/>
      <x:c r="W134" s="24"/>
      <x:c r="X134" s="40"/>
      <x:c r="Y134" s="40"/>
      <x:c r="Z134" s="39"/>
      <x:c r="AA134" s="39"/>
      <x:c r="AB134" s="24"/>
    </x:row>
    <x:row r="135" ht="23" customHeight="1">
      <x:c r="A135" s="20"/>
      <x:c r="B135" s="5"/>
      <x:c r="C135" s="4"/>
      <x:c r="D135" s="34" t="str">
        <x:f>IF(OR(A135="",U135="",COUNTIF('Project codes'!$A$7:$A$106,U135)&lt;&gt;1),"",_xlfn.XLOOKUP(U135,'Project codes'!$A$7:$A$106,'Project codes'!$I$7:$I$106,"",0))</x:f>
      </x:c>
      <x:c r="E135" s="4"/>
      <x:c r="F135" s="35" t="str">
        <x:f>IF(AND(ISNUMBER(N135),N135&gt;=0,O135="Complete"),N135/3600000,"")</x:f>
      </x:c>
      <x:c r="G135" s="4"/>
      <x:c r="H135" s="4"/>
      <x:c r="I135" s="36" t="str">
        <x:f>IF(COUNTA(A135:C135,E135,G135:H135,J135:T135,V135:AB135)=0,"",IF(A135="","Review: missing entry ID",IF(COUNTIF($A$7:$A$506,A135)&gt;1,"Review: duplicate entry ID",IF(NOT(ISNUMBER(B135)),"Review: work date",IF(OR(C135="",E135="",K135="",M135="",H135=""),"Review: source details",IF(J135&lt;&gt;'Estimate review'!$J$5,"Review: project scope",IF(OR(NOT(ISNUMBER(N135)),N135&lt;0,O135&lt;&gt;"Complete"),"Review: duration",IF(S135&lt;&gt;"Coded","Review: coding status",IF(OR(U135="",COUNTIF('Project codes'!$A$7:$A$106,U135)=0),"Review: SOW mapping",IF(COUNTIF('Project codes'!$A$7:$A$106,U135)&gt;1,"Review: duplicate code",IF(_xlfn.XLOOKUP(U135,'Project codes'!$A$7:$A$106,'Project codes'!$F$7:$F$106,"Review",0)="Hold","Review: allocation hold",IF(OR(D135="",COUNTIF('SOW register'!$A$7:$A$36,D135)&lt;&gt;1),"Review: SOW mapping",IF(AND(G135&lt;&gt;"Yes",G135&lt;&gt;"No"),"Review: billability",IF(AB135="","Review: billing evidence","OK"))))))))))))))</x:f>
      </x:c>
      <x:c r="J135" s="24"/>
      <x:c r="K135" s="38"/>
      <x:c r="L135" s="38"/>
      <x:c r="M135" s="38"/>
      <x:c r="N135" s="39"/>
      <x:c r="O135" s="24"/>
      <x:c r="P135" s="24"/>
      <x:c r="Q135" s="38"/>
      <x:c r="R135" s="38"/>
      <x:c r="S135" s="24"/>
      <x:c r="T135" s="24"/>
      <x:c r="U135" s="37" t="str">
        <x:f>IF(OR(J135="",Q135="",R135=""),"",J135&amp;"|"&amp;Q135&amp;"|"&amp;R135)</x:f>
      </x:c>
      <x:c r="V135" s="24"/>
      <x:c r="W135" s="24"/>
      <x:c r="X135" s="40"/>
      <x:c r="Y135" s="40"/>
      <x:c r="Z135" s="39"/>
      <x:c r="AA135" s="39"/>
      <x:c r="AB135" s="24"/>
    </x:row>
    <x:row r="136" ht="23" customHeight="1">
      <x:c r="A136" s="20"/>
      <x:c r="B136" s="5"/>
      <x:c r="C136" s="4"/>
      <x:c r="D136" s="34" t="str">
        <x:f>IF(OR(A136="",U136="",COUNTIF('Project codes'!$A$7:$A$106,U136)&lt;&gt;1),"",_xlfn.XLOOKUP(U136,'Project codes'!$A$7:$A$106,'Project codes'!$I$7:$I$106,"",0))</x:f>
      </x:c>
      <x:c r="E136" s="4"/>
      <x:c r="F136" s="35" t="str">
        <x:f>IF(AND(ISNUMBER(N136),N136&gt;=0,O136="Complete"),N136/3600000,"")</x:f>
      </x:c>
      <x:c r="G136" s="4"/>
      <x:c r="H136" s="4"/>
      <x:c r="I136" s="36" t="str">
        <x:f>IF(COUNTA(A136:C136,E136,G136:H136,J136:T136,V136:AB136)=0,"",IF(A136="","Review: missing entry ID",IF(COUNTIF($A$7:$A$506,A136)&gt;1,"Review: duplicate entry ID",IF(NOT(ISNUMBER(B136)),"Review: work date",IF(OR(C136="",E136="",K136="",M136="",H136=""),"Review: source details",IF(J136&lt;&gt;'Estimate review'!$J$5,"Review: project scope",IF(OR(NOT(ISNUMBER(N136)),N136&lt;0,O136&lt;&gt;"Complete"),"Review: duration",IF(S136&lt;&gt;"Coded","Review: coding status",IF(OR(U136="",COUNTIF('Project codes'!$A$7:$A$106,U136)=0),"Review: SOW mapping",IF(COUNTIF('Project codes'!$A$7:$A$106,U136)&gt;1,"Review: duplicate code",IF(_xlfn.XLOOKUP(U136,'Project codes'!$A$7:$A$106,'Project codes'!$F$7:$F$106,"Review",0)="Hold","Review: allocation hold",IF(OR(D136="",COUNTIF('SOW register'!$A$7:$A$36,D136)&lt;&gt;1),"Review: SOW mapping",IF(AND(G136&lt;&gt;"Yes",G136&lt;&gt;"No"),"Review: billability",IF(AB136="","Review: billing evidence","OK"))))))))))))))</x:f>
      </x:c>
      <x:c r="J136" s="24"/>
      <x:c r="K136" s="38"/>
      <x:c r="L136" s="38"/>
      <x:c r="M136" s="38"/>
      <x:c r="N136" s="39"/>
      <x:c r="O136" s="24"/>
      <x:c r="P136" s="24"/>
      <x:c r="Q136" s="38"/>
      <x:c r="R136" s="38"/>
      <x:c r="S136" s="24"/>
      <x:c r="T136" s="24"/>
      <x:c r="U136" s="37" t="str">
        <x:f>IF(OR(J136="",Q136="",R136=""),"",J136&amp;"|"&amp;Q136&amp;"|"&amp;R136)</x:f>
      </x:c>
      <x:c r="V136" s="24"/>
      <x:c r="W136" s="24"/>
      <x:c r="X136" s="40"/>
      <x:c r="Y136" s="40"/>
      <x:c r="Z136" s="39"/>
      <x:c r="AA136" s="39"/>
      <x:c r="AB136" s="24"/>
    </x:row>
    <x:row r="137" ht="23" customHeight="1">
      <x:c r="A137" s="20"/>
      <x:c r="B137" s="5"/>
      <x:c r="C137" s="4"/>
      <x:c r="D137" s="34" t="str">
        <x:f>IF(OR(A137="",U137="",COUNTIF('Project codes'!$A$7:$A$106,U137)&lt;&gt;1),"",_xlfn.XLOOKUP(U137,'Project codes'!$A$7:$A$106,'Project codes'!$I$7:$I$106,"",0))</x:f>
      </x:c>
      <x:c r="E137" s="4"/>
      <x:c r="F137" s="35" t="str">
        <x:f>IF(AND(ISNUMBER(N137),N137&gt;=0,O137="Complete"),N137/3600000,"")</x:f>
      </x:c>
      <x:c r="G137" s="4"/>
      <x:c r="H137" s="4"/>
      <x:c r="I137" s="36" t="str">
        <x:f>IF(COUNTA(A137:C137,E137,G137:H137,J137:T137,V137:AB137)=0,"",IF(A137="","Review: missing entry ID",IF(COUNTIF($A$7:$A$506,A137)&gt;1,"Review: duplicate entry ID",IF(NOT(ISNUMBER(B137)),"Review: work date",IF(OR(C137="",E137="",K137="",M137="",H137=""),"Review: source details",IF(J137&lt;&gt;'Estimate review'!$J$5,"Review: project scope",IF(OR(NOT(ISNUMBER(N137)),N137&lt;0,O137&lt;&gt;"Complete"),"Review: duration",IF(S137&lt;&gt;"Coded","Review: coding status",IF(OR(U137="",COUNTIF('Project codes'!$A$7:$A$106,U137)=0),"Review: SOW mapping",IF(COUNTIF('Project codes'!$A$7:$A$106,U137)&gt;1,"Review: duplicate code",IF(_xlfn.XLOOKUP(U137,'Project codes'!$A$7:$A$106,'Project codes'!$F$7:$F$106,"Review",0)="Hold","Review: allocation hold",IF(OR(D137="",COUNTIF('SOW register'!$A$7:$A$36,D137)&lt;&gt;1),"Review: SOW mapping",IF(AND(G137&lt;&gt;"Yes",G137&lt;&gt;"No"),"Review: billability",IF(AB137="","Review: billing evidence","OK"))))))))))))))</x:f>
      </x:c>
      <x:c r="J137" s="24"/>
      <x:c r="K137" s="38"/>
      <x:c r="L137" s="38"/>
      <x:c r="M137" s="38"/>
      <x:c r="N137" s="39"/>
      <x:c r="O137" s="24"/>
      <x:c r="P137" s="24"/>
      <x:c r="Q137" s="38"/>
      <x:c r="R137" s="38"/>
      <x:c r="S137" s="24"/>
      <x:c r="T137" s="24"/>
      <x:c r="U137" s="37" t="str">
        <x:f>IF(OR(J137="",Q137="",R137=""),"",J137&amp;"|"&amp;Q137&amp;"|"&amp;R137)</x:f>
      </x:c>
      <x:c r="V137" s="24"/>
      <x:c r="W137" s="24"/>
      <x:c r="X137" s="40"/>
      <x:c r="Y137" s="40"/>
      <x:c r="Z137" s="39"/>
      <x:c r="AA137" s="39"/>
      <x:c r="AB137" s="24"/>
    </x:row>
    <x:row r="138" ht="23" customHeight="1">
      <x:c r="A138" s="20"/>
      <x:c r="B138" s="5"/>
      <x:c r="C138" s="4"/>
      <x:c r="D138" s="34" t="str">
        <x:f>IF(OR(A138="",U138="",COUNTIF('Project codes'!$A$7:$A$106,U138)&lt;&gt;1),"",_xlfn.XLOOKUP(U138,'Project codes'!$A$7:$A$106,'Project codes'!$I$7:$I$106,"",0))</x:f>
      </x:c>
      <x:c r="E138" s="4"/>
      <x:c r="F138" s="35" t="str">
        <x:f>IF(AND(ISNUMBER(N138),N138&gt;=0,O138="Complete"),N138/3600000,"")</x:f>
      </x:c>
      <x:c r="G138" s="4"/>
      <x:c r="H138" s="4"/>
      <x:c r="I138" s="36" t="str">
        <x:f>IF(COUNTA(A138:C138,E138,G138:H138,J138:T138,V138:AB138)=0,"",IF(A138="","Review: missing entry ID",IF(COUNTIF($A$7:$A$506,A138)&gt;1,"Review: duplicate entry ID",IF(NOT(ISNUMBER(B138)),"Review: work date",IF(OR(C138="",E138="",K138="",M138="",H138=""),"Review: source details",IF(J138&lt;&gt;'Estimate review'!$J$5,"Review: project scope",IF(OR(NOT(ISNUMBER(N138)),N138&lt;0,O138&lt;&gt;"Complete"),"Review: duration",IF(S138&lt;&gt;"Coded","Review: coding status",IF(OR(U138="",COUNTIF('Project codes'!$A$7:$A$106,U138)=0),"Review: SOW mapping",IF(COUNTIF('Project codes'!$A$7:$A$106,U138)&gt;1,"Review: duplicate code",IF(_xlfn.XLOOKUP(U138,'Project codes'!$A$7:$A$106,'Project codes'!$F$7:$F$106,"Review",0)="Hold","Review: allocation hold",IF(OR(D138="",COUNTIF('SOW register'!$A$7:$A$36,D138)&lt;&gt;1),"Review: SOW mapping",IF(AND(G138&lt;&gt;"Yes",G138&lt;&gt;"No"),"Review: billability",IF(AB138="","Review: billing evidence","OK"))))))))))))))</x:f>
      </x:c>
      <x:c r="J138" s="24"/>
      <x:c r="K138" s="38"/>
      <x:c r="L138" s="38"/>
      <x:c r="M138" s="38"/>
      <x:c r="N138" s="39"/>
      <x:c r="O138" s="24"/>
      <x:c r="P138" s="24"/>
      <x:c r="Q138" s="38"/>
      <x:c r="R138" s="38"/>
      <x:c r="S138" s="24"/>
      <x:c r="T138" s="24"/>
      <x:c r="U138" s="37" t="str">
        <x:f>IF(OR(J138="",Q138="",R138=""),"",J138&amp;"|"&amp;Q138&amp;"|"&amp;R138)</x:f>
      </x:c>
      <x:c r="V138" s="24"/>
      <x:c r="W138" s="24"/>
      <x:c r="X138" s="40"/>
      <x:c r="Y138" s="40"/>
      <x:c r="Z138" s="39"/>
      <x:c r="AA138" s="39"/>
      <x:c r="AB138" s="24"/>
    </x:row>
    <x:row r="139" ht="23" customHeight="1">
      <x:c r="A139" s="20"/>
      <x:c r="B139" s="5"/>
      <x:c r="C139" s="4"/>
      <x:c r="D139" s="34" t="str">
        <x:f>IF(OR(A139="",U139="",COUNTIF('Project codes'!$A$7:$A$106,U139)&lt;&gt;1),"",_xlfn.XLOOKUP(U139,'Project codes'!$A$7:$A$106,'Project codes'!$I$7:$I$106,"",0))</x:f>
      </x:c>
      <x:c r="E139" s="4"/>
      <x:c r="F139" s="35" t="str">
        <x:f>IF(AND(ISNUMBER(N139),N139&gt;=0,O139="Complete"),N139/3600000,"")</x:f>
      </x:c>
      <x:c r="G139" s="4"/>
      <x:c r="H139" s="4"/>
      <x:c r="I139" s="36" t="str">
        <x:f>IF(COUNTA(A139:C139,E139,G139:H139,J139:T139,V139:AB139)=0,"",IF(A139="","Review: missing entry ID",IF(COUNTIF($A$7:$A$506,A139)&gt;1,"Review: duplicate entry ID",IF(NOT(ISNUMBER(B139)),"Review: work date",IF(OR(C139="",E139="",K139="",M139="",H139=""),"Review: source details",IF(J139&lt;&gt;'Estimate review'!$J$5,"Review: project scope",IF(OR(NOT(ISNUMBER(N139)),N139&lt;0,O139&lt;&gt;"Complete"),"Review: duration",IF(S139&lt;&gt;"Coded","Review: coding status",IF(OR(U139="",COUNTIF('Project codes'!$A$7:$A$106,U139)=0),"Review: SOW mapping",IF(COUNTIF('Project codes'!$A$7:$A$106,U139)&gt;1,"Review: duplicate code",IF(_xlfn.XLOOKUP(U139,'Project codes'!$A$7:$A$106,'Project codes'!$F$7:$F$106,"Review",0)="Hold","Review: allocation hold",IF(OR(D139="",COUNTIF('SOW register'!$A$7:$A$36,D139)&lt;&gt;1),"Review: SOW mapping",IF(AND(G139&lt;&gt;"Yes",G139&lt;&gt;"No"),"Review: billability",IF(AB139="","Review: billing evidence","OK"))))))))))))))</x:f>
      </x:c>
      <x:c r="J139" s="24"/>
      <x:c r="K139" s="38"/>
      <x:c r="L139" s="38"/>
      <x:c r="M139" s="38"/>
      <x:c r="N139" s="39"/>
      <x:c r="O139" s="24"/>
      <x:c r="P139" s="24"/>
      <x:c r="Q139" s="38"/>
      <x:c r="R139" s="38"/>
      <x:c r="S139" s="24"/>
      <x:c r="T139" s="24"/>
      <x:c r="U139" s="37" t="str">
        <x:f>IF(OR(J139="",Q139="",R139=""),"",J139&amp;"|"&amp;Q139&amp;"|"&amp;R139)</x:f>
      </x:c>
      <x:c r="V139" s="24"/>
      <x:c r="W139" s="24"/>
      <x:c r="X139" s="40"/>
      <x:c r="Y139" s="40"/>
      <x:c r="Z139" s="39"/>
      <x:c r="AA139" s="39"/>
      <x:c r="AB139" s="24"/>
    </x:row>
    <x:row r="140" ht="23" customHeight="1">
      <x:c r="A140" s="20"/>
      <x:c r="B140" s="5"/>
      <x:c r="C140" s="4"/>
      <x:c r="D140" s="34" t="str">
        <x:f>IF(OR(A140="",U140="",COUNTIF('Project codes'!$A$7:$A$106,U140)&lt;&gt;1),"",_xlfn.XLOOKUP(U140,'Project codes'!$A$7:$A$106,'Project codes'!$I$7:$I$106,"",0))</x:f>
      </x:c>
      <x:c r="E140" s="4"/>
      <x:c r="F140" s="35" t="str">
        <x:f>IF(AND(ISNUMBER(N140),N140&gt;=0,O140="Complete"),N140/3600000,"")</x:f>
      </x:c>
      <x:c r="G140" s="4"/>
      <x:c r="H140" s="4"/>
      <x:c r="I140" s="36" t="str">
        <x:f>IF(COUNTA(A140:C140,E140,G140:H140,J140:T140,V140:AB140)=0,"",IF(A140="","Review: missing entry ID",IF(COUNTIF($A$7:$A$506,A140)&gt;1,"Review: duplicate entry ID",IF(NOT(ISNUMBER(B140)),"Review: work date",IF(OR(C140="",E140="",K140="",M140="",H140=""),"Review: source details",IF(J140&lt;&gt;'Estimate review'!$J$5,"Review: project scope",IF(OR(NOT(ISNUMBER(N140)),N140&lt;0,O140&lt;&gt;"Complete"),"Review: duration",IF(S140&lt;&gt;"Coded","Review: coding status",IF(OR(U140="",COUNTIF('Project codes'!$A$7:$A$106,U140)=0),"Review: SOW mapping",IF(COUNTIF('Project codes'!$A$7:$A$106,U140)&gt;1,"Review: duplicate code",IF(_xlfn.XLOOKUP(U140,'Project codes'!$A$7:$A$106,'Project codes'!$F$7:$F$106,"Review",0)="Hold","Review: allocation hold",IF(OR(D140="",COUNTIF('SOW register'!$A$7:$A$36,D140)&lt;&gt;1),"Review: SOW mapping",IF(AND(G140&lt;&gt;"Yes",G140&lt;&gt;"No"),"Review: billability",IF(AB140="","Review: billing evidence","OK"))))))))))))))</x:f>
      </x:c>
      <x:c r="J140" s="24"/>
      <x:c r="K140" s="38"/>
      <x:c r="L140" s="38"/>
      <x:c r="M140" s="38"/>
      <x:c r="N140" s="39"/>
      <x:c r="O140" s="24"/>
      <x:c r="P140" s="24"/>
      <x:c r="Q140" s="38"/>
      <x:c r="R140" s="38"/>
      <x:c r="S140" s="24"/>
      <x:c r="T140" s="24"/>
      <x:c r="U140" s="37" t="str">
        <x:f>IF(OR(J140="",Q140="",R140=""),"",J140&amp;"|"&amp;Q140&amp;"|"&amp;R140)</x:f>
      </x:c>
      <x:c r="V140" s="24"/>
      <x:c r="W140" s="24"/>
      <x:c r="X140" s="40"/>
      <x:c r="Y140" s="40"/>
      <x:c r="Z140" s="39"/>
      <x:c r="AA140" s="39"/>
      <x:c r="AB140" s="24"/>
    </x:row>
    <x:row r="141" ht="23" customHeight="1">
      <x:c r="A141" s="20"/>
      <x:c r="B141" s="5"/>
      <x:c r="C141" s="4"/>
      <x:c r="D141" s="34" t="str">
        <x:f>IF(OR(A141="",U141="",COUNTIF('Project codes'!$A$7:$A$106,U141)&lt;&gt;1),"",_xlfn.XLOOKUP(U141,'Project codes'!$A$7:$A$106,'Project codes'!$I$7:$I$106,"",0))</x:f>
      </x:c>
      <x:c r="E141" s="4"/>
      <x:c r="F141" s="35" t="str">
        <x:f>IF(AND(ISNUMBER(N141),N141&gt;=0,O141="Complete"),N141/3600000,"")</x:f>
      </x:c>
      <x:c r="G141" s="4"/>
      <x:c r="H141" s="4"/>
      <x:c r="I141" s="36" t="str">
        <x:f>IF(COUNTA(A141:C141,E141,G141:H141,J141:T141,V141:AB141)=0,"",IF(A141="","Review: missing entry ID",IF(COUNTIF($A$7:$A$506,A141)&gt;1,"Review: duplicate entry ID",IF(NOT(ISNUMBER(B141)),"Review: work date",IF(OR(C141="",E141="",K141="",M141="",H141=""),"Review: source details",IF(J141&lt;&gt;'Estimate review'!$J$5,"Review: project scope",IF(OR(NOT(ISNUMBER(N141)),N141&lt;0,O141&lt;&gt;"Complete"),"Review: duration",IF(S141&lt;&gt;"Coded","Review: coding status",IF(OR(U141="",COUNTIF('Project codes'!$A$7:$A$106,U141)=0),"Review: SOW mapping",IF(COUNTIF('Project codes'!$A$7:$A$106,U141)&gt;1,"Review: duplicate code",IF(_xlfn.XLOOKUP(U141,'Project codes'!$A$7:$A$106,'Project codes'!$F$7:$F$106,"Review",0)="Hold","Review: allocation hold",IF(OR(D141="",COUNTIF('SOW register'!$A$7:$A$36,D141)&lt;&gt;1),"Review: SOW mapping",IF(AND(G141&lt;&gt;"Yes",G141&lt;&gt;"No"),"Review: billability",IF(AB141="","Review: billing evidence","OK"))))))))))))))</x:f>
      </x:c>
      <x:c r="J141" s="24"/>
      <x:c r="K141" s="38"/>
      <x:c r="L141" s="38"/>
      <x:c r="M141" s="38"/>
      <x:c r="N141" s="39"/>
      <x:c r="O141" s="24"/>
      <x:c r="P141" s="24"/>
      <x:c r="Q141" s="38"/>
      <x:c r="R141" s="38"/>
      <x:c r="S141" s="24"/>
      <x:c r="T141" s="24"/>
      <x:c r="U141" s="37" t="str">
        <x:f>IF(OR(J141="",Q141="",R141=""),"",J141&amp;"|"&amp;Q141&amp;"|"&amp;R141)</x:f>
      </x:c>
      <x:c r="V141" s="24"/>
      <x:c r="W141" s="24"/>
      <x:c r="X141" s="40"/>
      <x:c r="Y141" s="40"/>
      <x:c r="Z141" s="39"/>
      <x:c r="AA141" s="39"/>
      <x:c r="AB141" s="24"/>
    </x:row>
    <x:row r="142" ht="23" customHeight="1">
      <x:c r="A142" s="20"/>
      <x:c r="B142" s="5"/>
      <x:c r="C142" s="4"/>
      <x:c r="D142" s="34" t="str">
        <x:f>IF(OR(A142="",U142="",COUNTIF('Project codes'!$A$7:$A$106,U142)&lt;&gt;1),"",_xlfn.XLOOKUP(U142,'Project codes'!$A$7:$A$106,'Project codes'!$I$7:$I$106,"",0))</x:f>
      </x:c>
      <x:c r="E142" s="4"/>
      <x:c r="F142" s="35" t="str">
        <x:f>IF(AND(ISNUMBER(N142),N142&gt;=0,O142="Complete"),N142/3600000,"")</x:f>
      </x:c>
      <x:c r="G142" s="4"/>
      <x:c r="H142" s="4"/>
      <x:c r="I142" s="36" t="str">
        <x:f>IF(COUNTA(A142:C142,E142,G142:H142,J142:T142,V142:AB142)=0,"",IF(A142="","Review: missing entry ID",IF(COUNTIF($A$7:$A$506,A142)&gt;1,"Review: duplicate entry ID",IF(NOT(ISNUMBER(B142)),"Review: work date",IF(OR(C142="",E142="",K142="",M142="",H142=""),"Review: source details",IF(J142&lt;&gt;'Estimate review'!$J$5,"Review: project scope",IF(OR(NOT(ISNUMBER(N142)),N142&lt;0,O142&lt;&gt;"Complete"),"Review: duration",IF(S142&lt;&gt;"Coded","Review: coding status",IF(OR(U142="",COUNTIF('Project codes'!$A$7:$A$106,U142)=0),"Review: SOW mapping",IF(COUNTIF('Project codes'!$A$7:$A$106,U142)&gt;1,"Review: duplicate code",IF(_xlfn.XLOOKUP(U142,'Project codes'!$A$7:$A$106,'Project codes'!$F$7:$F$106,"Review",0)="Hold","Review: allocation hold",IF(OR(D142="",COUNTIF('SOW register'!$A$7:$A$36,D142)&lt;&gt;1),"Review: SOW mapping",IF(AND(G142&lt;&gt;"Yes",G142&lt;&gt;"No"),"Review: billability",IF(AB142="","Review: billing evidence","OK"))))))))))))))</x:f>
      </x:c>
      <x:c r="J142" s="24"/>
      <x:c r="K142" s="38"/>
      <x:c r="L142" s="38"/>
      <x:c r="M142" s="38"/>
      <x:c r="N142" s="39"/>
      <x:c r="O142" s="24"/>
      <x:c r="P142" s="24"/>
      <x:c r="Q142" s="38"/>
      <x:c r="R142" s="38"/>
      <x:c r="S142" s="24"/>
      <x:c r="T142" s="24"/>
      <x:c r="U142" s="37" t="str">
        <x:f>IF(OR(J142="",Q142="",R142=""),"",J142&amp;"|"&amp;Q142&amp;"|"&amp;R142)</x:f>
      </x:c>
      <x:c r="V142" s="24"/>
      <x:c r="W142" s="24"/>
      <x:c r="X142" s="40"/>
      <x:c r="Y142" s="40"/>
      <x:c r="Z142" s="39"/>
      <x:c r="AA142" s="39"/>
      <x:c r="AB142" s="24"/>
    </x:row>
    <x:row r="143" ht="23" customHeight="1">
      <x:c r="A143" s="20"/>
      <x:c r="B143" s="5"/>
      <x:c r="C143" s="4"/>
      <x:c r="D143" s="34" t="str">
        <x:f>IF(OR(A143="",U143="",COUNTIF('Project codes'!$A$7:$A$106,U143)&lt;&gt;1),"",_xlfn.XLOOKUP(U143,'Project codes'!$A$7:$A$106,'Project codes'!$I$7:$I$106,"",0))</x:f>
      </x:c>
      <x:c r="E143" s="4"/>
      <x:c r="F143" s="35" t="str">
        <x:f>IF(AND(ISNUMBER(N143),N143&gt;=0,O143="Complete"),N143/3600000,"")</x:f>
      </x:c>
      <x:c r="G143" s="4"/>
      <x:c r="H143" s="4"/>
      <x:c r="I143" s="36" t="str">
        <x:f>IF(COUNTA(A143:C143,E143,G143:H143,J143:T143,V143:AB143)=0,"",IF(A143="","Review: missing entry ID",IF(COUNTIF($A$7:$A$506,A143)&gt;1,"Review: duplicate entry ID",IF(NOT(ISNUMBER(B143)),"Review: work date",IF(OR(C143="",E143="",K143="",M143="",H143=""),"Review: source details",IF(J143&lt;&gt;'Estimate review'!$J$5,"Review: project scope",IF(OR(NOT(ISNUMBER(N143)),N143&lt;0,O143&lt;&gt;"Complete"),"Review: duration",IF(S143&lt;&gt;"Coded","Review: coding status",IF(OR(U143="",COUNTIF('Project codes'!$A$7:$A$106,U143)=0),"Review: SOW mapping",IF(COUNTIF('Project codes'!$A$7:$A$106,U143)&gt;1,"Review: duplicate code",IF(_xlfn.XLOOKUP(U143,'Project codes'!$A$7:$A$106,'Project codes'!$F$7:$F$106,"Review",0)="Hold","Review: allocation hold",IF(OR(D143="",COUNTIF('SOW register'!$A$7:$A$36,D143)&lt;&gt;1),"Review: SOW mapping",IF(AND(G143&lt;&gt;"Yes",G143&lt;&gt;"No"),"Review: billability",IF(AB143="","Review: billing evidence","OK"))))))))))))))</x:f>
      </x:c>
      <x:c r="J143" s="24"/>
      <x:c r="K143" s="38"/>
      <x:c r="L143" s="38"/>
      <x:c r="M143" s="38"/>
      <x:c r="N143" s="39"/>
      <x:c r="O143" s="24"/>
      <x:c r="P143" s="24"/>
      <x:c r="Q143" s="38"/>
      <x:c r="R143" s="38"/>
      <x:c r="S143" s="24"/>
      <x:c r="T143" s="24"/>
      <x:c r="U143" s="37" t="str">
        <x:f>IF(OR(J143="",Q143="",R143=""),"",J143&amp;"|"&amp;Q143&amp;"|"&amp;R143)</x:f>
      </x:c>
      <x:c r="V143" s="24"/>
      <x:c r="W143" s="24"/>
      <x:c r="X143" s="40"/>
      <x:c r="Y143" s="40"/>
      <x:c r="Z143" s="39"/>
      <x:c r="AA143" s="39"/>
      <x:c r="AB143" s="24"/>
    </x:row>
    <x:row r="144" ht="23" customHeight="1">
      <x:c r="A144" s="20"/>
      <x:c r="B144" s="5"/>
      <x:c r="C144" s="4"/>
      <x:c r="D144" s="34" t="str">
        <x:f>IF(OR(A144="",U144="",COUNTIF('Project codes'!$A$7:$A$106,U144)&lt;&gt;1),"",_xlfn.XLOOKUP(U144,'Project codes'!$A$7:$A$106,'Project codes'!$I$7:$I$106,"",0))</x:f>
      </x:c>
      <x:c r="E144" s="4"/>
      <x:c r="F144" s="35" t="str">
        <x:f>IF(AND(ISNUMBER(N144),N144&gt;=0,O144="Complete"),N144/3600000,"")</x:f>
      </x:c>
      <x:c r="G144" s="4"/>
      <x:c r="H144" s="4"/>
      <x:c r="I144" s="36" t="str">
        <x:f>IF(COUNTA(A144:C144,E144,G144:H144,J144:T144,V144:AB144)=0,"",IF(A144="","Review: missing entry ID",IF(COUNTIF($A$7:$A$506,A144)&gt;1,"Review: duplicate entry ID",IF(NOT(ISNUMBER(B144)),"Review: work date",IF(OR(C144="",E144="",K144="",M144="",H144=""),"Review: source details",IF(J144&lt;&gt;'Estimate review'!$J$5,"Review: project scope",IF(OR(NOT(ISNUMBER(N144)),N144&lt;0,O144&lt;&gt;"Complete"),"Review: duration",IF(S144&lt;&gt;"Coded","Review: coding status",IF(OR(U144="",COUNTIF('Project codes'!$A$7:$A$106,U144)=0),"Review: SOW mapping",IF(COUNTIF('Project codes'!$A$7:$A$106,U144)&gt;1,"Review: duplicate code",IF(_xlfn.XLOOKUP(U144,'Project codes'!$A$7:$A$106,'Project codes'!$F$7:$F$106,"Review",0)="Hold","Review: allocation hold",IF(OR(D144="",COUNTIF('SOW register'!$A$7:$A$36,D144)&lt;&gt;1),"Review: SOW mapping",IF(AND(G144&lt;&gt;"Yes",G144&lt;&gt;"No"),"Review: billability",IF(AB144="","Review: billing evidence","OK"))))))))))))))</x:f>
      </x:c>
      <x:c r="J144" s="24"/>
      <x:c r="K144" s="38"/>
      <x:c r="L144" s="38"/>
      <x:c r="M144" s="38"/>
      <x:c r="N144" s="39"/>
      <x:c r="O144" s="24"/>
      <x:c r="P144" s="24"/>
      <x:c r="Q144" s="38"/>
      <x:c r="R144" s="38"/>
      <x:c r="S144" s="24"/>
      <x:c r="T144" s="24"/>
      <x:c r="U144" s="37" t="str">
        <x:f>IF(OR(J144="",Q144="",R144=""),"",J144&amp;"|"&amp;Q144&amp;"|"&amp;R144)</x:f>
      </x:c>
      <x:c r="V144" s="24"/>
      <x:c r="W144" s="24"/>
      <x:c r="X144" s="40"/>
      <x:c r="Y144" s="40"/>
      <x:c r="Z144" s="39"/>
      <x:c r="AA144" s="39"/>
      <x:c r="AB144" s="24"/>
    </x:row>
    <x:row r="145" ht="23" customHeight="1">
      <x:c r="A145" s="20"/>
      <x:c r="B145" s="5"/>
      <x:c r="C145" s="4"/>
      <x:c r="D145" s="34" t="str">
        <x:f>IF(OR(A145="",U145="",COUNTIF('Project codes'!$A$7:$A$106,U145)&lt;&gt;1),"",_xlfn.XLOOKUP(U145,'Project codes'!$A$7:$A$106,'Project codes'!$I$7:$I$106,"",0))</x:f>
      </x:c>
      <x:c r="E145" s="4"/>
      <x:c r="F145" s="35" t="str">
        <x:f>IF(AND(ISNUMBER(N145),N145&gt;=0,O145="Complete"),N145/3600000,"")</x:f>
      </x:c>
      <x:c r="G145" s="4"/>
      <x:c r="H145" s="4"/>
      <x:c r="I145" s="36" t="str">
        <x:f>IF(COUNTA(A145:C145,E145,G145:H145,J145:T145,V145:AB145)=0,"",IF(A145="","Review: missing entry ID",IF(COUNTIF($A$7:$A$506,A145)&gt;1,"Review: duplicate entry ID",IF(NOT(ISNUMBER(B145)),"Review: work date",IF(OR(C145="",E145="",K145="",M145="",H145=""),"Review: source details",IF(J145&lt;&gt;'Estimate review'!$J$5,"Review: project scope",IF(OR(NOT(ISNUMBER(N145)),N145&lt;0,O145&lt;&gt;"Complete"),"Review: duration",IF(S145&lt;&gt;"Coded","Review: coding status",IF(OR(U145="",COUNTIF('Project codes'!$A$7:$A$106,U145)=0),"Review: SOW mapping",IF(COUNTIF('Project codes'!$A$7:$A$106,U145)&gt;1,"Review: duplicate code",IF(_xlfn.XLOOKUP(U145,'Project codes'!$A$7:$A$106,'Project codes'!$F$7:$F$106,"Review",0)="Hold","Review: allocation hold",IF(OR(D145="",COUNTIF('SOW register'!$A$7:$A$36,D145)&lt;&gt;1),"Review: SOW mapping",IF(AND(G145&lt;&gt;"Yes",G145&lt;&gt;"No"),"Review: billability",IF(AB145="","Review: billing evidence","OK"))))))))))))))</x:f>
      </x:c>
      <x:c r="J145" s="24"/>
      <x:c r="K145" s="38"/>
      <x:c r="L145" s="38"/>
      <x:c r="M145" s="38"/>
      <x:c r="N145" s="39"/>
      <x:c r="O145" s="24"/>
      <x:c r="P145" s="24"/>
      <x:c r="Q145" s="38"/>
      <x:c r="R145" s="38"/>
      <x:c r="S145" s="24"/>
      <x:c r="T145" s="24"/>
      <x:c r="U145" s="37" t="str">
        <x:f>IF(OR(J145="",Q145="",R145=""),"",J145&amp;"|"&amp;Q145&amp;"|"&amp;R145)</x:f>
      </x:c>
      <x:c r="V145" s="24"/>
      <x:c r="W145" s="24"/>
      <x:c r="X145" s="40"/>
      <x:c r="Y145" s="40"/>
      <x:c r="Z145" s="39"/>
      <x:c r="AA145" s="39"/>
      <x:c r="AB145" s="24"/>
    </x:row>
    <x:row r="146" ht="23" customHeight="1">
      <x:c r="A146" s="20"/>
      <x:c r="B146" s="5"/>
      <x:c r="C146" s="4"/>
      <x:c r="D146" s="34" t="str">
        <x:f>IF(OR(A146="",U146="",COUNTIF('Project codes'!$A$7:$A$106,U146)&lt;&gt;1),"",_xlfn.XLOOKUP(U146,'Project codes'!$A$7:$A$106,'Project codes'!$I$7:$I$106,"",0))</x:f>
      </x:c>
      <x:c r="E146" s="4"/>
      <x:c r="F146" s="35" t="str">
        <x:f>IF(AND(ISNUMBER(N146),N146&gt;=0,O146="Complete"),N146/3600000,"")</x:f>
      </x:c>
      <x:c r="G146" s="4"/>
      <x:c r="H146" s="4"/>
      <x:c r="I146" s="36" t="str">
        <x:f>IF(COUNTA(A146:C146,E146,G146:H146,J146:T146,V146:AB146)=0,"",IF(A146="","Review: missing entry ID",IF(COUNTIF($A$7:$A$506,A146)&gt;1,"Review: duplicate entry ID",IF(NOT(ISNUMBER(B146)),"Review: work date",IF(OR(C146="",E146="",K146="",M146="",H146=""),"Review: source details",IF(J146&lt;&gt;'Estimate review'!$J$5,"Review: project scope",IF(OR(NOT(ISNUMBER(N146)),N146&lt;0,O146&lt;&gt;"Complete"),"Review: duration",IF(S146&lt;&gt;"Coded","Review: coding status",IF(OR(U146="",COUNTIF('Project codes'!$A$7:$A$106,U146)=0),"Review: SOW mapping",IF(COUNTIF('Project codes'!$A$7:$A$106,U146)&gt;1,"Review: duplicate code",IF(_xlfn.XLOOKUP(U146,'Project codes'!$A$7:$A$106,'Project codes'!$F$7:$F$106,"Review",0)="Hold","Review: allocation hold",IF(OR(D146="",COUNTIF('SOW register'!$A$7:$A$36,D146)&lt;&gt;1),"Review: SOW mapping",IF(AND(G146&lt;&gt;"Yes",G146&lt;&gt;"No"),"Review: billability",IF(AB146="","Review: billing evidence","OK"))))))))))))))</x:f>
      </x:c>
      <x:c r="J146" s="24"/>
      <x:c r="K146" s="38"/>
      <x:c r="L146" s="38"/>
      <x:c r="M146" s="38"/>
      <x:c r="N146" s="39"/>
      <x:c r="O146" s="24"/>
      <x:c r="P146" s="24"/>
      <x:c r="Q146" s="38"/>
      <x:c r="R146" s="38"/>
      <x:c r="S146" s="24"/>
      <x:c r="T146" s="24"/>
      <x:c r="U146" s="37" t="str">
        <x:f>IF(OR(J146="",Q146="",R146=""),"",J146&amp;"|"&amp;Q146&amp;"|"&amp;R146)</x:f>
      </x:c>
      <x:c r="V146" s="24"/>
      <x:c r="W146" s="24"/>
      <x:c r="X146" s="40"/>
      <x:c r="Y146" s="40"/>
      <x:c r="Z146" s="39"/>
      <x:c r="AA146" s="39"/>
      <x:c r="AB146" s="24"/>
    </x:row>
    <x:row r="147" ht="23" customHeight="1">
      <x:c r="A147" s="20"/>
      <x:c r="B147" s="5"/>
      <x:c r="C147" s="4"/>
      <x:c r="D147" s="34" t="str">
        <x:f>IF(OR(A147="",U147="",COUNTIF('Project codes'!$A$7:$A$106,U147)&lt;&gt;1),"",_xlfn.XLOOKUP(U147,'Project codes'!$A$7:$A$106,'Project codes'!$I$7:$I$106,"",0))</x:f>
      </x:c>
      <x:c r="E147" s="4"/>
      <x:c r="F147" s="35" t="str">
        <x:f>IF(AND(ISNUMBER(N147),N147&gt;=0,O147="Complete"),N147/3600000,"")</x:f>
      </x:c>
      <x:c r="G147" s="4"/>
      <x:c r="H147" s="4"/>
      <x:c r="I147" s="36" t="str">
        <x:f>IF(COUNTA(A147:C147,E147,G147:H147,J147:T147,V147:AB147)=0,"",IF(A147="","Review: missing entry ID",IF(COUNTIF($A$7:$A$506,A147)&gt;1,"Review: duplicate entry ID",IF(NOT(ISNUMBER(B147)),"Review: work date",IF(OR(C147="",E147="",K147="",M147="",H147=""),"Review: source details",IF(J147&lt;&gt;'Estimate review'!$J$5,"Review: project scope",IF(OR(NOT(ISNUMBER(N147)),N147&lt;0,O147&lt;&gt;"Complete"),"Review: duration",IF(S147&lt;&gt;"Coded","Review: coding status",IF(OR(U147="",COUNTIF('Project codes'!$A$7:$A$106,U147)=0),"Review: SOW mapping",IF(COUNTIF('Project codes'!$A$7:$A$106,U147)&gt;1,"Review: duplicate code",IF(_xlfn.XLOOKUP(U147,'Project codes'!$A$7:$A$106,'Project codes'!$F$7:$F$106,"Review",0)="Hold","Review: allocation hold",IF(OR(D147="",COUNTIF('SOW register'!$A$7:$A$36,D147)&lt;&gt;1),"Review: SOW mapping",IF(AND(G147&lt;&gt;"Yes",G147&lt;&gt;"No"),"Review: billability",IF(AB147="","Review: billing evidence","OK"))))))))))))))</x:f>
      </x:c>
      <x:c r="J147" s="24"/>
      <x:c r="K147" s="38"/>
      <x:c r="L147" s="38"/>
      <x:c r="M147" s="38"/>
      <x:c r="N147" s="39"/>
      <x:c r="O147" s="24"/>
      <x:c r="P147" s="24"/>
      <x:c r="Q147" s="38"/>
      <x:c r="R147" s="38"/>
      <x:c r="S147" s="24"/>
      <x:c r="T147" s="24"/>
      <x:c r="U147" s="37" t="str">
        <x:f>IF(OR(J147="",Q147="",R147=""),"",J147&amp;"|"&amp;Q147&amp;"|"&amp;R147)</x:f>
      </x:c>
      <x:c r="V147" s="24"/>
      <x:c r="W147" s="24"/>
      <x:c r="X147" s="40"/>
      <x:c r="Y147" s="40"/>
      <x:c r="Z147" s="39"/>
      <x:c r="AA147" s="39"/>
      <x:c r="AB147" s="24"/>
    </x:row>
    <x:row r="148" ht="23" customHeight="1">
      <x:c r="A148" s="20"/>
      <x:c r="B148" s="5"/>
      <x:c r="C148" s="4"/>
      <x:c r="D148" s="34" t="str">
        <x:f>IF(OR(A148="",U148="",COUNTIF('Project codes'!$A$7:$A$106,U148)&lt;&gt;1),"",_xlfn.XLOOKUP(U148,'Project codes'!$A$7:$A$106,'Project codes'!$I$7:$I$106,"",0))</x:f>
      </x:c>
      <x:c r="E148" s="4"/>
      <x:c r="F148" s="35" t="str">
        <x:f>IF(AND(ISNUMBER(N148),N148&gt;=0,O148="Complete"),N148/3600000,"")</x:f>
      </x:c>
      <x:c r="G148" s="4"/>
      <x:c r="H148" s="4"/>
      <x:c r="I148" s="36" t="str">
        <x:f>IF(COUNTA(A148:C148,E148,G148:H148,J148:T148,V148:AB148)=0,"",IF(A148="","Review: missing entry ID",IF(COUNTIF($A$7:$A$506,A148)&gt;1,"Review: duplicate entry ID",IF(NOT(ISNUMBER(B148)),"Review: work date",IF(OR(C148="",E148="",K148="",M148="",H148=""),"Review: source details",IF(J148&lt;&gt;'Estimate review'!$J$5,"Review: project scope",IF(OR(NOT(ISNUMBER(N148)),N148&lt;0,O148&lt;&gt;"Complete"),"Review: duration",IF(S148&lt;&gt;"Coded","Review: coding status",IF(OR(U148="",COUNTIF('Project codes'!$A$7:$A$106,U148)=0),"Review: SOW mapping",IF(COUNTIF('Project codes'!$A$7:$A$106,U148)&gt;1,"Review: duplicate code",IF(_xlfn.XLOOKUP(U148,'Project codes'!$A$7:$A$106,'Project codes'!$F$7:$F$106,"Review",0)="Hold","Review: allocation hold",IF(OR(D148="",COUNTIF('SOW register'!$A$7:$A$36,D148)&lt;&gt;1),"Review: SOW mapping",IF(AND(G148&lt;&gt;"Yes",G148&lt;&gt;"No"),"Review: billability",IF(AB148="","Review: billing evidence","OK"))))))))))))))</x:f>
      </x:c>
      <x:c r="J148" s="24"/>
      <x:c r="K148" s="38"/>
      <x:c r="L148" s="38"/>
      <x:c r="M148" s="38"/>
      <x:c r="N148" s="39"/>
      <x:c r="O148" s="24"/>
      <x:c r="P148" s="24"/>
      <x:c r="Q148" s="38"/>
      <x:c r="R148" s="38"/>
      <x:c r="S148" s="24"/>
      <x:c r="T148" s="24"/>
      <x:c r="U148" s="37" t="str">
        <x:f>IF(OR(J148="",Q148="",R148=""),"",J148&amp;"|"&amp;Q148&amp;"|"&amp;R148)</x:f>
      </x:c>
      <x:c r="V148" s="24"/>
      <x:c r="W148" s="24"/>
      <x:c r="X148" s="40"/>
      <x:c r="Y148" s="40"/>
      <x:c r="Z148" s="39"/>
      <x:c r="AA148" s="39"/>
      <x:c r="AB148" s="24"/>
    </x:row>
    <x:row r="149" ht="23" customHeight="1">
      <x:c r="A149" s="20"/>
      <x:c r="B149" s="5"/>
      <x:c r="C149" s="4"/>
      <x:c r="D149" s="34" t="str">
        <x:f>IF(OR(A149="",U149="",COUNTIF('Project codes'!$A$7:$A$106,U149)&lt;&gt;1),"",_xlfn.XLOOKUP(U149,'Project codes'!$A$7:$A$106,'Project codes'!$I$7:$I$106,"",0))</x:f>
      </x:c>
      <x:c r="E149" s="4"/>
      <x:c r="F149" s="35" t="str">
        <x:f>IF(AND(ISNUMBER(N149),N149&gt;=0,O149="Complete"),N149/3600000,"")</x:f>
      </x:c>
      <x:c r="G149" s="4"/>
      <x:c r="H149" s="4"/>
      <x:c r="I149" s="36" t="str">
        <x:f>IF(COUNTA(A149:C149,E149,G149:H149,J149:T149,V149:AB149)=0,"",IF(A149="","Review: missing entry ID",IF(COUNTIF($A$7:$A$506,A149)&gt;1,"Review: duplicate entry ID",IF(NOT(ISNUMBER(B149)),"Review: work date",IF(OR(C149="",E149="",K149="",M149="",H149=""),"Review: source details",IF(J149&lt;&gt;'Estimate review'!$J$5,"Review: project scope",IF(OR(NOT(ISNUMBER(N149)),N149&lt;0,O149&lt;&gt;"Complete"),"Review: duration",IF(S149&lt;&gt;"Coded","Review: coding status",IF(OR(U149="",COUNTIF('Project codes'!$A$7:$A$106,U149)=0),"Review: SOW mapping",IF(COUNTIF('Project codes'!$A$7:$A$106,U149)&gt;1,"Review: duplicate code",IF(_xlfn.XLOOKUP(U149,'Project codes'!$A$7:$A$106,'Project codes'!$F$7:$F$106,"Review",0)="Hold","Review: allocation hold",IF(OR(D149="",COUNTIF('SOW register'!$A$7:$A$36,D149)&lt;&gt;1),"Review: SOW mapping",IF(AND(G149&lt;&gt;"Yes",G149&lt;&gt;"No"),"Review: billability",IF(AB149="","Review: billing evidence","OK"))))))))))))))</x:f>
      </x:c>
      <x:c r="J149" s="24"/>
      <x:c r="K149" s="38"/>
      <x:c r="L149" s="38"/>
      <x:c r="M149" s="38"/>
      <x:c r="N149" s="39"/>
      <x:c r="O149" s="24"/>
      <x:c r="P149" s="24"/>
      <x:c r="Q149" s="38"/>
      <x:c r="R149" s="38"/>
      <x:c r="S149" s="24"/>
      <x:c r="T149" s="24"/>
      <x:c r="U149" s="37" t="str">
        <x:f>IF(OR(J149="",Q149="",R149=""),"",J149&amp;"|"&amp;Q149&amp;"|"&amp;R149)</x:f>
      </x:c>
      <x:c r="V149" s="24"/>
      <x:c r="W149" s="24"/>
      <x:c r="X149" s="40"/>
      <x:c r="Y149" s="40"/>
      <x:c r="Z149" s="39"/>
      <x:c r="AA149" s="39"/>
      <x:c r="AB149" s="24"/>
    </x:row>
    <x:row r="150" ht="23" customHeight="1">
      <x:c r="A150" s="20"/>
      <x:c r="B150" s="5"/>
      <x:c r="C150" s="4"/>
      <x:c r="D150" s="34" t="str">
        <x:f>IF(OR(A150="",U150="",COUNTIF('Project codes'!$A$7:$A$106,U150)&lt;&gt;1),"",_xlfn.XLOOKUP(U150,'Project codes'!$A$7:$A$106,'Project codes'!$I$7:$I$106,"",0))</x:f>
      </x:c>
      <x:c r="E150" s="4"/>
      <x:c r="F150" s="35" t="str">
        <x:f>IF(AND(ISNUMBER(N150),N150&gt;=0,O150="Complete"),N150/3600000,"")</x:f>
      </x:c>
      <x:c r="G150" s="4"/>
      <x:c r="H150" s="4"/>
      <x:c r="I150" s="36" t="str">
        <x:f>IF(COUNTA(A150:C150,E150,G150:H150,J150:T150,V150:AB150)=0,"",IF(A150="","Review: missing entry ID",IF(COUNTIF($A$7:$A$506,A150)&gt;1,"Review: duplicate entry ID",IF(NOT(ISNUMBER(B150)),"Review: work date",IF(OR(C150="",E150="",K150="",M150="",H150=""),"Review: source details",IF(J150&lt;&gt;'Estimate review'!$J$5,"Review: project scope",IF(OR(NOT(ISNUMBER(N150)),N150&lt;0,O150&lt;&gt;"Complete"),"Review: duration",IF(S150&lt;&gt;"Coded","Review: coding status",IF(OR(U150="",COUNTIF('Project codes'!$A$7:$A$106,U150)=0),"Review: SOW mapping",IF(COUNTIF('Project codes'!$A$7:$A$106,U150)&gt;1,"Review: duplicate code",IF(_xlfn.XLOOKUP(U150,'Project codes'!$A$7:$A$106,'Project codes'!$F$7:$F$106,"Review",0)="Hold","Review: allocation hold",IF(OR(D150="",COUNTIF('SOW register'!$A$7:$A$36,D150)&lt;&gt;1),"Review: SOW mapping",IF(AND(G150&lt;&gt;"Yes",G150&lt;&gt;"No"),"Review: billability",IF(AB150="","Review: billing evidence","OK"))))))))))))))</x:f>
      </x:c>
      <x:c r="J150" s="24"/>
      <x:c r="K150" s="38"/>
      <x:c r="L150" s="38"/>
      <x:c r="M150" s="38"/>
      <x:c r="N150" s="39"/>
      <x:c r="O150" s="24"/>
      <x:c r="P150" s="24"/>
      <x:c r="Q150" s="38"/>
      <x:c r="R150" s="38"/>
      <x:c r="S150" s="24"/>
      <x:c r="T150" s="24"/>
      <x:c r="U150" s="37" t="str">
        <x:f>IF(OR(J150="",Q150="",R150=""),"",J150&amp;"|"&amp;Q150&amp;"|"&amp;R150)</x:f>
      </x:c>
      <x:c r="V150" s="24"/>
      <x:c r="W150" s="24"/>
      <x:c r="X150" s="40"/>
      <x:c r="Y150" s="40"/>
      <x:c r="Z150" s="39"/>
      <x:c r="AA150" s="39"/>
      <x:c r="AB150" s="24"/>
    </x:row>
    <x:row r="151" ht="23" customHeight="1">
      <x:c r="A151" s="20"/>
      <x:c r="B151" s="5"/>
      <x:c r="C151" s="4"/>
      <x:c r="D151" s="34" t="str">
        <x:f>IF(OR(A151="",U151="",COUNTIF('Project codes'!$A$7:$A$106,U151)&lt;&gt;1),"",_xlfn.XLOOKUP(U151,'Project codes'!$A$7:$A$106,'Project codes'!$I$7:$I$106,"",0))</x:f>
      </x:c>
      <x:c r="E151" s="4"/>
      <x:c r="F151" s="35" t="str">
        <x:f>IF(AND(ISNUMBER(N151),N151&gt;=0,O151="Complete"),N151/3600000,"")</x:f>
      </x:c>
      <x:c r="G151" s="4"/>
      <x:c r="H151" s="4"/>
      <x:c r="I151" s="36" t="str">
        <x:f>IF(COUNTA(A151:C151,E151,G151:H151,J151:T151,V151:AB151)=0,"",IF(A151="","Review: missing entry ID",IF(COUNTIF($A$7:$A$506,A151)&gt;1,"Review: duplicate entry ID",IF(NOT(ISNUMBER(B151)),"Review: work date",IF(OR(C151="",E151="",K151="",M151="",H151=""),"Review: source details",IF(J151&lt;&gt;'Estimate review'!$J$5,"Review: project scope",IF(OR(NOT(ISNUMBER(N151)),N151&lt;0,O151&lt;&gt;"Complete"),"Review: duration",IF(S151&lt;&gt;"Coded","Review: coding status",IF(OR(U151="",COUNTIF('Project codes'!$A$7:$A$106,U151)=0),"Review: SOW mapping",IF(COUNTIF('Project codes'!$A$7:$A$106,U151)&gt;1,"Review: duplicate code",IF(_xlfn.XLOOKUP(U151,'Project codes'!$A$7:$A$106,'Project codes'!$F$7:$F$106,"Review",0)="Hold","Review: allocation hold",IF(OR(D151="",COUNTIF('SOW register'!$A$7:$A$36,D151)&lt;&gt;1),"Review: SOW mapping",IF(AND(G151&lt;&gt;"Yes",G151&lt;&gt;"No"),"Review: billability",IF(AB151="","Review: billing evidence","OK"))))))))))))))</x:f>
      </x:c>
      <x:c r="J151" s="24"/>
      <x:c r="K151" s="38"/>
      <x:c r="L151" s="38"/>
      <x:c r="M151" s="38"/>
      <x:c r="N151" s="39"/>
      <x:c r="O151" s="24"/>
      <x:c r="P151" s="24"/>
      <x:c r="Q151" s="38"/>
      <x:c r="R151" s="38"/>
      <x:c r="S151" s="24"/>
      <x:c r="T151" s="24"/>
      <x:c r="U151" s="37" t="str">
        <x:f>IF(OR(J151="",Q151="",R151=""),"",J151&amp;"|"&amp;Q151&amp;"|"&amp;R151)</x:f>
      </x:c>
      <x:c r="V151" s="24"/>
      <x:c r="W151" s="24"/>
      <x:c r="X151" s="40"/>
      <x:c r="Y151" s="40"/>
      <x:c r="Z151" s="39"/>
      <x:c r="AA151" s="39"/>
      <x:c r="AB151" s="24"/>
    </x:row>
    <x:row r="152" ht="23" customHeight="1">
      <x:c r="A152" s="20"/>
      <x:c r="B152" s="5"/>
      <x:c r="C152" s="4"/>
      <x:c r="D152" s="34" t="str">
        <x:f>IF(OR(A152="",U152="",COUNTIF('Project codes'!$A$7:$A$106,U152)&lt;&gt;1),"",_xlfn.XLOOKUP(U152,'Project codes'!$A$7:$A$106,'Project codes'!$I$7:$I$106,"",0))</x:f>
      </x:c>
      <x:c r="E152" s="4"/>
      <x:c r="F152" s="35" t="str">
        <x:f>IF(AND(ISNUMBER(N152),N152&gt;=0,O152="Complete"),N152/3600000,"")</x:f>
      </x:c>
      <x:c r="G152" s="4"/>
      <x:c r="H152" s="4"/>
      <x:c r="I152" s="36" t="str">
        <x:f>IF(COUNTA(A152:C152,E152,G152:H152,J152:T152,V152:AB152)=0,"",IF(A152="","Review: missing entry ID",IF(COUNTIF($A$7:$A$506,A152)&gt;1,"Review: duplicate entry ID",IF(NOT(ISNUMBER(B152)),"Review: work date",IF(OR(C152="",E152="",K152="",M152="",H152=""),"Review: source details",IF(J152&lt;&gt;'Estimate review'!$J$5,"Review: project scope",IF(OR(NOT(ISNUMBER(N152)),N152&lt;0,O152&lt;&gt;"Complete"),"Review: duration",IF(S152&lt;&gt;"Coded","Review: coding status",IF(OR(U152="",COUNTIF('Project codes'!$A$7:$A$106,U152)=0),"Review: SOW mapping",IF(COUNTIF('Project codes'!$A$7:$A$106,U152)&gt;1,"Review: duplicate code",IF(_xlfn.XLOOKUP(U152,'Project codes'!$A$7:$A$106,'Project codes'!$F$7:$F$106,"Review",0)="Hold","Review: allocation hold",IF(OR(D152="",COUNTIF('SOW register'!$A$7:$A$36,D152)&lt;&gt;1),"Review: SOW mapping",IF(AND(G152&lt;&gt;"Yes",G152&lt;&gt;"No"),"Review: billability",IF(AB152="","Review: billing evidence","OK"))))))))))))))</x:f>
      </x:c>
      <x:c r="J152" s="24"/>
      <x:c r="K152" s="38"/>
      <x:c r="L152" s="38"/>
      <x:c r="M152" s="38"/>
      <x:c r="N152" s="39"/>
      <x:c r="O152" s="24"/>
      <x:c r="P152" s="24"/>
      <x:c r="Q152" s="38"/>
      <x:c r="R152" s="38"/>
      <x:c r="S152" s="24"/>
      <x:c r="T152" s="24"/>
      <x:c r="U152" s="37" t="str">
        <x:f>IF(OR(J152="",Q152="",R152=""),"",J152&amp;"|"&amp;Q152&amp;"|"&amp;R152)</x:f>
      </x:c>
      <x:c r="V152" s="24"/>
      <x:c r="W152" s="24"/>
      <x:c r="X152" s="40"/>
      <x:c r="Y152" s="40"/>
      <x:c r="Z152" s="39"/>
      <x:c r="AA152" s="39"/>
      <x:c r="AB152" s="24"/>
    </x:row>
    <x:row r="153" ht="23" customHeight="1">
      <x:c r="A153" s="20"/>
      <x:c r="B153" s="5"/>
      <x:c r="C153" s="4"/>
      <x:c r="D153" s="34" t="str">
        <x:f>IF(OR(A153="",U153="",COUNTIF('Project codes'!$A$7:$A$106,U153)&lt;&gt;1),"",_xlfn.XLOOKUP(U153,'Project codes'!$A$7:$A$106,'Project codes'!$I$7:$I$106,"",0))</x:f>
      </x:c>
      <x:c r="E153" s="4"/>
      <x:c r="F153" s="35" t="str">
        <x:f>IF(AND(ISNUMBER(N153),N153&gt;=0,O153="Complete"),N153/3600000,"")</x:f>
      </x:c>
      <x:c r="G153" s="4"/>
      <x:c r="H153" s="4"/>
      <x:c r="I153" s="36" t="str">
        <x:f>IF(COUNTA(A153:C153,E153,G153:H153,J153:T153,V153:AB153)=0,"",IF(A153="","Review: missing entry ID",IF(COUNTIF($A$7:$A$506,A153)&gt;1,"Review: duplicate entry ID",IF(NOT(ISNUMBER(B153)),"Review: work date",IF(OR(C153="",E153="",K153="",M153="",H153=""),"Review: source details",IF(J153&lt;&gt;'Estimate review'!$J$5,"Review: project scope",IF(OR(NOT(ISNUMBER(N153)),N153&lt;0,O153&lt;&gt;"Complete"),"Review: duration",IF(S153&lt;&gt;"Coded","Review: coding status",IF(OR(U153="",COUNTIF('Project codes'!$A$7:$A$106,U153)=0),"Review: SOW mapping",IF(COUNTIF('Project codes'!$A$7:$A$106,U153)&gt;1,"Review: duplicate code",IF(_xlfn.XLOOKUP(U153,'Project codes'!$A$7:$A$106,'Project codes'!$F$7:$F$106,"Review",0)="Hold","Review: allocation hold",IF(OR(D153="",COUNTIF('SOW register'!$A$7:$A$36,D153)&lt;&gt;1),"Review: SOW mapping",IF(AND(G153&lt;&gt;"Yes",G153&lt;&gt;"No"),"Review: billability",IF(AB153="","Review: billing evidence","OK"))))))))))))))</x:f>
      </x:c>
      <x:c r="J153" s="24"/>
      <x:c r="K153" s="38"/>
      <x:c r="L153" s="38"/>
      <x:c r="M153" s="38"/>
      <x:c r="N153" s="39"/>
      <x:c r="O153" s="24"/>
      <x:c r="P153" s="24"/>
      <x:c r="Q153" s="38"/>
      <x:c r="R153" s="38"/>
      <x:c r="S153" s="24"/>
      <x:c r="T153" s="24"/>
      <x:c r="U153" s="37" t="str">
        <x:f>IF(OR(J153="",Q153="",R153=""),"",J153&amp;"|"&amp;Q153&amp;"|"&amp;R153)</x:f>
      </x:c>
      <x:c r="V153" s="24"/>
      <x:c r="W153" s="24"/>
      <x:c r="X153" s="40"/>
      <x:c r="Y153" s="40"/>
      <x:c r="Z153" s="39"/>
      <x:c r="AA153" s="39"/>
      <x:c r="AB153" s="24"/>
    </x:row>
    <x:row r="154" ht="23" customHeight="1">
      <x:c r="A154" s="20"/>
      <x:c r="B154" s="5"/>
      <x:c r="C154" s="4"/>
      <x:c r="D154" s="34" t="str">
        <x:f>IF(OR(A154="",U154="",COUNTIF('Project codes'!$A$7:$A$106,U154)&lt;&gt;1),"",_xlfn.XLOOKUP(U154,'Project codes'!$A$7:$A$106,'Project codes'!$I$7:$I$106,"",0))</x:f>
      </x:c>
      <x:c r="E154" s="4"/>
      <x:c r="F154" s="35" t="str">
        <x:f>IF(AND(ISNUMBER(N154),N154&gt;=0,O154="Complete"),N154/3600000,"")</x:f>
      </x:c>
      <x:c r="G154" s="4"/>
      <x:c r="H154" s="4"/>
      <x:c r="I154" s="36" t="str">
        <x:f>IF(COUNTA(A154:C154,E154,G154:H154,J154:T154,V154:AB154)=0,"",IF(A154="","Review: missing entry ID",IF(COUNTIF($A$7:$A$506,A154)&gt;1,"Review: duplicate entry ID",IF(NOT(ISNUMBER(B154)),"Review: work date",IF(OR(C154="",E154="",K154="",M154="",H154=""),"Review: source details",IF(J154&lt;&gt;'Estimate review'!$J$5,"Review: project scope",IF(OR(NOT(ISNUMBER(N154)),N154&lt;0,O154&lt;&gt;"Complete"),"Review: duration",IF(S154&lt;&gt;"Coded","Review: coding status",IF(OR(U154="",COUNTIF('Project codes'!$A$7:$A$106,U154)=0),"Review: SOW mapping",IF(COUNTIF('Project codes'!$A$7:$A$106,U154)&gt;1,"Review: duplicate code",IF(_xlfn.XLOOKUP(U154,'Project codes'!$A$7:$A$106,'Project codes'!$F$7:$F$106,"Review",0)="Hold","Review: allocation hold",IF(OR(D154="",COUNTIF('SOW register'!$A$7:$A$36,D154)&lt;&gt;1),"Review: SOW mapping",IF(AND(G154&lt;&gt;"Yes",G154&lt;&gt;"No"),"Review: billability",IF(AB154="","Review: billing evidence","OK"))))))))))))))</x:f>
      </x:c>
      <x:c r="J154" s="24"/>
      <x:c r="K154" s="38"/>
      <x:c r="L154" s="38"/>
      <x:c r="M154" s="38"/>
      <x:c r="N154" s="39"/>
      <x:c r="O154" s="24"/>
      <x:c r="P154" s="24"/>
      <x:c r="Q154" s="38"/>
      <x:c r="R154" s="38"/>
      <x:c r="S154" s="24"/>
      <x:c r="T154" s="24"/>
      <x:c r="U154" s="37" t="str">
        <x:f>IF(OR(J154="",Q154="",R154=""),"",J154&amp;"|"&amp;Q154&amp;"|"&amp;R154)</x:f>
      </x:c>
      <x:c r="V154" s="24"/>
      <x:c r="W154" s="24"/>
      <x:c r="X154" s="40"/>
      <x:c r="Y154" s="40"/>
      <x:c r="Z154" s="39"/>
      <x:c r="AA154" s="39"/>
      <x:c r="AB154" s="24"/>
    </x:row>
    <x:row r="155" ht="23" customHeight="1">
      <x:c r="A155" s="20"/>
      <x:c r="B155" s="5"/>
      <x:c r="C155" s="4"/>
      <x:c r="D155" s="34" t="str">
        <x:f>IF(OR(A155="",U155="",COUNTIF('Project codes'!$A$7:$A$106,U155)&lt;&gt;1),"",_xlfn.XLOOKUP(U155,'Project codes'!$A$7:$A$106,'Project codes'!$I$7:$I$106,"",0))</x:f>
      </x:c>
      <x:c r="E155" s="4"/>
      <x:c r="F155" s="35" t="str">
        <x:f>IF(AND(ISNUMBER(N155),N155&gt;=0,O155="Complete"),N155/3600000,"")</x:f>
      </x:c>
      <x:c r="G155" s="4"/>
      <x:c r="H155" s="4"/>
      <x:c r="I155" s="36" t="str">
        <x:f>IF(COUNTA(A155:C155,E155,G155:H155,J155:T155,V155:AB155)=0,"",IF(A155="","Review: missing entry ID",IF(COUNTIF($A$7:$A$506,A155)&gt;1,"Review: duplicate entry ID",IF(NOT(ISNUMBER(B155)),"Review: work date",IF(OR(C155="",E155="",K155="",M155="",H155=""),"Review: source details",IF(J155&lt;&gt;'Estimate review'!$J$5,"Review: project scope",IF(OR(NOT(ISNUMBER(N155)),N155&lt;0,O155&lt;&gt;"Complete"),"Review: duration",IF(S155&lt;&gt;"Coded","Review: coding status",IF(OR(U155="",COUNTIF('Project codes'!$A$7:$A$106,U155)=0),"Review: SOW mapping",IF(COUNTIF('Project codes'!$A$7:$A$106,U155)&gt;1,"Review: duplicate code",IF(_xlfn.XLOOKUP(U155,'Project codes'!$A$7:$A$106,'Project codes'!$F$7:$F$106,"Review",0)="Hold","Review: allocation hold",IF(OR(D155="",COUNTIF('SOW register'!$A$7:$A$36,D155)&lt;&gt;1),"Review: SOW mapping",IF(AND(G155&lt;&gt;"Yes",G155&lt;&gt;"No"),"Review: billability",IF(AB155="","Review: billing evidence","OK"))))))))))))))</x:f>
      </x:c>
      <x:c r="J155" s="24"/>
      <x:c r="K155" s="38"/>
      <x:c r="L155" s="38"/>
      <x:c r="M155" s="38"/>
      <x:c r="N155" s="39"/>
      <x:c r="O155" s="24"/>
      <x:c r="P155" s="24"/>
      <x:c r="Q155" s="38"/>
      <x:c r="R155" s="38"/>
      <x:c r="S155" s="24"/>
      <x:c r="T155" s="24"/>
      <x:c r="U155" s="37" t="str">
        <x:f>IF(OR(J155="",Q155="",R155=""),"",J155&amp;"|"&amp;Q155&amp;"|"&amp;R155)</x:f>
      </x:c>
      <x:c r="V155" s="24"/>
      <x:c r="W155" s="24"/>
      <x:c r="X155" s="40"/>
      <x:c r="Y155" s="40"/>
      <x:c r="Z155" s="39"/>
      <x:c r="AA155" s="39"/>
      <x:c r="AB155" s="24"/>
    </x:row>
    <x:row r="156" ht="23" customHeight="1">
      <x:c r="A156" s="20"/>
      <x:c r="B156" s="5"/>
      <x:c r="C156" s="4"/>
      <x:c r="D156" s="34" t="str">
        <x:f>IF(OR(A156="",U156="",COUNTIF('Project codes'!$A$7:$A$106,U156)&lt;&gt;1),"",_xlfn.XLOOKUP(U156,'Project codes'!$A$7:$A$106,'Project codes'!$I$7:$I$106,"",0))</x:f>
      </x:c>
      <x:c r="E156" s="4"/>
      <x:c r="F156" s="35" t="str">
        <x:f>IF(AND(ISNUMBER(N156),N156&gt;=0,O156="Complete"),N156/3600000,"")</x:f>
      </x:c>
      <x:c r="G156" s="4"/>
      <x:c r="H156" s="4"/>
      <x:c r="I156" s="36" t="str">
        <x:f>IF(COUNTA(A156:C156,E156,G156:H156,J156:T156,V156:AB156)=0,"",IF(A156="","Review: missing entry ID",IF(COUNTIF($A$7:$A$506,A156)&gt;1,"Review: duplicate entry ID",IF(NOT(ISNUMBER(B156)),"Review: work date",IF(OR(C156="",E156="",K156="",M156="",H156=""),"Review: source details",IF(J156&lt;&gt;'Estimate review'!$J$5,"Review: project scope",IF(OR(NOT(ISNUMBER(N156)),N156&lt;0,O156&lt;&gt;"Complete"),"Review: duration",IF(S156&lt;&gt;"Coded","Review: coding status",IF(OR(U156="",COUNTIF('Project codes'!$A$7:$A$106,U156)=0),"Review: SOW mapping",IF(COUNTIF('Project codes'!$A$7:$A$106,U156)&gt;1,"Review: duplicate code",IF(_xlfn.XLOOKUP(U156,'Project codes'!$A$7:$A$106,'Project codes'!$F$7:$F$106,"Review",0)="Hold","Review: allocation hold",IF(OR(D156="",COUNTIF('SOW register'!$A$7:$A$36,D156)&lt;&gt;1),"Review: SOW mapping",IF(AND(G156&lt;&gt;"Yes",G156&lt;&gt;"No"),"Review: billability",IF(AB156="","Review: billing evidence","OK"))))))))))))))</x:f>
      </x:c>
      <x:c r="J156" s="24"/>
      <x:c r="K156" s="38"/>
      <x:c r="L156" s="38"/>
      <x:c r="M156" s="38"/>
      <x:c r="N156" s="39"/>
      <x:c r="O156" s="24"/>
      <x:c r="P156" s="24"/>
      <x:c r="Q156" s="38"/>
      <x:c r="R156" s="38"/>
      <x:c r="S156" s="24"/>
      <x:c r="T156" s="24"/>
      <x:c r="U156" s="37" t="str">
        <x:f>IF(OR(J156="",Q156="",R156=""),"",J156&amp;"|"&amp;Q156&amp;"|"&amp;R156)</x:f>
      </x:c>
      <x:c r="V156" s="24"/>
      <x:c r="W156" s="24"/>
      <x:c r="X156" s="40"/>
      <x:c r="Y156" s="40"/>
      <x:c r="Z156" s="39"/>
      <x:c r="AA156" s="39"/>
      <x:c r="AB156" s="24"/>
    </x:row>
    <x:row r="157" ht="23" customHeight="1">
      <x:c r="A157" s="20"/>
      <x:c r="B157" s="5"/>
      <x:c r="C157" s="4"/>
      <x:c r="D157" s="34" t="str">
        <x:f>IF(OR(A157="",U157="",COUNTIF('Project codes'!$A$7:$A$106,U157)&lt;&gt;1),"",_xlfn.XLOOKUP(U157,'Project codes'!$A$7:$A$106,'Project codes'!$I$7:$I$106,"",0))</x:f>
      </x:c>
      <x:c r="E157" s="4"/>
      <x:c r="F157" s="35" t="str">
        <x:f>IF(AND(ISNUMBER(N157),N157&gt;=0,O157="Complete"),N157/3600000,"")</x:f>
      </x:c>
      <x:c r="G157" s="4"/>
      <x:c r="H157" s="4"/>
      <x:c r="I157" s="36" t="str">
        <x:f>IF(COUNTA(A157:C157,E157,G157:H157,J157:T157,V157:AB157)=0,"",IF(A157="","Review: missing entry ID",IF(COUNTIF($A$7:$A$506,A157)&gt;1,"Review: duplicate entry ID",IF(NOT(ISNUMBER(B157)),"Review: work date",IF(OR(C157="",E157="",K157="",M157="",H157=""),"Review: source details",IF(J157&lt;&gt;'Estimate review'!$J$5,"Review: project scope",IF(OR(NOT(ISNUMBER(N157)),N157&lt;0,O157&lt;&gt;"Complete"),"Review: duration",IF(S157&lt;&gt;"Coded","Review: coding status",IF(OR(U157="",COUNTIF('Project codes'!$A$7:$A$106,U157)=0),"Review: SOW mapping",IF(COUNTIF('Project codes'!$A$7:$A$106,U157)&gt;1,"Review: duplicate code",IF(_xlfn.XLOOKUP(U157,'Project codes'!$A$7:$A$106,'Project codes'!$F$7:$F$106,"Review",0)="Hold","Review: allocation hold",IF(OR(D157="",COUNTIF('SOW register'!$A$7:$A$36,D157)&lt;&gt;1),"Review: SOW mapping",IF(AND(G157&lt;&gt;"Yes",G157&lt;&gt;"No"),"Review: billability",IF(AB157="","Review: billing evidence","OK"))))))))))))))</x:f>
      </x:c>
      <x:c r="J157" s="24"/>
      <x:c r="K157" s="38"/>
      <x:c r="L157" s="38"/>
      <x:c r="M157" s="38"/>
      <x:c r="N157" s="39"/>
      <x:c r="O157" s="24"/>
      <x:c r="P157" s="24"/>
      <x:c r="Q157" s="38"/>
      <x:c r="R157" s="38"/>
      <x:c r="S157" s="24"/>
      <x:c r="T157" s="24"/>
      <x:c r="U157" s="37" t="str">
        <x:f>IF(OR(J157="",Q157="",R157=""),"",J157&amp;"|"&amp;Q157&amp;"|"&amp;R157)</x:f>
      </x:c>
      <x:c r="V157" s="24"/>
      <x:c r="W157" s="24"/>
      <x:c r="X157" s="40"/>
      <x:c r="Y157" s="40"/>
      <x:c r="Z157" s="39"/>
      <x:c r="AA157" s="39"/>
      <x:c r="AB157" s="24"/>
    </x:row>
    <x:row r="158" ht="23" customHeight="1">
      <x:c r="A158" s="20"/>
      <x:c r="B158" s="5"/>
      <x:c r="C158" s="4"/>
      <x:c r="D158" s="34" t="str">
        <x:f>IF(OR(A158="",U158="",COUNTIF('Project codes'!$A$7:$A$106,U158)&lt;&gt;1),"",_xlfn.XLOOKUP(U158,'Project codes'!$A$7:$A$106,'Project codes'!$I$7:$I$106,"",0))</x:f>
      </x:c>
      <x:c r="E158" s="4"/>
      <x:c r="F158" s="35" t="str">
        <x:f>IF(AND(ISNUMBER(N158),N158&gt;=0,O158="Complete"),N158/3600000,"")</x:f>
      </x:c>
      <x:c r="G158" s="4"/>
      <x:c r="H158" s="4"/>
      <x:c r="I158" s="36" t="str">
        <x:f>IF(COUNTA(A158:C158,E158,G158:H158,J158:T158,V158:AB158)=0,"",IF(A158="","Review: missing entry ID",IF(COUNTIF($A$7:$A$506,A158)&gt;1,"Review: duplicate entry ID",IF(NOT(ISNUMBER(B158)),"Review: work date",IF(OR(C158="",E158="",K158="",M158="",H158=""),"Review: source details",IF(J158&lt;&gt;'Estimate review'!$J$5,"Review: project scope",IF(OR(NOT(ISNUMBER(N158)),N158&lt;0,O158&lt;&gt;"Complete"),"Review: duration",IF(S158&lt;&gt;"Coded","Review: coding status",IF(OR(U158="",COUNTIF('Project codes'!$A$7:$A$106,U158)=0),"Review: SOW mapping",IF(COUNTIF('Project codes'!$A$7:$A$106,U158)&gt;1,"Review: duplicate code",IF(_xlfn.XLOOKUP(U158,'Project codes'!$A$7:$A$106,'Project codes'!$F$7:$F$106,"Review",0)="Hold","Review: allocation hold",IF(OR(D158="",COUNTIF('SOW register'!$A$7:$A$36,D158)&lt;&gt;1),"Review: SOW mapping",IF(AND(G158&lt;&gt;"Yes",G158&lt;&gt;"No"),"Review: billability",IF(AB158="","Review: billing evidence","OK"))))))))))))))</x:f>
      </x:c>
      <x:c r="J158" s="24"/>
      <x:c r="K158" s="38"/>
      <x:c r="L158" s="38"/>
      <x:c r="M158" s="38"/>
      <x:c r="N158" s="39"/>
      <x:c r="O158" s="24"/>
      <x:c r="P158" s="24"/>
      <x:c r="Q158" s="38"/>
      <x:c r="R158" s="38"/>
      <x:c r="S158" s="24"/>
      <x:c r="T158" s="24"/>
      <x:c r="U158" s="37" t="str">
        <x:f>IF(OR(J158="",Q158="",R158=""),"",J158&amp;"|"&amp;Q158&amp;"|"&amp;R158)</x:f>
      </x:c>
      <x:c r="V158" s="24"/>
      <x:c r="W158" s="24"/>
      <x:c r="X158" s="40"/>
      <x:c r="Y158" s="40"/>
      <x:c r="Z158" s="39"/>
      <x:c r="AA158" s="39"/>
      <x:c r="AB158" s="24"/>
    </x:row>
    <x:row r="159" ht="23" customHeight="1">
      <x:c r="A159" s="20"/>
      <x:c r="B159" s="5"/>
      <x:c r="C159" s="4"/>
      <x:c r="D159" s="34" t="str">
        <x:f>IF(OR(A159="",U159="",COUNTIF('Project codes'!$A$7:$A$106,U159)&lt;&gt;1),"",_xlfn.XLOOKUP(U159,'Project codes'!$A$7:$A$106,'Project codes'!$I$7:$I$106,"",0))</x:f>
      </x:c>
      <x:c r="E159" s="4"/>
      <x:c r="F159" s="35" t="str">
        <x:f>IF(AND(ISNUMBER(N159),N159&gt;=0,O159="Complete"),N159/3600000,"")</x:f>
      </x:c>
      <x:c r="G159" s="4"/>
      <x:c r="H159" s="4"/>
      <x:c r="I159" s="36" t="str">
        <x:f>IF(COUNTA(A159:C159,E159,G159:H159,J159:T159,V159:AB159)=0,"",IF(A159="","Review: missing entry ID",IF(COUNTIF($A$7:$A$506,A159)&gt;1,"Review: duplicate entry ID",IF(NOT(ISNUMBER(B159)),"Review: work date",IF(OR(C159="",E159="",K159="",M159="",H159=""),"Review: source details",IF(J159&lt;&gt;'Estimate review'!$J$5,"Review: project scope",IF(OR(NOT(ISNUMBER(N159)),N159&lt;0,O159&lt;&gt;"Complete"),"Review: duration",IF(S159&lt;&gt;"Coded","Review: coding status",IF(OR(U159="",COUNTIF('Project codes'!$A$7:$A$106,U159)=0),"Review: SOW mapping",IF(COUNTIF('Project codes'!$A$7:$A$106,U159)&gt;1,"Review: duplicate code",IF(_xlfn.XLOOKUP(U159,'Project codes'!$A$7:$A$106,'Project codes'!$F$7:$F$106,"Review",0)="Hold","Review: allocation hold",IF(OR(D159="",COUNTIF('SOW register'!$A$7:$A$36,D159)&lt;&gt;1),"Review: SOW mapping",IF(AND(G159&lt;&gt;"Yes",G159&lt;&gt;"No"),"Review: billability",IF(AB159="","Review: billing evidence","OK"))))))))))))))</x:f>
      </x:c>
      <x:c r="J159" s="24"/>
      <x:c r="K159" s="38"/>
      <x:c r="L159" s="38"/>
      <x:c r="M159" s="38"/>
      <x:c r="N159" s="39"/>
      <x:c r="O159" s="24"/>
      <x:c r="P159" s="24"/>
      <x:c r="Q159" s="38"/>
      <x:c r="R159" s="38"/>
      <x:c r="S159" s="24"/>
      <x:c r="T159" s="24"/>
      <x:c r="U159" s="37" t="str">
        <x:f>IF(OR(J159="",Q159="",R159=""),"",J159&amp;"|"&amp;Q159&amp;"|"&amp;R159)</x:f>
      </x:c>
      <x:c r="V159" s="24"/>
      <x:c r="W159" s="24"/>
      <x:c r="X159" s="40"/>
      <x:c r="Y159" s="40"/>
      <x:c r="Z159" s="39"/>
      <x:c r="AA159" s="39"/>
      <x:c r="AB159" s="24"/>
    </x:row>
    <x:row r="160" ht="23" customHeight="1">
      <x:c r="A160" s="20"/>
      <x:c r="B160" s="5"/>
      <x:c r="C160" s="4"/>
      <x:c r="D160" s="34" t="str">
        <x:f>IF(OR(A160="",U160="",COUNTIF('Project codes'!$A$7:$A$106,U160)&lt;&gt;1),"",_xlfn.XLOOKUP(U160,'Project codes'!$A$7:$A$106,'Project codes'!$I$7:$I$106,"",0))</x:f>
      </x:c>
      <x:c r="E160" s="4"/>
      <x:c r="F160" s="35" t="str">
        <x:f>IF(AND(ISNUMBER(N160),N160&gt;=0,O160="Complete"),N160/3600000,"")</x:f>
      </x:c>
      <x:c r="G160" s="4"/>
      <x:c r="H160" s="4"/>
      <x:c r="I160" s="36" t="str">
        <x:f>IF(COUNTA(A160:C160,E160,G160:H160,J160:T160,V160:AB160)=0,"",IF(A160="","Review: missing entry ID",IF(COUNTIF($A$7:$A$506,A160)&gt;1,"Review: duplicate entry ID",IF(NOT(ISNUMBER(B160)),"Review: work date",IF(OR(C160="",E160="",K160="",M160="",H160=""),"Review: source details",IF(J160&lt;&gt;'Estimate review'!$J$5,"Review: project scope",IF(OR(NOT(ISNUMBER(N160)),N160&lt;0,O160&lt;&gt;"Complete"),"Review: duration",IF(S160&lt;&gt;"Coded","Review: coding status",IF(OR(U160="",COUNTIF('Project codes'!$A$7:$A$106,U160)=0),"Review: SOW mapping",IF(COUNTIF('Project codes'!$A$7:$A$106,U160)&gt;1,"Review: duplicate code",IF(_xlfn.XLOOKUP(U160,'Project codes'!$A$7:$A$106,'Project codes'!$F$7:$F$106,"Review",0)="Hold","Review: allocation hold",IF(OR(D160="",COUNTIF('SOW register'!$A$7:$A$36,D160)&lt;&gt;1),"Review: SOW mapping",IF(AND(G160&lt;&gt;"Yes",G160&lt;&gt;"No"),"Review: billability",IF(AB160="","Review: billing evidence","OK"))))))))))))))</x:f>
      </x:c>
      <x:c r="J160" s="24"/>
      <x:c r="K160" s="38"/>
      <x:c r="L160" s="38"/>
      <x:c r="M160" s="38"/>
      <x:c r="N160" s="39"/>
      <x:c r="O160" s="24"/>
      <x:c r="P160" s="24"/>
      <x:c r="Q160" s="38"/>
      <x:c r="R160" s="38"/>
      <x:c r="S160" s="24"/>
      <x:c r="T160" s="24"/>
      <x:c r="U160" s="37" t="str">
        <x:f>IF(OR(J160="",Q160="",R160=""),"",J160&amp;"|"&amp;Q160&amp;"|"&amp;R160)</x:f>
      </x:c>
      <x:c r="V160" s="24"/>
      <x:c r="W160" s="24"/>
      <x:c r="X160" s="40"/>
      <x:c r="Y160" s="40"/>
      <x:c r="Z160" s="39"/>
      <x:c r="AA160" s="39"/>
      <x:c r="AB160" s="24"/>
    </x:row>
    <x:row r="161" ht="23" customHeight="1">
      <x:c r="A161" s="20"/>
      <x:c r="B161" s="5"/>
      <x:c r="C161" s="4"/>
      <x:c r="D161" s="34" t="str">
        <x:f>IF(OR(A161="",U161="",COUNTIF('Project codes'!$A$7:$A$106,U161)&lt;&gt;1),"",_xlfn.XLOOKUP(U161,'Project codes'!$A$7:$A$106,'Project codes'!$I$7:$I$106,"",0))</x:f>
      </x:c>
      <x:c r="E161" s="4"/>
      <x:c r="F161" s="35" t="str">
        <x:f>IF(AND(ISNUMBER(N161),N161&gt;=0,O161="Complete"),N161/3600000,"")</x:f>
      </x:c>
      <x:c r="G161" s="4"/>
      <x:c r="H161" s="4"/>
      <x:c r="I161" s="36" t="str">
        <x:f>IF(COUNTA(A161:C161,E161,G161:H161,J161:T161,V161:AB161)=0,"",IF(A161="","Review: missing entry ID",IF(COUNTIF($A$7:$A$506,A161)&gt;1,"Review: duplicate entry ID",IF(NOT(ISNUMBER(B161)),"Review: work date",IF(OR(C161="",E161="",K161="",M161="",H161=""),"Review: source details",IF(J161&lt;&gt;'Estimate review'!$J$5,"Review: project scope",IF(OR(NOT(ISNUMBER(N161)),N161&lt;0,O161&lt;&gt;"Complete"),"Review: duration",IF(S161&lt;&gt;"Coded","Review: coding status",IF(OR(U161="",COUNTIF('Project codes'!$A$7:$A$106,U161)=0),"Review: SOW mapping",IF(COUNTIF('Project codes'!$A$7:$A$106,U161)&gt;1,"Review: duplicate code",IF(_xlfn.XLOOKUP(U161,'Project codes'!$A$7:$A$106,'Project codes'!$F$7:$F$106,"Review",0)="Hold","Review: allocation hold",IF(OR(D161="",COUNTIF('SOW register'!$A$7:$A$36,D161)&lt;&gt;1),"Review: SOW mapping",IF(AND(G161&lt;&gt;"Yes",G161&lt;&gt;"No"),"Review: billability",IF(AB161="","Review: billing evidence","OK"))))))))))))))</x:f>
      </x:c>
      <x:c r="J161" s="24"/>
      <x:c r="K161" s="38"/>
      <x:c r="L161" s="38"/>
      <x:c r="M161" s="38"/>
      <x:c r="N161" s="39"/>
      <x:c r="O161" s="24"/>
      <x:c r="P161" s="24"/>
      <x:c r="Q161" s="38"/>
      <x:c r="R161" s="38"/>
      <x:c r="S161" s="24"/>
      <x:c r="T161" s="24"/>
      <x:c r="U161" s="37" t="str">
        <x:f>IF(OR(J161="",Q161="",R161=""),"",J161&amp;"|"&amp;Q161&amp;"|"&amp;R161)</x:f>
      </x:c>
      <x:c r="V161" s="24"/>
      <x:c r="W161" s="24"/>
      <x:c r="X161" s="40"/>
      <x:c r="Y161" s="40"/>
      <x:c r="Z161" s="39"/>
      <x:c r="AA161" s="39"/>
      <x:c r="AB161" s="24"/>
    </x:row>
    <x:row r="162" ht="23" customHeight="1">
      <x:c r="A162" s="20"/>
      <x:c r="B162" s="5"/>
      <x:c r="C162" s="4"/>
      <x:c r="D162" s="34" t="str">
        <x:f>IF(OR(A162="",U162="",COUNTIF('Project codes'!$A$7:$A$106,U162)&lt;&gt;1),"",_xlfn.XLOOKUP(U162,'Project codes'!$A$7:$A$106,'Project codes'!$I$7:$I$106,"",0))</x:f>
      </x:c>
      <x:c r="E162" s="4"/>
      <x:c r="F162" s="35" t="str">
        <x:f>IF(AND(ISNUMBER(N162),N162&gt;=0,O162="Complete"),N162/3600000,"")</x:f>
      </x:c>
      <x:c r="G162" s="4"/>
      <x:c r="H162" s="4"/>
      <x:c r="I162" s="36" t="str">
        <x:f>IF(COUNTA(A162:C162,E162,G162:H162,J162:T162,V162:AB162)=0,"",IF(A162="","Review: missing entry ID",IF(COUNTIF($A$7:$A$506,A162)&gt;1,"Review: duplicate entry ID",IF(NOT(ISNUMBER(B162)),"Review: work date",IF(OR(C162="",E162="",K162="",M162="",H162=""),"Review: source details",IF(J162&lt;&gt;'Estimate review'!$J$5,"Review: project scope",IF(OR(NOT(ISNUMBER(N162)),N162&lt;0,O162&lt;&gt;"Complete"),"Review: duration",IF(S162&lt;&gt;"Coded","Review: coding status",IF(OR(U162="",COUNTIF('Project codes'!$A$7:$A$106,U162)=0),"Review: SOW mapping",IF(COUNTIF('Project codes'!$A$7:$A$106,U162)&gt;1,"Review: duplicate code",IF(_xlfn.XLOOKUP(U162,'Project codes'!$A$7:$A$106,'Project codes'!$F$7:$F$106,"Review",0)="Hold","Review: allocation hold",IF(OR(D162="",COUNTIF('SOW register'!$A$7:$A$36,D162)&lt;&gt;1),"Review: SOW mapping",IF(AND(G162&lt;&gt;"Yes",G162&lt;&gt;"No"),"Review: billability",IF(AB162="","Review: billing evidence","OK"))))))))))))))</x:f>
      </x:c>
      <x:c r="J162" s="24"/>
      <x:c r="K162" s="38"/>
      <x:c r="L162" s="38"/>
      <x:c r="M162" s="38"/>
      <x:c r="N162" s="39"/>
      <x:c r="O162" s="24"/>
      <x:c r="P162" s="24"/>
      <x:c r="Q162" s="38"/>
      <x:c r="R162" s="38"/>
      <x:c r="S162" s="24"/>
      <x:c r="T162" s="24"/>
      <x:c r="U162" s="37" t="str">
        <x:f>IF(OR(J162="",Q162="",R162=""),"",J162&amp;"|"&amp;Q162&amp;"|"&amp;R162)</x:f>
      </x:c>
      <x:c r="V162" s="24"/>
      <x:c r="W162" s="24"/>
      <x:c r="X162" s="40"/>
      <x:c r="Y162" s="40"/>
      <x:c r="Z162" s="39"/>
      <x:c r="AA162" s="39"/>
      <x:c r="AB162" s="24"/>
    </x:row>
    <x:row r="163" ht="23" customHeight="1">
      <x:c r="A163" s="20"/>
      <x:c r="B163" s="5"/>
      <x:c r="C163" s="4"/>
      <x:c r="D163" s="34" t="str">
        <x:f>IF(OR(A163="",U163="",COUNTIF('Project codes'!$A$7:$A$106,U163)&lt;&gt;1),"",_xlfn.XLOOKUP(U163,'Project codes'!$A$7:$A$106,'Project codes'!$I$7:$I$106,"",0))</x:f>
      </x:c>
      <x:c r="E163" s="4"/>
      <x:c r="F163" s="35" t="str">
        <x:f>IF(AND(ISNUMBER(N163),N163&gt;=0,O163="Complete"),N163/3600000,"")</x:f>
      </x:c>
      <x:c r="G163" s="4"/>
      <x:c r="H163" s="4"/>
      <x:c r="I163" s="36" t="str">
        <x:f>IF(COUNTA(A163:C163,E163,G163:H163,J163:T163,V163:AB163)=0,"",IF(A163="","Review: missing entry ID",IF(COUNTIF($A$7:$A$506,A163)&gt;1,"Review: duplicate entry ID",IF(NOT(ISNUMBER(B163)),"Review: work date",IF(OR(C163="",E163="",K163="",M163="",H163=""),"Review: source details",IF(J163&lt;&gt;'Estimate review'!$J$5,"Review: project scope",IF(OR(NOT(ISNUMBER(N163)),N163&lt;0,O163&lt;&gt;"Complete"),"Review: duration",IF(S163&lt;&gt;"Coded","Review: coding status",IF(OR(U163="",COUNTIF('Project codes'!$A$7:$A$106,U163)=0),"Review: SOW mapping",IF(COUNTIF('Project codes'!$A$7:$A$106,U163)&gt;1,"Review: duplicate code",IF(_xlfn.XLOOKUP(U163,'Project codes'!$A$7:$A$106,'Project codes'!$F$7:$F$106,"Review",0)="Hold","Review: allocation hold",IF(OR(D163="",COUNTIF('SOW register'!$A$7:$A$36,D163)&lt;&gt;1),"Review: SOW mapping",IF(AND(G163&lt;&gt;"Yes",G163&lt;&gt;"No"),"Review: billability",IF(AB163="","Review: billing evidence","OK"))))))))))))))</x:f>
      </x:c>
      <x:c r="J163" s="24"/>
      <x:c r="K163" s="38"/>
      <x:c r="L163" s="38"/>
      <x:c r="M163" s="38"/>
      <x:c r="N163" s="39"/>
      <x:c r="O163" s="24"/>
      <x:c r="P163" s="24"/>
      <x:c r="Q163" s="38"/>
      <x:c r="R163" s="38"/>
      <x:c r="S163" s="24"/>
      <x:c r="T163" s="24"/>
      <x:c r="U163" s="37" t="str">
        <x:f>IF(OR(J163="",Q163="",R163=""),"",J163&amp;"|"&amp;Q163&amp;"|"&amp;R163)</x:f>
      </x:c>
      <x:c r="V163" s="24"/>
      <x:c r="W163" s="24"/>
      <x:c r="X163" s="40"/>
      <x:c r="Y163" s="40"/>
      <x:c r="Z163" s="39"/>
      <x:c r="AA163" s="39"/>
      <x:c r="AB163" s="24"/>
    </x:row>
    <x:row r="164" ht="23" customHeight="1">
      <x:c r="A164" s="20"/>
      <x:c r="B164" s="5"/>
      <x:c r="C164" s="4"/>
      <x:c r="D164" s="34" t="str">
        <x:f>IF(OR(A164="",U164="",COUNTIF('Project codes'!$A$7:$A$106,U164)&lt;&gt;1),"",_xlfn.XLOOKUP(U164,'Project codes'!$A$7:$A$106,'Project codes'!$I$7:$I$106,"",0))</x:f>
      </x:c>
      <x:c r="E164" s="4"/>
      <x:c r="F164" s="35" t="str">
        <x:f>IF(AND(ISNUMBER(N164),N164&gt;=0,O164="Complete"),N164/3600000,"")</x:f>
      </x:c>
      <x:c r="G164" s="4"/>
      <x:c r="H164" s="4"/>
      <x:c r="I164" s="36" t="str">
        <x:f>IF(COUNTA(A164:C164,E164,G164:H164,J164:T164,V164:AB164)=0,"",IF(A164="","Review: missing entry ID",IF(COUNTIF($A$7:$A$506,A164)&gt;1,"Review: duplicate entry ID",IF(NOT(ISNUMBER(B164)),"Review: work date",IF(OR(C164="",E164="",K164="",M164="",H164=""),"Review: source details",IF(J164&lt;&gt;'Estimate review'!$J$5,"Review: project scope",IF(OR(NOT(ISNUMBER(N164)),N164&lt;0,O164&lt;&gt;"Complete"),"Review: duration",IF(S164&lt;&gt;"Coded","Review: coding status",IF(OR(U164="",COUNTIF('Project codes'!$A$7:$A$106,U164)=0),"Review: SOW mapping",IF(COUNTIF('Project codes'!$A$7:$A$106,U164)&gt;1,"Review: duplicate code",IF(_xlfn.XLOOKUP(U164,'Project codes'!$A$7:$A$106,'Project codes'!$F$7:$F$106,"Review",0)="Hold","Review: allocation hold",IF(OR(D164="",COUNTIF('SOW register'!$A$7:$A$36,D164)&lt;&gt;1),"Review: SOW mapping",IF(AND(G164&lt;&gt;"Yes",G164&lt;&gt;"No"),"Review: billability",IF(AB164="","Review: billing evidence","OK"))))))))))))))</x:f>
      </x:c>
      <x:c r="J164" s="24"/>
      <x:c r="K164" s="38"/>
      <x:c r="L164" s="38"/>
      <x:c r="M164" s="38"/>
      <x:c r="N164" s="39"/>
      <x:c r="O164" s="24"/>
      <x:c r="P164" s="24"/>
      <x:c r="Q164" s="38"/>
      <x:c r="R164" s="38"/>
      <x:c r="S164" s="24"/>
      <x:c r="T164" s="24"/>
      <x:c r="U164" s="37" t="str">
        <x:f>IF(OR(J164="",Q164="",R164=""),"",J164&amp;"|"&amp;Q164&amp;"|"&amp;R164)</x:f>
      </x:c>
      <x:c r="V164" s="24"/>
      <x:c r="W164" s="24"/>
      <x:c r="X164" s="40"/>
      <x:c r="Y164" s="40"/>
      <x:c r="Z164" s="39"/>
      <x:c r="AA164" s="39"/>
      <x:c r="AB164" s="24"/>
    </x:row>
    <x:row r="165" ht="23" customHeight="1">
      <x:c r="A165" s="20"/>
      <x:c r="B165" s="5"/>
      <x:c r="C165" s="4"/>
      <x:c r="D165" s="34" t="str">
        <x:f>IF(OR(A165="",U165="",COUNTIF('Project codes'!$A$7:$A$106,U165)&lt;&gt;1),"",_xlfn.XLOOKUP(U165,'Project codes'!$A$7:$A$106,'Project codes'!$I$7:$I$106,"",0))</x:f>
      </x:c>
      <x:c r="E165" s="4"/>
      <x:c r="F165" s="35" t="str">
        <x:f>IF(AND(ISNUMBER(N165),N165&gt;=0,O165="Complete"),N165/3600000,"")</x:f>
      </x:c>
      <x:c r="G165" s="4"/>
      <x:c r="H165" s="4"/>
      <x:c r="I165" s="36" t="str">
        <x:f>IF(COUNTA(A165:C165,E165,G165:H165,J165:T165,V165:AB165)=0,"",IF(A165="","Review: missing entry ID",IF(COUNTIF($A$7:$A$506,A165)&gt;1,"Review: duplicate entry ID",IF(NOT(ISNUMBER(B165)),"Review: work date",IF(OR(C165="",E165="",K165="",M165="",H165=""),"Review: source details",IF(J165&lt;&gt;'Estimate review'!$J$5,"Review: project scope",IF(OR(NOT(ISNUMBER(N165)),N165&lt;0,O165&lt;&gt;"Complete"),"Review: duration",IF(S165&lt;&gt;"Coded","Review: coding status",IF(OR(U165="",COUNTIF('Project codes'!$A$7:$A$106,U165)=0),"Review: SOW mapping",IF(COUNTIF('Project codes'!$A$7:$A$106,U165)&gt;1,"Review: duplicate code",IF(_xlfn.XLOOKUP(U165,'Project codes'!$A$7:$A$106,'Project codes'!$F$7:$F$106,"Review",0)="Hold","Review: allocation hold",IF(OR(D165="",COUNTIF('SOW register'!$A$7:$A$36,D165)&lt;&gt;1),"Review: SOW mapping",IF(AND(G165&lt;&gt;"Yes",G165&lt;&gt;"No"),"Review: billability",IF(AB165="","Review: billing evidence","OK"))))))))))))))</x:f>
      </x:c>
      <x:c r="J165" s="24"/>
      <x:c r="K165" s="38"/>
      <x:c r="L165" s="38"/>
      <x:c r="M165" s="38"/>
      <x:c r="N165" s="39"/>
      <x:c r="O165" s="24"/>
      <x:c r="P165" s="24"/>
      <x:c r="Q165" s="38"/>
      <x:c r="R165" s="38"/>
      <x:c r="S165" s="24"/>
      <x:c r="T165" s="24"/>
      <x:c r="U165" s="37" t="str">
        <x:f>IF(OR(J165="",Q165="",R165=""),"",J165&amp;"|"&amp;Q165&amp;"|"&amp;R165)</x:f>
      </x:c>
      <x:c r="V165" s="24"/>
      <x:c r="W165" s="24"/>
      <x:c r="X165" s="40"/>
      <x:c r="Y165" s="40"/>
      <x:c r="Z165" s="39"/>
      <x:c r="AA165" s="39"/>
      <x:c r="AB165" s="24"/>
    </x:row>
    <x:row r="166" ht="23" customHeight="1">
      <x:c r="A166" s="20"/>
      <x:c r="B166" s="5"/>
      <x:c r="C166" s="4"/>
      <x:c r="D166" s="34" t="str">
        <x:f>IF(OR(A166="",U166="",COUNTIF('Project codes'!$A$7:$A$106,U166)&lt;&gt;1),"",_xlfn.XLOOKUP(U166,'Project codes'!$A$7:$A$106,'Project codes'!$I$7:$I$106,"",0))</x:f>
      </x:c>
      <x:c r="E166" s="4"/>
      <x:c r="F166" s="35" t="str">
        <x:f>IF(AND(ISNUMBER(N166),N166&gt;=0,O166="Complete"),N166/3600000,"")</x:f>
      </x:c>
      <x:c r="G166" s="4"/>
      <x:c r="H166" s="4"/>
      <x:c r="I166" s="36" t="str">
        <x:f>IF(COUNTA(A166:C166,E166,G166:H166,J166:T166,V166:AB166)=0,"",IF(A166="","Review: missing entry ID",IF(COUNTIF($A$7:$A$506,A166)&gt;1,"Review: duplicate entry ID",IF(NOT(ISNUMBER(B166)),"Review: work date",IF(OR(C166="",E166="",K166="",M166="",H166=""),"Review: source details",IF(J166&lt;&gt;'Estimate review'!$J$5,"Review: project scope",IF(OR(NOT(ISNUMBER(N166)),N166&lt;0,O166&lt;&gt;"Complete"),"Review: duration",IF(S166&lt;&gt;"Coded","Review: coding status",IF(OR(U166="",COUNTIF('Project codes'!$A$7:$A$106,U166)=0),"Review: SOW mapping",IF(COUNTIF('Project codes'!$A$7:$A$106,U166)&gt;1,"Review: duplicate code",IF(_xlfn.XLOOKUP(U166,'Project codes'!$A$7:$A$106,'Project codes'!$F$7:$F$106,"Review",0)="Hold","Review: allocation hold",IF(OR(D166="",COUNTIF('SOW register'!$A$7:$A$36,D166)&lt;&gt;1),"Review: SOW mapping",IF(AND(G166&lt;&gt;"Yes",G166&lt;&gt;"No"),"Review: billability",IF(AB166="","Review: billing evidence","OK"))))))))))))))</x:f>
      </x:c>
      <x:c r="J166" s="24"/>
      <x:c r="K166" s="38"/>
      <x:c r="L166" s="38"/>
      <x:c r="M166" s="38"/>
      <x:c r="N166" s="39"/>
      <x:c r="O166" s="24"/>
      <x:c r="P166" s="24"/>
      <x:c r="Q166" s="38"/>
      <x:c r="R166" s="38"/>
      <x:c r="S166" s="24"/>
      <x:c r="T166" s="24"/>
      <x:c r="U166" s="37" t="str">
        <x:f>IF(OR(J166="",Q166="",R166=""),"",J166&amp;"|"&amp;Q166&amp;"|"&amp;R166)</x:f>
      </x:c>
      <x:c r="V166" s="24"/>
      <x:c r="W166" s="24"/>
      <x:c r="X166" s="40"/>
      <x:c r="Y166" s="40"/>
      <x:c r="Z166" s="39"/>
      <x:c r="AA166" s="39"/>
      <x:c r="AB166" s="24"/>
    </x:row>
    <x:row r="167" ht="23" customHeight="1">
      <x:c r="A167" s="20"/>
      <x:c r="B167" s="5"/>
      <x:c r="C167" s="4"/>
      <x:c r="D167" s="34" t="str">
        <x:f>IF(OR(A167="",U167="",COUNTIF('Project codes'!$A$7:$A$106,U167)&lt;&gt;1),"",_xlfn.XLOOKUP(U167,'Project codes'!$A$7:$A$106,'Project codes'!$I$7:$I$106,"",0))</x:f>
      </x:c>
      <x:c r="E167" s="4"/>
      <x:c r="F167" s="35" t="str">
        <x:f>IF(AND(ISNUMBER(N167),N167&gt;=0,O167="Complete"),N167/3600000,"")</x:f>
      </x:c>
      <x:c r="G167" s="4"/>
      <x:c r="H167" s="4"/>
      <x:c r="I167" s="36" t="str">
        <x:f>IF(COUNTA(A167:C167,E167,G167:H167,J167:T167,V167:AB167)=0,"",IF(A167="","Review: missing entry ID",IF(COUNTIF($A$7:$A$506,A167)&gt;1,"Review: duplicate entry ID",IF(NOT(ISNUMBER(B167)),"Review: work date",IF(OR(C167="",E167="",K167="",M167="",H167=""),"Review: source details",IF(J167&lt;&gt;'Estimate review'!$J$5,"Review: project scope",IF(OR(NOT(ISNUMBER(N167)),N167&lt;0,O167&lt;&gt;"Complete"),"Review: duration",IF(S167&lt;&gt;"Coded","Review: coding status",IF(OR(U167="",COUNTIF('Project codes'!$A$7:$A$106,U167)=0),"Review: SOW mapping",IF(COUNTIF('Project codes'!$A$7:$A$106,U167)&gt;1,"Review: duplicate code",IF(_xlfn.XLOOKUP(U167,'Project codes'!$A$7:$A$106,'Project codes'!$F$7:$F$106,"Review",0)="Hold","Review: allocation hold",IF(OR(D167="",COUNTIF('SOW register'!$A$7:$A$36,D167)&lt;&gt;1),"Review: SOW mapping",IF(AND(G167&lt;&gt;"Yes",G167&lt;&gt;"No"),"Review: billability",IF(AB167="","Review: billing evidence","OK"))))))))))))))</x:f>
      </x:c>
      <x:c r="J167" s="24"/>
      <x:c r="K167" s="38"/>
      <x:c r="L167" s="38"/>
      <x:c r="M167" s="38"/>
      <x:c r="N167" s="39"/>
      <x:c r="O167" s="24"/>
      <x:c r="P167" s="24"/>
      <x:c r="Q167" s="38"/>
      <x:c r="R167" s="38"/>
      <x:c r="S167" s="24"/>
      <x:c r="T167" s="24"/>
      <x:c r="U167" s="37" t="str">
        <x:f>IF(OR(J167="",Q167="",R167=""),"",J167&amp;"|"&amp;Q167&amp;"|"&amp;R167)</x:f>
      </x:c>
      <x:c r="V167" s="24"/>
      <x:c r="W167" s="24"/>
      <x:c r="X167" s="40"/>
      <x:c r="Y167" s="40"/>
      <x:c r="Z167" s="39"/>
      <x:c r="AA167" s="39"/>
      <x:c r="AB167" s="24"/>
    </x:row>
    <x:row r="168" ht="23" customHeight="1">
      <x:c r="A168" s="20"/>
      <x:c r="B168" s="5"/>
      <x:c r="C168" s="4"/>
      <x:c r="D168" s="34" t="str">
        <x:f>IF(OR(A168="",U168="",COUNTIF('Project codes'!$A$7:$A$106,U168)&lt;&gt;1),"",_xlfn.XLOOKUP(U168,'Project codes'!$A$7:$A$106,'Project codes'!$I$7:$I$106,"",0))</x:f>
      </x:c>
      <x:c r="E168" s="4"/>
      <x:c r="F168" s="35" t="str">
        <x:f>IF(AND(ISNUMBER(N168),N168&gt;=0,O168="Complete"),N168/3600000,"")</x:f>
      </x:c>
      <x:c r="G168" s="4"/>
      <x:c r="H168" s="4"/>
      <x:c r="I168" s="36" t="str">
        <x:f>IF(COUNTA(A168:C168,E168,G168:H168,J168:T168,V168:AB168)=0,"",IF(A168="","Review: missing entry ID",IF(COUNTIF($A$7:$A$506,A168)&gt;1,"Review: duplicate entry ID",IF(NOT(ISNUMBER(B168)),"Review: work date",IF(OR(C168="",E168="",K168="",M168="",H168=""),"Review: source details",IF(J168&lt;&gt;'Estimate review'!$J$5,"Review: project scope",IF(OR(NOT(ISNUMBER(N168)),N168&lt;0,O168&lt;&gt;"Complete"),"Review: duration",IF(S168&lt;&gt;"Coded","Review: coding status",IF(OR(U168="",COUNTIF('Project codes'!$A$7:$A$106,U168)=0),"Review: SOW mapping",IF(COUNTIF('Project codes'!$A$7:$A$106,U168)&gt;1,"Review: duplicate code",IF(_xlfn.XLOOKUP(U168,'Project codes'!$A$7:$A$106,'Project codes'!$F$7:$F$106,"Review",0)="Hold","Review: allocation hold",IF(OR(D168="",COUNTIF('SOW register'!$A$7:$A$36,D168)&lt;&gt;1),"Review: SOW mapping",IF(AND(G168&lt;&gt;"Yes",G168&lt;&gt;"No"),"Review: billability",IF(AB168="","Review: billing evidence","OK"))))))))))))))</x:f>
      </x:c>
      <x:c r="J168" s="24"/>
      <x:c r="K168" s="38"/>
      <x:c r="L168" s="38"/>
      <x:c r="M168" s="38"/>
      <x:c r="N168" s="39"/>
      <x:c r="O168" s="24"/>
      <x:c r="P168" s="24"/>
      <x:c r="Q168" s="38"/>
      <x:c r="R168" s="38"/>
      <x:c r="S168" s="24"/>
      <x:c r="T168" s="24"/>
      <x:c r="U168" s="37" t="str">
        <x:f>IF(OR(J168="",Q168="",R168=""),"",J168&amp;"|"&amp;Q168&amp;"|"&amp;R168)</x:f>
      </x:c>
      <x:c r="V168" s="24"/>
      <x:c r="W168" s="24"/>
      <x:c r="X168" s="40"/>
      <x:c r="Y168" s="40"/>
      <x:c r="Z168" s="39"/>
      <x:c r="AA168" s="39"/>
      <x:c r="AB168" s="24"/>
    </x:row>
    <x:row r="169" ht="23" customHeight="1">
      <x:c r="A169" s="20"/>
      <x:c r="B169" s="5"/>
      <x:c r="C169" s="4"/>
      <x:c r="D169" s="34" t="str">
        <x:f>IF(OR(A169="",U169="",COUNTIF('Project codes'!$A$7:$A$106,U169)&lt;&gt;1),"",_xlfn.XLOOKUP(U169,'Project codes'!$A$7:$A$106,'Project codes'!$I$7:$I$106,"",0))</x:f>
      </x:c>
      <x:c r="E169" s="4"/>
      <x:c r="F169" s="35" t="str">
        <x:f>IF(AND(ISNUMBER(N169),N169&gt;=0,O169="Complete"),N169/3600000,"")</x:f>
      </x:c>
      <x:c r="G169" s="4"/>
      <x:c r="H169" s="4"/>
      <x:c r="I169" s="36" t="str">
        <x:f>IF(COUNTA(A169:C169,E169,G169:H169,J169:T169,V169:AB169)=0,"",IF(A169="","Review: missing entry ID",IF(COUNTIF($A$7:$A$506,A169)&gt;1,"Review: duplicate entry ID",IF(NOT(ISNUMBER(B169)),"Review: work date",IF(OR(C169="",E169="",K169="",M169="",H169=""),"Review: source details",IF(J169&lt;&gt;'Estimate review'!$J$5,"Review: project scope",IF(OR(NOT(ISNUMBER(N169)),N169&lt;0,O169&lt;&gt;"Complete"),"Review: duration",IF(S169&lt;&gt;"Coded","Review: coding status",IF(OR(U169="",COUNTIF('Project codes'!$A$7:$A$106,U169)=0),"Review: SOW mapping",IF(COUNTIF('Project codes'!$A$7:$A$106,U169)&gt;1,"Review: duplicate code",IF(_xlfn.XLOOKUP(U169,'Project codes'!$A$7:$A$106,'Project codes'!$F$7:$F$106,"Review",0)="Hold","Review: allocation hold",IF(OR(D169="",COUNTIF('SOW register'!$A$7:$A$36,D169)&lt;&gt;1),"Review: SOW mapping",IF(AND(G169&lt;&gt;"Yes",G169&lt;&gt;"No"),"Review: billability",IF(AB169="","Review: billing evidence","OK"))))))))))))))</x:f>
      </x:c>
      <x:c r="J169" s="24"/>
      <x:c r="K169" s="38"/>
      <x:c r="L169" s="38"/>
      <x:c r="M169" s="38"/>
      <x:c r="N169" s="39"/>
      <x:c r="O169" s="24"/>
      <x:c r="P169" s="24"/>
      <x:c r="Q169" s="38"/>
      <x:c r="R169" s="38"/>
      <x:c r="S169" s="24"/>
      <x:c r="T169" s="24"/>
      <x:c r="U169" s="37" t="str">
        <x:f>IF(OR(J169="",Q169="",R169=""),"",J169&amp;"|"&amp;Q169&amp;"|"&amp;R169)</x:f>
      </x:c>
      <x:c r="V169" s="24"/>
      <x:c r="W169" s="24"/>
      <x:c r="X169" s="40"/>
      <x:c r="Y169" s="40"/>
      <x:c r="Z169" s="39"/>
      <x:c r="AA169" s="39"/>
      <x:c r="AB169" s="24"/>
    </x:row>
    <x:row r="170" ht="23" customHeight="1">
      <x:c r="A170" s="20"/>
      <x:c r="B170" s="5"/>
      <x:c r="C170" s="4"/>
      <x:c r="D170" s="34" t="str">
        <x:f>IF(OR(A170="",U170="",COUNTIF('Project codes'!$A$7:$A$106,U170)&lt;&gt;1),"",_xlfn.XLOOKUP(U170,'Project codes'!$A$7:$A$106,'Project codes'!$I$7:$I$106,"",0))</x:f>
      </x:c>
      <x:c r="E170" s="4"/>
      <x:c r="F170" s="35" t="str">
        <x:f>IF(AND(ISNUMBER(N170),N170&gt;=0,O170="Complete"),N170/3600000,"")</x:f>
      </x:c>
      <x:c r="G170" s="4"/>
      <x:c r="H170" s="4"/>
      <x:c r="I170" s="36" t="str">
        <x:f>IF(COUNTA(A170:C170,E170,G170:H170,J170:T170,V170:AB170)=0,"",IF(A170="","Review: missing entry ID",IF(COUNTIF($A$7:$A$506,A170)&gt;1,"Review: duplicate entry ID",IF(NOT(ISNUMBER(B170)),"Review: work date",IF(OR(C170="",E170="",K170="",M170="",H170=""),"Review: source details",IF(J170&lt;&gt;'Estimate review'!$J$5,"Review: project scope",IF(OR(NOT(ISNUMBER(N170)),N170&lt;0,O170&lt;&gt;"Complete"),"Review: duration",IF(S170&lt;&gt;"Coded","Review: coding status",IF(OR(U170="",COUNTIF('Project codes'!$A$7:$A$106,U170)=0),"Review: SOW mapping",IF(COUNTIF('Project codes'!$A$7:$A$106,U170)&gt;1,"Review: duplicate code",IF(_xlfn.XLOOKUP(U170,'Project codes'!$A$7:$A$106,'Project codes'!$F$7:$F$106,"Review",0)="Hold","Review: allocation hold",IF(OR(D170="",COUNTIF('SOW register'!$A$7:$A$36,D170)&lt;&gt;1),"Review: SOW mapping",IF(AND(G170&lt;&gt;"Yes",G170&lt;&gt;"No"),"Review: billability",IF(AB170="","Review: billing evidence","OK"))))))))))))))</x:f>
      </x:c>
      <x:c r="J170" s="24"/>
      <x:c r="K170" s="38"/>
      <x:c r="L170" s="38"/>
      <x:c r="M170" s="38"/>
      <x:c r="N170" s="39"/>
      <x:c r="O170" s="24"/>
      <x:c r="P170" s="24"/>
      <x:c r="Q170" s="38"/>
      <x:c r="R170" s="38"/>
      <x:c r="S170" s="24"/>
      <x:c r="T170" s="24"/>
      <x:c r="U170" s="37" t="str">
        <x:f>IF(OR(J170="",Q170="",R170=""),"",J170&amp;"|"&amp;Q170&amp;"|"&amp;R170)</x:f>
      </x:c>
      <x:c r="V170" s="24"/>
      <x:c r="W170" s="24"/>
      <x:c r="X170" s="40"/>
      <x:c r="Y170" s="40"/>
      <x:c r="Z170" s="39"/>
      <x:c r="AA170" s="39"/>
      <x:c r="AB170" s="24"/>
    </x:row>
    <x:row r="171" ht="23" customHeight="1">
      <x:c r="A171" s="20"/>
      <x:c r="B171" s="5"/>
      <x:c r="C171" s="4"/>
      <x:c r="D171" s="34" t="str">
        <x:f>IF(OR(A171="",U171="",COUNTIF('Project codes'!$A$7:$A$106,U171)&lt;&gt;1),"",_xlfn.XLOOKUP(U171,'Project codes'!$A$7:$A$106,'Project codes'!$I$7:$I$106,"",0))</x:f>
      </x:c>
      <x:c r="E171" s="4"/>
      <x:c r="F171" s="35" t="str">
        <x:f>IF(AND(ISNUMBER(N171),N171&gt;=0,O171="Complete"),N171/3600000,"")</x:f>
      </x:c>
      <x:c r="G171" s="4"/>
      <x:c r="H171" s="4"/>
      <x:c r="I171" s="36" t="str">
        <x:f>IF(COUNTA(A171:C171,E171,G171:H171,J171:T171,V171:AB171)=0,"",IF(A171="","Review: missing entry ID",IF(COUNTIF($A$7:$A$506,A171)&gt;1,"Review: duplicate entry ID",IF(NOT(ISNUMBER(B171)),"Review: work date",IF(OR(C171="",E171="",K171="",M171="",H171=""),"Review: source details",IF(J171&lt;&gt;'Estimate review'!$J$5,"Review: project scope",IF(OR(NOT(ISNUMBER(N171)),N171&lt;0,O171&lt;&gt;"Complete"),"Review: duration",IF(S171&lt;&gt;"Coded","Review: coding status",IF(OR(U171="",COUNTIF('Project codes'!$A$7:$A$106,U171)=0),"Review: SOW mapping",IF(COUNTIF('Project codes'!$A$7:$A$106,U171)&gt;1,"Review: duplicate code",IF(_xlfn.XLOOKUP(U171,'Project codes'!$A$7:$A$106,'Project codes'!$F$7:$F$106,"Review",0)="Hold","Review: allocation hold",IF(OR(D171="",COUNTIF('SOW register'!$A$7:$A$36,D171)&lt;&gt;1),"Review: SOW mapping",IF(AND(G171&lt;&gt;"Yes",G171&lt;&gt;"No"),"Review: billability",IF(AB171="","Review: billing evidence","OK"))))))))))))))</x:f>
      </x:c>
      <x:c r="J171" s="24"/>
      <x:c r="K171" s="38"/>
      <x:c r="L171" s="38"/>
      <x:c r="M171" s="38"/>
      <x:c r="N171" s="39"/>
      <x:c r="O171" s="24"/>
      <x:c r="P171" s="24"/>
      <x:c r="Q171" s="38"/>
      <x:c r="R171" s="38"/>
      <x:c r="S171" s="24"/>
      <x:c r="T171" s="24"/>
      <x:c r="U171" s="37" t="str">
        <x:f>IF(OR(J171="",Q171="",R171=""),"",J171&amp;"|"&amp;Q171&amp;"|"&amp;R171)</x:f>
      </x:c>
      <x:c r="V171" s="24"/>
      <x:c r="W171" s="24"/>
      <x:c r="X171" s="40"/>
      <x:c r="Y171" s="40"/>
      <x:c r="Z171" s="39"/>
      <x:c r="AA171" s="39"/>
      <x:c r="AB171" s="24"/>
    </x:row>
    <x:row r="172" ht="23" customHeight="1">
      <x:c r="A172" s="20"/>
      <x:c r="B172" s="5"/>
      <x:c r="C172" s="4"/>
      <x:c r="D172" s="34" t="str">
        <x:f>IF(OR(A172="",U172="",COUNTIF('Project codes'!$A$7:$A$106,U172)&lt;&gt;1),"",_xlfn.XLOOKUP(U172,'Project codes'!$A$7:$A$106,'Project codes'!$I$7:$I$106,"",0))</x:f>
      </x:c>
      <x:c r="E172" s="4"/>
      <x:c r="F172" s="35" t="str">
        <x:f>IF(AND(ISNUMBER(N172),N172&gt;=0,O172="Complete"),N172/3600000,"")</x:f>
      </x:c>
      <x:c r="G172" s="4"/>
      <x:c r="H172" s="4"/>
      <x:c r="I172" s="36" t="str">
        <x:f>IF(COUNTA(A172:C172,E172,G172:H172,J172:T172,V172:AB172)=0,"",IF(A172="","Review: missing entry ID",IF(COUNTIF($A$7:$A$506,A172)&gt;1,"Review: duplicate entry ID",IF(NOT(ISNUMBER(B172)),"Review: work date",IF(OR(C172="",E172="",K172="",M172="",H172=""),"Review: source details",IF(J172&lt;&gt;'Estimate review'!$J$5,"Review: project scope",IF(OR(NOT(ISNUMBER(N172)),N172&lt;0,O172&lt;&gt;"Complete"),"Review: duration",IF(S172&lt;&gt;"Coded","Review: coding status",IF(OR(U172="",COUNTIF('Project codes'!$A$7:$A$106,U172)=0),"Review: SOW mapping",IF(COUNTIF('Project codes'!$A$7:$A$106,U172)&gt;1,"Review: duplicate code",IF(_xlfn.XLOOKUP(U172,'Project codes'!$A$7:$A$106,'Project codes'!$F$7:$F$106,"Review",0)="Hold","Review: allocation hold",IF(OR(D172="",COUNTIF('SOW register'!$A$7:$A$36,D172)&lt;&gt;1),"Review: SOW mapping",IF(AND(G172&lt;&gt;"Yes",G172&lt;&gt;"No"),"Review: billability",IF(AB172="","Review: billing evidence","OK"))))))))))))))</x:f>
      </x:c>
      <x:c r="J172" s="24"/>
      <x:c r="K172" s="38"/>
      <x:c r="L172" s="38"/>
      <x:c r="M172" s="38"/>
      <x:c r="N172" s="39"/>
      <x:c r="O172" s="24"/>
      <x:c r="P172" s="24"/>
      <x:c r="Q172" s="38"/>
      <x:c r="R172" s="38"/>
      <x:c r="S172" s="24"/>
      <x:c r="T172" s="24"/>
      <x:c r="U172" s="37" t="str">
        <x:f>IF(OR(J172="",Q172="",R172=""),"",J172&amp;"|"&amp;Q172&amp;"|"&amp;R172)</x:f>
      </x:c>
      <x:c r="V172" s="24"/>
      <x:c r="W172" s="24"/>
      <x:c r="X172" s="40"/>
      <x:c r="Y172" s="40"/>
      <x:c r="Z172" s="39"/>
      <x:c r="AA172" s="39"/>
      <x:c r="AB172" s="24"/>
    </x:row>
    <x:row r="173" ht="23" customHeight="1">
      <x:c r="A173" s="20"/>
      <x:c r="B173" s="5"/>
      <x:c r="C173" s="4"/>
      <x:c r="D173" s="34" t="str">
        <x:f>IF(OR(A173="",U173="",COUNTIF('Project codes'!$A$7:$A$106,U173)&lt;&gt;1),"",_xlfn.XLOOKUP(U173,'Project codes'!$A$7:$A$106,'Project codes'!$I$7:$I$106,"",0))</x:f>
      </x:c>
      <x:c r="E173" s="4"/>
      <x:c r="F173" s="35" t="str">
        <x:f>IF(AND(ISNUMBER(N173),N173&gt;=0,O173="Complete"),N173/3600000,"")</x:f>
      </x:c>
      <x:c r="G173" s="4"/>
      <x:c r="H173" s="4"/>
      <x:c r="I173" s="36" t="str">
        <x:f>IF(COUNTA(A173:C173,E173,G173:H173,J173:T173,V173:AB173)=0,"",IF(A173="","Review: missing entry ID",IF(COUNTIF($A$7:$A$506,A173)&gt;1,"Review: duplicate entry ID",IF(NOT(ISNUMBER(B173)),"Review: work date",IF(OR(C173="",E173="",K173="",M173="",H173=""),"Review: source details",IF(J173&lt;&gt;'Estimate review'!$J$5,"Review: project scope",IF(OR(NOT(ISNUMBER(N173)),N173&lt;0,O173&lt;&gt;"Complete"),"Review: duration",IF(S173&lt;&gt;"Coded","Review: coding status",IF(OR(U173="",COUNTIF('Project codes'!$A$7:$A$106,U173)=0),"Review: SOW mapping",IF(COUNTIF('Project codes'!$A$7:$A$106,U173)&gt;1,"Review: duplicate code",IF(_xlfn.XLOOKUP(U173,'Project codes'!$A$7:$A$106,'Project codes'!$F$7:$F$106,"Review",0)="Hold","Review: allocation hold",IF(OR(D173="",COUNTIF('SOW register'!$A$7:$A$36,D173)&lt;&gt;1),"Review: SOW mapping",IF(AND(G173&lt;&gt;"Yes",G173&lt;&gt;"No"),"Review: billability",IF(AB173="","Review: billing evidence","OK"))))))))))))))</x:f>
      </x:c>
      <x:c r="J173" s="24"/>
      <x:c r="K173" s="38"/>
      <x:c r="L173" s="38"/>
      <x:c r="M173" s="38"/>
      <x:c r="N173" s="39"/>
      <x:c r="O173" s="24"/>
      <x:c r="P173" s="24"/>
      <x:c r="Q173" s="38"/>
      <x:c r="R173" s="38"/>
      <x:c r="S173" s="24"/>
      <x:c r="T173" s="24"/>
      <x:c r="U173" s="37" t="str">
        <x:f>IF(OR(J173="",Q173="",R173=""),"",J173&amp;"|"&amp;Q173&amp;"|"&amp;R173)</x:f>
      </x:c>
      <x:c r="V173" s="24"/>
      <x:c r="W173" s="24"/>
      <x:c r="X173" s="40"/>
      <x:c r="Y173" s="40"/>
      <x:c r="Z173" s="39"/>
      <x:c r="AA173" s="39"/>
      <x:c r="AB173" s="24"/>
    </x:row>
    <x:row r="174" ht="23" customHeight="1">
      <x:c r="A174" s="20"/>
      <x:c r="B174" s="5"/>
      <x:c r="C174" s="4"/>
      <x:c r="D174" s="34" t="str">
        <x:f>IF(OR(A174="",U174="",COUNTIF('Project codes'!$A$7:$A$106,U174)&lt;&gt;1),"",_xlfn.XLOOKUP(U174,'Project codes'!$A$7:$A$106,'Project codes'!$I$7:$I$106,"",0))</x:f>
      </x:c>
      <x:c r="E174" s="4"/>
      <x:c r="F174" s="35" t="str">
        <x:f>IF(AND(ISNUMBER(N174),N174&gt;=0,O174="Complete"),N174/3600000,"")</x:f>
      </x:c>
      <x:c r="G174" s="4"/>
      <x:c r="H174" s="4"/>
      <x:c r="I174" s="36" t="str">
        <x:f>IF(COUNTA(A174:C174,E174,G174:H174,J174:T174,V174:AB174)=0,"",IF(A174="","Review: missing entry ID",IF(COUNTIF($A$7:$A$506,A174)&gt;1,"Review: duplicate entry ID",IF(NOT(ISNUMBER(B174)),"Review: work date",IF(OR(C174="",E174="",K174="",M174="",H174=""),"Review: source details",IF(J174&lt;&gt;'Estimate review'!$J$5,"Review: project scope",IF(OR(NOT(ISNUMBER(N174)),N174&lt;0,O174&lt;&gt;"Complete"),"Review: duration",IF(S174&lt;&gt;"Coded","Review: coding status",IF(OR(U174="",COUNTIF('Project codes'!$A$7:$A$106,U174)=0),"Review: SOW mapping",IF(COUNTIF('Project codes'!$A$7:$A$106,U174)&gt;1,"Review: duplicate code",IF(_xlfn.XLOOKUP(U174,'Project codes'!$A$7:$A$106,'Project codes'!$F$7:$F$106,"Review",0)="Hold","Review: allocation hold",IF(OR(D174="",COUNTIF('SOW register'!$A$7:$A$36,D174)&lt;&gt;1),"Review: SOW mapping",IF(AND(G174&lt;&gt;"Yes",G174&lt;&gt;"No"),"Review: billability",IF(AB174="","Review: billing evidence","OK"))))))))))))))</x:f>
      </x:c>
      <x:c r="J174" s="24"/>
      <x:c r="K174" s="38"/>
      <x:c r="L174" s="38"/>
      <x:c r="M174" s="38"/>
      <x:c r="N174" s="39"/>
      <x:c r="O174" s="24"/>
      <x:c r="P174" s="24"/>
      <x:c r="Q174" s="38"/>
      <x:c r="R174" s="38"/>
      <x:c r="S174" s="24"/>
      <x:c r="T174" s="24"/>
      <x:c r="U174" s="37" t="str">
        <x:f>IF(OR(J174="",Q174="",R174=""),"",J174&amp;"|"&amp;Q174&amp;"|"&amp;R174)</x:f>
      </x:c>
      <x:c r="V174" s="24"/>
      <x:c r="W174" s="24"/>
      <x:c r="X174" s="40"/>
      <x:c r="Y174" s="40"/>
      <x:c r="Z174" s="39"/>
      <x:c r="AA174" s="39"/>
      <x:c r="AB174" s="24"/>
    </x:row>
    <x:row r="175" ht="23" customHeight="1">
      <x:c r="A175" s="20"/>
      <x:c r="B175" s="5"/>
      <x:c r="C175" s="4"/>
      <x:c r="D175" s="34" t="str">
        <x:f>IF(OR(A175="",U175="",COUNTIF('Project codes'!$A$7:$A$106,U175)&lt;&gt;1),"",_xlfn.XLOOKUP(U175,'Project codes'!$A$7:$A$106,'Project codes'!$I$7:$I$106,"",0))</x:f>
      </x:c>
      <x:c r="E175" s="4"/>
      <x:c r="F175" s="35" t="str">
        <x:f>IF(AND(ISNUMBER(N175),N175&gt;=0,O175="Complete"),N175/3600000,"")</x:f>
      </x:c>
      <x:c r="G175" s="4"/>
      <x:c r="H175" s="4"/>
      <x:c r="I175" s="36" t="str">
        <x:f>IF(COUNTA(A175:C175,E175,G175:H175,J175:T175,V175:AB175)=0,"",IF(A175="","Review: missing entry ID",IF(COUNTIF($A$7:$A$506,A175)&gt;1,"Review: duplicate entry ID",IF(NOT(ISNUMBER(B175)),"Review: work date",IF(OR(C175="",E175="",K175="",M175="",H175=""),"Review: source details",IF(J175&lt;&gt;'Estimate review'!$J$5,"Review: project scope",IF(OR(NOT(ISNUMBER(N175)),N175&lt;0,O175&lt;&gt;"Complete"),"Review: duration",IF(S175&lt;&gt;"Coded","Review: coding status",IF(OR(U175="",COUNTIF('Project codes'!$A$7:$A$106,U175)=0),"Review: SOW mapping",IF(COUNTIF('Project codes'!$A$7:$A$106,U175)&gt;1,"Review: duplicate code",IF(_xlfn.XLOOKUP(U175,'Project codes'!$A$7:$A$106,'Project codes'!$F$7:$F$106,"Review",0)="Hold","Review: allocation hold",IF(OR(D175="",COUNTIF('SOW register'!$A$7:$A$36,D175)&lt;&gt;1),"Review: SOW mapping",IF(AND(G175&lt;&gt;"Yes",G175&lt;&gt;"No"),"Review: billability",IF(AB175="","Review: billing evidence","OK"))))))))))))))</x:f>
      </x:c>
      <x:c r="J175" s="24"/>
      <x:c r="K175" s="38"/>
      <x:c r="L175" s="38"/>
      <x:c r="M175" s="38"/>
      <x:c r="N175" s="39"/>
      <x:c r="O175" s="24"/>
      <x:c r="P175" s="24"/>
      <x:c r="Q175" s="38"/>
      <x:c r="R175" s="38"/>
      <x:c r="S175" s="24"/>
      <x:c r="T175" s="24"/>
      <x:c r="U175" s="37" t="str">
        <x:f>IF(OR(J175="",Q175="",R175=""),"",J175&amp;"|"&amp;Q175&amp;"|"&amp;R175)</x:f>
      </x:c>
      <x:c r="V175" s="24"/>
      <x:c r="W175" s="24"/>
      <x:c r="X175" s="40"/>
      <x:c r="Y175" s="40"/>
      <x:c r="Z175" s="39"/>
      <x:c r="AA175" s="39"/>
      <x:c r="AB175" s="24"/>
    </x:row>
    <x:row r="176" ht="23" customHeight="1">
      <x:c r="A176" s="20"/>
      <x:c r="B176" s="5"/>
      <x:c r="C176" s="4"/>
      <x:c r="D176" s="34" t="str">
        <x:f>IF(OR(A176="",U176="",COUNTIF('Project codes'!$A$7:$A$106,U176)&lt;&gt;1),"",_xlfn.XLOOKUP(U176,'Project codes'!$A$7:$A$106,'Project codes'!$I$7:$I$106,"",0))</x:f>
      </x:c>
      <x:c r="E176" s="4"/>
      <x:c r="F176" s="35" t="str">
        <x:f>IF(AND(ISNUMBER(N176),N176&gt;=0,O176="Complete"),N176/3600000,"")</x:f>
      </x:c>
      <x:c r="G176" s="4"/>
      <x:c r="H176" s="4"/>
      <x:c r="I176" s="36" t="str">
        <x:f>IF(COUNTA(A176:C176,E176,G176:H176,J176:T176,V176:AB176)=0,"",IF(A176="","Review: missing entry ID",IF(COUNTIF($A$7:$A$506,A176)&gt;1,"Review: duplicate entry ID",IF(NOT(ISNUMBER(B176)),"Review: work date",IF(OR(C176="",E176="",K176="",M176="",H176=""),"Review: source details",IF(J176&lt;&gt;'Estimate review'!$J$5,"Review: project scope",IF(OR(NOT(ISNUMBER(N176)),N176&lt;0,O176&lt;&gt;"Complete"),"Review: duration",IF(S176&lt;&gt;"Coded","Review: coding status",IF(OR(U176="",COUNTIF('Project codes'!$A$7:$A$106,U176)=0),"Review: SOW mapping",IF(COUNTIF('Project codes'!$A$7:$A$106,U176)&gt;1,"Review: duplicate code",IF(_xlfn.XLOOKUP(U176,'Project codes'!$A$7:$A$106,'Project codes'!$F$7:$F$106,"Review",0)="Hold","Review: allocation hold",IF(OR(D176="",COUNTIF('SOW register'!$A$7:$A$36,D176)&lt;&gt;1),"Review: SOW mapping",IF(AND(G176&lt;&gt;"Yes",G176&lt;&gt;"No"),"Review: billability",IF(AB176="","Review: billing evidence","OK"))))))))))))))</x:f>
      </x:c>
      <x:c r="J176" s="24"/>
      <x:c r="K176" s="38"/>
      <x:c r="L176" s="38"/>
      <x:c r="M176" s="38"/>
      <x:c r="N176" s="39"/>
      <x:c r="O176" s="24"/>
      <x:c r="P176" s="24"/>
      <x:c r="Q176" s="38"/>
      <x:c r="R176" s="38"/>
      <x:c r="S176" s="24"/>
      <x:c r="T176" s="24"/>
      <x:c r="U176" s="37" t="str">
        <x:f>IF(OR(J176="",Q176="",R176=""),"",J176&amp;"|"&amp;Q176&amp;"|"&amp;R176)</x:f>
      </x:c>
      <x:c r="V176" s="24"/>
      <x:c r="W176" s="24"/>
      <x:c r="X176" s="40"/>
      <x:c r="Y176" s="40"/>
      <x:c r="Z176" s="39"/>
      <x:c r="AA176" s="39"/>
      <x:c r="AB176" s="24"/>
    </x:row>
    <x:row r="177" ht="23" customHeight="1">
      <x:c r="A177" s="20"/>
      <x:c r="B177" s="5"/>
      <x:c r="C177" s="4"/>
      <x:c r="D177" s="34" t="str">
        <x:f>IF(OR(A177="",U177="",COUNTIF('Project codes'!$A$7:$A$106,U177)&lt;&gt;1),"",_xlfn.XLOOKUP(U177,'Project codes'!$A$7:$A$106,'Project codes'!$I$7:$I$106,"",0))</x:f>
      </x:c>
      <x:c r="E177" s="4"/>
      <x:c r="F177" s="35" t="str">
        <x:f>IF(AND(ISNUMBER(N177),N177&gt;=0,O177="Complete"),N177/3600000,"")</x:f>
      </x:c>
      <x:c r="G177" s="4"/>
      <x:c r="H177" s="4"/>
      <x:c r="I177" s="36" t="str">
        <x:f>IF(COUNTA(A177:C177,E177,G177:H177,J177:T177,V177:AB177)=0,"",IF(A177="","Review: missing entry ID",IF(COUNTIF($A$7:$A$506,A177)&gt;1,"Review: duplicate entry ID",IF(NOT(ISNUMBER(B177)),"Review: work date",IF(OR(C177="",E177="",K177="",M177="",H177=""),"Review: source details",IF(J177&lt;&gt;'Estimate review'!$J$5,"Review: project scope",IF(OR(NOT(ISNUMBER(N177)),N177&lt;0,O177&lt;&gt;"Complete"),"Review: duration",IF(S177&lt;&gt;"Coded","Review: coding status",IF(OR(U177="",COUNTIF('Project codes'!$A$7:$A$106,U177)=0),"Review: SOW mapping",IF(COUNTIF('Project codes'!$A$7:$A$106,U177)&gt;1,"Review: duplicate code",IF(_xlfn.XLOOKUP(U177,'Project codes'!$A$7:$A$106,'Project codes'!$F$7:$F$106,"Review",0)="Hold","Review: allocation hold",IF(OR(D177="",COUNTIF('SOW register'!$A$7:$A$36,D177)&lt;&gt;1),"Review: SOW mapping",IF(AND(G177&lt;&gt;"Yes",G177&lt;&gt;"No"),"Review: billability",IF(AB177="","Review: billing evidence","OK"))))))))))))))</x:f>
      </x:c>
      <x:c r="J177" s="24"/>
      <x:c r="K177" s="38"/>
      <x:c r="L177" s="38"/>
      <x:c r="M177" s="38"/>
      <x:c r="N177" s="39"/>
      <x:c r="O177" s="24"/>
      <x:c r="P177" s="24"/>
      <x:c r="Q177" s="38"/>
      <x:c r="R177" s="38"/>
      <x:c r="S177" s="24"/>
      <x:c r="T177" s="24"/>
      <x:c r="U177" s="37" t="str">
        <x:f>IF(OR(J177="",Q177="",R177=""),"",J177&amp;"|"&amp;Q177&amp;"|"&amp;R177)</x:f>
      </x:c>
      <x:c r="V177" s="24"/>
      <x:c r="W177" s="24"/>
      <x:c r="X177" s="40"/>
      <x:c r="Y177" s="40"/>
      <x:c r="Z177" s="39"/>
      <x:c r="AA177" s="39"/>
      <x:c r="AB177" s="24"/>
    </x:row>
    <x:row r="178" ht="23" customHeight="1">
      <x:c r="A178" s="20"/>
      <x:c r="B178" s="5"/>
      <x:c r="C178" s="4"/>
      <x:c r="D178" s="34" t="str">
        <x:f>IF(OR(A178="",U178="",COUNTIF('Project codes'!$A$7:$A$106,U178)&lt;&gt;1),"",_xlfn.XLOOKUP(U178,'Project codes'!$A$7:$A$106,'Project codes'!$I$7:$I$106,"",0))</x:f>
      </x:c>
      <x:c r="E178" s="4"/>
      <x:c r="F178" s="35" t="str">
        <x:f>IF(AND(ISNUMBER(N178),N178&gt;=0,O178="Complete"),N178/3600000,"")</x:f>
      </x:c>
      <x:c r="G178" s="4"/>
      <x:c r="H178" s="4"/>
      <x:c r="I178" s="36" t="str">
        <x:f>IF(COUNTA(A178:C178,E178,G178:H178,J178:T178,V178:AB178)=0,"",IF(A178="","Review: missing entry ID",IF(COUNTIF($A$7:$A$506,A178)&gt;1,"Review: duplicate entry ID",IF(NOT(ISNUMBER(B178)),"Review: work date",IF(OR(C178="",E178="",K178="",M178="",H178=""),"Review: source details",IF(J178&lt;&gt;'Estimate review'!$J$5,"Review: project scope",IF(OR(NOT(ISNUMBER(N178)),N178&lt;0,O178&lt;&gt;"Complete"),"Review: duration",IF(S178&lt;&gt;"Coded","Review: coding status",IF(OR(U178="",COUNTIF('Project codes'!$A$7:$A$106,U178)=0),"Review: SOW mapping",IF(COUNTIF('Project codes'!$A$7:$A$106,U178)&gt;1,"Review: duplicate code",IF(_xlfn.XLOOKUP(U178,'Project codes'!$A$7:$A$106,'Project codes'!$F$7:$F$106,"Review",0)="Hold","Review: allocation hold",IF(OR(D178="",COUNTIF('SOW register'!$A$7:$A$36,D178)&lt;&gt;1),"Review: SOW mapping",IF(AND(G178&lt;&gt;"Yes",G178&lt;&gt;"No"),"Review: billability",IF(AB178="","Review: billing evidence","OK"))))))))))))))</x:f>
      </x:c>
      <x:c r="J178" s="24"/>
      <x:c r="K178" s="38"/>
      <x:c r="L178" s="38"/>
      <x:c r="M178" s="38"/>
      <x:c r="N178" s="39"/>
      <x:c r="O178" s="24"/>
      <x:c r="P178" s="24"/>
      <x:c r="Q178" s="38"/>
      <x:c r="R178" s="38"/>
      <x:c r="S178" s="24"/>
      <x:c r="T178" s="24"/>
      <x:c r="U178" s="37" t="str">
        <x:f>IF(OR(J178="",Q178="",R178=""),"",J178&amp;"|"&amp;Q178&amp;"|"&amp;R178)</x:f>
      </x:c>
      <x:c r="V178" s="24"/>
      <x:c r="W178" s="24"/>
      <x:c r="X178" s="40"/>
      <x:c r="Y178" s="40"/>
      <x:c r="Z178" s="39"/>
      <x:c r="AA178" s="39"/>
      <x:c r="AB178" s="24"/>
    </x:row>
    <x:row r="179" ht="23" customHeight="1">
      <x:c r="A179" s="20"/>
      <x:c r="B179" s="5"/>
      <x:c r="C179" s="4"/>
      <x:c r="D179" s="34" t="str">
        <x:f>IF(OR(A179="",U179="",COUNTIF('Project codes'!$A$7:$A$106,U179)&lt;&gt;1),"",_xlfn.XLOOKUP(U179,'Project codes'!$A$7:$A$106,'Project codes'!$I$7:$I$106,"",0))</x:f>
      </x:c>
      <x:c r="E179" s="4"/>
      <x:c r="F179" s="35" t="str">
        <x:f>IF(AND(ISNUMBER(N179),N179&gt;=0,O179="Complete"),N179/3600000,"")</x:f>
      </x:c>
      <x:c r="G179" s="4"/>
      <x:c r="H179" s="4"/>
      <x:c r="I179" s="36" t="str">
        <x:f>IF(COUNTA(A179:C179,E179,G179:H179,J179:T179,V179:AB179)=0,"",IF(A179="","Review: missing entry ID",IF(COUNTIF($A$7:$A$506,A179)&gt;1,"Review: duplicate entry ID",IF(NOT(ISNUMBER(B179)),"Review: work date",IF(OR(C179="",E179="",K179="",M179="",H179=""),"Review: source details",IF(J179&lt;&gt;'Estimate review'!$J$5,"Review: project scope",IF(OR(NOT(ISNUMBER(N179)),N179&lt;0,O179&lt;&gt;"Complete"),"Review: duration",IF(S179&lt;&gt;"Coded","Review: coding status",IF(OR(U179="",COUNTIF('Project codes'!$A$7:$A$106,U179)=0),"Review: SOW mapping",IF(COUNTIF('Project codes'!$A$7:$A$106,U179)&gt;1,"Review: duplicate code",IF(_xlfn.XLOOKUP(U179,'Project codes'!$A$7:$A$106,'Project codes'!$F$7:$F$106,"Review",0)="Hold","Review: allocation hold",IF(OR(D179="",COUNTIF('SOW register'!$A$7:$A$36,D179)&lt;&gt;1),"Review: SOW mapping",IF(AND(G179&lt;&gt;"Yes",G179&lt;&gt;"No"),"Review: billability",IF(AB179="","Review: billing evidence","OK"))))))))))))))</x:f>
      </x:c>
      <x:c r="J179" s="24"/>
      <x:c r="K179" s="38"/>
      <x:c r="L179" s="38"/>
      <x:c r="M179" s="38"/>
      <x:c r="N179" s="39"/>
      <x:c r="O179" s="24"/>
      <x:c r="P179" s="24"/>
      <x:c r="Q179" s="38"/>
      <x:c r="R179" s="38"/>
      <x:c r="S179" s="24"/>
      <x:c r="T179" s="24"/>
      <x:c r="U179" s="37" t="str">
        <x:f>IF(OR(J179="",Q179="",R179=""),"",J179&amp;"|"&amp;Q179&amp;"|"&amp;R179)</x:f>
      </x:c>
      <x:c r="V179" s="24"/>
      <x:c r="W179" s="24"/>
      <x:c r="X179" s="40"/>
      <x:c r="Y179" s="40"/>
      <x:c r="Z179" s="39"/>
      <x:c r="AA179" s="39"/>
      <x:c r="AB179" s="24"/>
    </x:row>
    <x:row r="180" ht="23" customHeight="1">
      <x:c r="A180" s="20"/>
      <x:c r="B180" s="5"/>
      <x:c r="C180" s="4"/>
      <x:c r="D180" s="34" t="str">
        <x:f>IF(OR(A180="",U180="",COUNTIF('Project codes'!$A$7:$A$106,U180)&lt;&gt;1),"",_xlfn.XLOOKUP(U180,'Project codes'!$A$7:$A$106,'Project codes'!$I$7:$I$106,"",0))</x:f>
      </x:c>
      <x:c r="E180" s="4"/>
      <x:c r="F180" s="35" t="str">
        <x:f>IF(AND(ISNUMBER(N180),N180&gt;=0,O180="Complete"),N180/3600000,"")</x:f>
      </x:c>
      <x:c r="G180" s="4"/>
      <x:c r="H180" s="4"/>
      <x:c r="I180" s="36" t="str">
        <x:f>IF(COUNTA(A180:C180,E180,G180:H180,J180:T180,V180:AB180)=0,"",IF(A180="","Review: missing entry ID",IF(COUNTIF($A$7:$A$506,A180)&gt;1,"Review: duplicate entry ID",IF(NOT(ISNUMBER(B180)),"Review: work date",IF(OR(C180="",E180="",K180="",M180="",H180=""),"Review: source details",IF(J180&lt;&gt;'Estimate review'!$J$5,"Review: project scope",IF(OR(NOT(ISNUMBER(N180)),N180&lt;0,O180&lt;&gt;"Complete"),"Review: duration",IF(S180&lt;&gt;"Coded","Review: coding status",IF(OR(U180="",COUNTIF('Project codes'!$A$7:$A$106,U180)=0),"Review: SOW mapping",IF(COUNTIF('Project codes'!$A$7:$A$106,U180)&gt;1,"Review: duplicate code",IF(_xlfn.XLOOKUP(U180,'Project codes'!$A$7:$A$106,'Project codes'!$F$7:$F$106,"Review",0)="Hold","Review: allocation hold",IF(OR(D180="",COUNTIF('SOW register'!$A$7:$A$36,D180)&lt;&gt;1),"Review: SOW mapping",IF(AND(G180&lt;&gt;"Yes",G180&lt;&gt;"No"),"Review: billability",IF(AB180="","Review: billing evidence","OK"))))))))))))))</x:f>
      </x:c>
      <x:c r="J180" s="24"/>
      <x:c r="K180" s="38"/>
      <x:c r="L180" s="38"/>
      <x:c r="M180" s="38"/>
      <x:c r="N180" s="39"/>
      <x:c r="O180" s="24"/>
      <x:c r="P180" s="24"/>
      <x:c r="Q180" s="38"/>
      <x:c r="R180" s="38"/>
      <x:c r="S180" s="24"/>
      <x:c r="T180" s="24"/>
      <x:c r="U180" s="37" t="str">
        <x:f>IF(OR(J180="",Q180="",R180=""),"",J180&amp;"|"&amp;Q180&amp;"|"&amp;R180)</x:f>
      </x:c>
      <x:c r="V180" s="24"/>
      <x:c r="W180" s="24"/>
      <x:c r="X180" s="40"/>
      <x:c r="Y180" s="40"/>
      <x:c r="Z180" s="39"/>
      <x:c r="AA180" s="39"/>
      <x:c r="AB180" s="24"/>
    </x:row>
    <x:row r="181" ht="23" customHeight="1">
      <x:c r="A181" s="20"/>
      <x:c r="B181" s="5"/>
      <x:c r="C181" s="4"/>
      <x:c r="D181" s="34" t="str">
        <x:f>IF(OR(A181="",U181="",COUNTIF('Project codes'!$A$7:$A$106,U181)&lt;&gt;1),"",_xlfn.XLOOKUP(U181,'Project codes'!$A$7:$A$106,'Project codes'!$I$7:$I$106,"",0))</x:f>
      </x:c>
      <x:c r="E181" s="4"/>
      <x:c r="F181" s="35" t="str">
        <x:f>IF(AND(ISNUMBER(N181),N181&gt;=0,O181="Complete"),N181/3600000,"")</x:f>
      </x:c>
      <x:c r="G181" s="4"/>
      <x:c r="H181" s="4"/>
      <x:c r="I181" s="36" t="str">
        <x:f>IF(COUNTA(A181:C181,E181,G181:H181,J181:T181,V181:AB181)=0,"",IF(A181="","Review: missing entry ID",IF(COUNTIF($A$7:$A$506,A181)&gt;1,"Review: duplicate entry ID",IF(NOT(ISNUMBER(B181)),"Review: work date",IF(OR(C181="",E181="",K181="",M181="",H181=""),"Review: source details",IF(J181&lt;&gt;'Estimate review'!$J$5,"Review: project scope",IF(OR(NOT(ISNUMBER(N181)),N181&lt;0,O181&lt;&gt;"Complete"),"Review: duration",IF(S181&lt;&gt;"Coded","Review: coding status",IF(OR(U181="",COUNTIF('Project codes'!$A$7:$A$106,U181)=0),"Review: SOW mapping",IF(COUNTIF('Project codes'!$A$7:$A$106,U181)&gt;1,"Review: duplicate code",IF(_xlfn.XLOOKUP(U181,'Project codes'!$A$7:$A$106,'Project codes'!$F$7:$F$106,"Review",0)="Hold","Review: allocation hold",IF(OR(D181="",COUNTIF('SOW register'!$A$7:$A$36,D181)&lt;&gt;1),"Review: SOW mapping",IF(AND(G181&lt;&gt;"Yes",G181&lt;&gt;"No"),"Review: billability",IF(AB181="","Review: billing evidence","OK"))))))))))))))</x:f>
      </x:c>
      <x:c r="J181" s="24"/>
      <x:c r="K181" s="38"/>
      <x:c r="L181" s="38"/>
      <x:c r="M181" s="38"/>
      <x:c r="N181" s="39"/>
      <x:c r="O181" s="24"/>
      <x:c r="P181" s="24"/>
      <x:c r="Q181" s="38"/>
      <x:c r="R181" s="38"/>
      <x:c r="S181" s="24"/>
      <x:c r="T181" s="24"/>
      <x:c r="U181" s="37" t="str">
        <x:f>IF(OR(J181="",Q181="",R181=""),"",J181&amp;"|"&amp;Q181&amp;"|"&amp;R181)</x:f>
      </x:c>
      <x:c r="V181" s="24"/>
      <x:c r="W181" s="24"/>
      <x:c r="X181" s="40"/>
      <x:c r="Y181" s="40"/>
      <x:c r="Z181" s="39"/>
      <x:c r="AA181" s="39"/>
      <x:c r="AB181" s="24"/>
    </x:row>
    <x:row r="182" ht="23" customHeight="1">
      <x:c r="A182" s="20"/>
      <x:c r="B182" s="5"/>
      <x:c r="C182" s="4"/>
      <x:c r="D182" s="34" t="str">
        <x:f>IF(OR(A182="",U182="",COUNTIF('Project codes'!$A$7:$A$106,U182)&lt;&gt;1),"",_xlfn.XLOOKUP(U182,'Project codes'!$A$7:$A$106,'Project codes'!$I$7:$I$106,"",0))</x:f>
      </x:c>
      <x:c r="E182" s="4"/>
      <x:c r="F182" s="35" t="str">
        <x:f>IF(AND(ISNUMBER(N182),N182&gt;=0,O182="Complete"),N182/3600000,"")</x:f>
      </x:c>
      <x:c r="G182" s="4"/>
      <x:c r="H182" s="4"/>
      <x:c r="I182" s="36" t="str">
        <x:f>IF(COUNTA(A182:C182,E182,G182:H182,J182:T182,V182:AB182)=0,"",IF(A182="","Review: missing entry ID",IF(COUNTIF($A$7:$A$506,A182)&gt;1,"Review: duplicate entry ID",IF(NOT(ISNUMBER(B182)),"Review: work date",IF(OR(C182="",E182="",K182="",M182="",H182=""),"Review: source details",IF(J182&lt;&gt;'Estimate review'!$J$5,"Review: project scope",IF(OR(NOT(ISNUMBER(N182)),N182&lt;0,O182&lt;&gt;"Complete"),"Review: duration",IF(S182&lt;&gt;"Coded","Review: coding status",IF(OR(U182="",COUNTIF('Project codes'!$A$7:$A$106,U182)=0),"Review: SOW mapping",IF(COUNTIF('Project codes'!$A$7:$A$106,U182)&gt;1,"Review: duplicate code",IF(_xlfn.XLOOKUP(U182,'Project codes'!$A$7:$A$106,'Project codes'!$F$7:$F$106,"Review",0)="Hold","Review: allocation hold",IF(OR(D182="",COUNTIF('SOW register'!$A$7:$A$36,D182)&lt;&gt;1),"Review: SOW mapping",IF(AND(G182&lt;&gt;"Yes",G182&lt;&gt;"No"),"Review: billability",IF(AB182="","Review: billing evidence","OK"))))))))))))))</x:f>
      </x:c>
      <x:c r="J182" s="24"/>
      <x:c r="K182" s="38"/>
      <x:c r="L182" s="38"/>
      <x:c r="M182" s="38"/>
      <x:c r="N182" s="39"/>
      <x:c r="O182" s="24"/>
      <x:c r="P182" s="24"/>
      <x:c r="Q182" s="38"/>
      <x:c r="R182" s="38"/>
      <x:c r="S182" s="24"/>
      <x:c r="T182" s="24"/>
      <x:c r="U182" s="37" t="str">
        <x:f>IF(OR(J182="",Q182="",R182=""),"",J182&amp;"|"&amp;Q182&amp;"|"&amp;R182)</x:f>
      </x:c>
      <x:c r="V182" s="24"/>
      <x:c r="W182" s="24"/>
      <x:c r="X182" s="40"/>
      <x:c r="Y182" s="40"/>
      <x:c r="Z182" s="39"/>
      <x:c r="AA182" s="39"/>
      <x:c r="AB182" s="24"/>
    </x:row>
    <x:row r="183" ht="23" customHeight="1">
      <x:c r="A183" s="20"/>
      <x:c r="B183" s="5"/>
      <x:c r="C183" s="4"/>
      <x:c r="D183" s="34" t="str">
        <x:f>IF(OR(A183="",U183="",COUNTIF('Project codes'!$A$7:$A$106,U183)&lt;&gt;1),"",_xlfn.XLOOKUP(U183,'Project codes'!$A$7:$A$106,'Project codes'!$I$7:$I$106,"",0))</x:f>
      </x:c>
      <x:c r="E183" s="4"/>
      <x:c r="F183" s="35" t="str">
        <x:f>IF(AND(ISNUMBER(N183),N183&gt;=0,O183="Complete"),N183/3600000,"")</x:f>
      </x:c>
      <x:c r="G183" s="4"/>
      <x:c r="H183" s="4"/>
      <x:c r="I183" s="36" t="str">
        <x:f>IF(COUNTA(A183:C183,E183,G183:H183,J183:T183,V183:AB183)=0,"",IF(A183="","Review: missing entry ID",IF(COUNTIF($A$7:$A$506,A183)&gt;1,"Review: duplicate entry ID",IF(NOT(ISNUMBER(B183)),"Review: work date",IF(OR(C183="",E183="",K183="",M183="",H183=""),"Review: source details",IF(J183&lt;&gt;'Estimate review'!$J$5,"Review: project scope",IF(OR(NOT(ISNUMBER(N183)),N183&lt;0,O183&lt;&gt;"Complete"),"Review: duration",IF(S183&lt;&gt;"Coded","Review: coding status",IF(OR(U183="",COUNTIF('Project codes'!$A$7:$A$106,U183)=0),"Review: SOW mapping",IF(COUNTIF('Project codes'!$A$7:$A$106,U183)&gt;1,"Review: duplicate code",IF(_xlfn.XLOOKUP(U183,'Project codes'!$A$7:$A$106,'Project codes'!$F$7:$F$106,"Review",0)="Hold","Review: allocation hold",IF(OR(D183="",COUNTIF('SOW register'!$A$7:$A$36,D183)&lt;&gt;1),"Review: SOW mapping",IF(AND(G183&lt;&gt;"Yes",G183&lt;&gt;"No"),"Review: billability",IF(AB183="","Review: billing evidence","OK"))))))))))))))</x:f>
      </x:c>
      <x:c r="J183" s="24"/>
      <x:c r="K183" s="38"/>
      <x:c r="L183" s="38"/>
      <x:c r="M183" s="38"/>
      <x:c r="N183" s="39"/>
      <x:c r="O183" s="24"/>
      <x:c r="P183" s="24"/>
      <x:c r="Q183" s="38"/>
      <x:c r="R183" s="38"/>
      <x:c r="S183" s="24"/>
      <x:c r="T183" s="24"/>
      <x:c r="U183" s="37" t="str">
        <x:f>IF(OR(J183="",Q183="",R183=""),"",J183&amp;"|"&amp;Q183&amp;"|"&amp;R183)</x:f>
      </x:c>
      <x:c r="V183" s="24"/>
      <x:c r="W183" s="24"/>
      <x:c r="X183" s="40"/>
      <x:c r="Y183" s="40"/>
      <x:c r="Z183" s="39"/>
      <x:c r="AA183" s="39"/>
      <x:c r="AB183" s="24"/>
    </x:row>
    <x:row r="184" ht="23" customHeight="1">
      <x:c r="A184" s="20"/>
      <x:c r="B184" s="5"/>
      <x:c r="C184" s="4"/>
      <x:c r="D184" s="34" t="str">
        <x:f>IF(OR(A184="",U184="",COUNTIF('Project codes'!$A$7:$A$106,U184)&lt;&gt;1),"",_xlfn.XLOOKUP(U184,'Project codes'!$A$7:$A$106,'Project codes'!$I$7:$I$106,"",0))</x:f>
      </x:c>
      <x:c r="E184" s="4"/>
      <x:c r="F184" s="35" t="str">
        <x:f>IF(AND(ISNUMBER(N184),N184&gt;=0,O184="Complete"),N184/3600000,"")</x:f>
      </x:c>
      <x:c r="G184" s="4"/>
      <x:c r="H184" s="4"/>
      <x:c r="I184" s="36" t="str">
        <x:f>IF(COUNTA(A184:C184,E184,G184:H184,J184:T184,V184:AB184)=0,"",IF(A184="","Review: missing entry ID",IF(COUNTIF($A$7:$A$506,A184)&gt;1,"Review: duplicate entry ID",IF(NOT(ISNUMBER(B184)),"Review: work date",IF(OR(C184="",E184="",K184="",M184="",H184=""),"Review: source details",IF(J184&lt;&gt;'Estimate review'!$J$5,"Review: project scope",IF(OR(NOT(ISNUMBER(N184)),N184&lt;0,O184&lt;&gt;"Complete"),"Review: duration",IF(S184&lt;&gt;"Coded","Review: coding status",IF(OR(U184="",COUNTIF('Project codes'!$A$7:$A$106,U184)=0),"Review: SOW mapping",IF(COUNTIF('Project codes'!$A$7:$A$106,U184)&gt;1,"Review: duplicate code",IF(_xlfn.XLOOKUP(U184,'Project codes'!$A$7:$A$106,'Project codes'!$F$7:$F$106,"Review",0)="Hold","Review: allocation hold",IF(OR(D184="",COUNTIF('SOW register'!$A$7:$A$36,D184)&lt;&gt;1),"Review: SOW mapping",IF(AND(G184&lt;&gt;"Yes",G184&lt;&gt;"No"),"Review: billability",IF(AB184="","Review: billing evidence","OK"))))))))))))))</x:f>
      </x:c>
      <x:c r="J184" s="24"/>
      <x:c r="K184" s="38"/>
      <x:c r="L184" s="38"/>
      <x:c r="M184" s="38"/>
      <x:c r="N184" s="39"/>
      <x:c r="O184" s="24"/>
      <x:c r="P184" s="24"/>
      <x:c r="Q184" s="38"/>
      <x:c r="R184" s="38"/>
      <x:c r="S184" s="24"/>
      <x:c r="T184" s="24"/>
      <x:c r="U184" s="37" t="str">
        <x:f>IF(OR(J184="",Q184="",R184=""),"",J184&amp;"|"&amp;Q184&amp;"|"&amp;R184)</x:f>
      </x:c>
      <x:c r="V184" s="24"/>
      <x:c r="W184" s="24"/>
      <x:c r="X184" s="40"/>
      <x:c r="Y184" s="40"/>
      <x:c r="Z184" s="39"/>
      <x:c r="AA184" s="39"/>
      <x:c r="AB184" s="24"/>
    </x:row>
    <x:row r="185" ht="23" customHeight="1">
      <x:c r="A185" s="20"/>
      <x:c r="B185" s="5"/>
      <x:c r="C185" s="4"/>
      <x:c r="D185" s="34" t="str">
        <x:f>IF(OR(A185="",U185="",COUNTIF('Project codes'!$A$7:$A$106,U185)&lt;&gt;1),"",_xlfn.XLOOKUP(U185,'Project codes'!$A$7:$A$106,'Project codes'!$I$7:$I$106,"",0))</x:f>
      </x:c>
      <x:c r="E185" s="4"/>
      <x:c r="F185" s="35" t="str">
        <x:f>IF(AND(ISNUMBER(N185),N185&gt;=0,O185="Complete"),N185/3600000,"")</x:f>
      </x:c>
      <x:c r="G185" s="4"/>
      <x:c r="H185" s="4"/>
      <x:c r="I185" s="36" t="str">
        <x:f>IF(COUNTA(A185:C185,E185,G185:H185,J185:T185,V185:AB185)=0,"",IF(A185="","Review: missing entry ID",IF(COUNTIF($A$7:$A$506,A185)&gt;1,"Review: duplicate entry ID",IF(NOT(ISNUMBER(B185)),"Review: work date",IF(OR(C185="",E185="",K185="",M185="",H185=""),"Review: source details",IF(J185&lt;&gt;'Estimate review'!$J$5,"Review: project scope",IF(OR(NOT(ISNUMBER(N185)),N185&lt;0,O185&lt;&gt;"Complete"),"Review: duration",IF(S185&lt;&gt;"Coded","Review: coding status",IF(OR(U185="",COUNTIF('Project codes'!$A$7:$A$106,U185)=0),"Review: SOW mapping",IF(COUNTIF('Project codes'!$A$7:$A$106,U185)&gt;1,"Review: duplicate code",IF(_xlfn.XLOOKUP(U185,'Project codes'!$A$7:$A$106,'Project codes'!$F$7:$F$106,"Review",0)="Hold","Review: allocation hold",IF(OR(D185="",COUNTIF('SOW register'!$A$7:$A$36,D185)&lt;&gt;1),"Review: SOW mapping",IF(AND(G185&lt;&gt;"Yes",G185&lt;&gt;"No"),"Review: billability",IF(AB185="","Review: billing evidence","OK"))))))))))))))</x:f>
      </x:c>
      <x:c r="J185" s="24"/>
      <x:c r="K185" s="38"/>
      <x:c r="L185" s="38"/>
      <x:c r="M185" s="38"/>
      <x:c r="N185" s="39"/>
      <x:c r="O185" s="24"/>
      <x:c r="P185" s="24"/>
      <x:c r="Q185" s="38"/>
      <x:c r="R185" s="38"/>
      <x:c r="S185" s="24"/>
      <x:c r="T185" s="24"/>
      <x:c r="U185" s="37" t="str">
        <x:f>IF(OR(J185="",Q185="",R185=""),"",J185&amp;"|"&amp;Q185&amp;"|"&amp;R185)</x:f>
      </x:c>
      <x:c r="V185" s="24"/>
      <x:c r="W185" s="24"/>
      <x:c r="X185" s="40"/>
      <x:c r="Y185" s="40"/>
      <x:c r="Z185" s="39"/>
      <x:c r="AA185" s="39"/>
      <x:c r="AB185" s="24"/>
    </x:row>
    <x:row r="186" ht="23" customHeight="1">
      <x:c r="A186" s="20"/>
      <x:c r="B186" s="5"/>
      <x:c r="C186" s="4"/>
      <x:c r="D186" s="34" t="str">
        <x:f>IF(OR(A186="",U186="",COUNTIF('Project codes'!$A$7:$A$106,U186)&lt;&gt;1),"",_xlfn.XLOOKUP(U186,'Project codes'!$A$7:$A$106,'Project codes'!$I$7:$I$106,"",0))</x:f>
      </x:c>
      <x:c r="E186" s="4"/>
      <x:c r="F186" s="35" t="str">
        <x:f>IF(AND(ISNUMBER(N186),N186&gt;=0,O186="Complete"),N186/3600000,"")</x:f>
      </x:c>
      <x:c r="G186" s="4"/>
      <x:c r="H186" s="4"/>
      <x:c r="I186" s="36" t="str">
        <x:f>IF(COUNTA(A186:C186,E186,G186:H186,J186:T186,V186:AB186)=0,"",IF(A186="","Review: missing entry ID",IF(COUNTIF($A$7:$A$506,A186)&gt;1,"Review: duplicate entry ID",IF(NOT(ISNUMBER(B186)),"Review: work date",IF(OR(C186="",E186="",K186="",M186="",H186=""),"Review: source details",IF(J186&lt;&gt;'Estimate review'!$J$5,"Review: project scope",IF(OR(NOT(ISNUMBER(N186)),N186&lt;0,O186&lt;&gt;"Complete"),"Review: duration",IF(S186&lt;&gt;"Coded","Review: coding status",IF(OR(U186="",COUNTIF('Project codes'!$A$7:$A$106,U186)=0),"Review: SOW mapping",IF(COUNTIF('Project codes'!$A$7:$A$106,U186)&gt;1,"Review: duplicate code",IF(_xlfn.XLOOKUP(U186,'Project codes'!$A$7:$A$106,'Project codes'!$F$7:$F$106,"Review",0)="Hold","Review: allocation hold",IF(OR(D186="",COUNTIF('SOW register'!$A$7:$A$36,D186)&lt;&gt;1),"Review: SOW mapping",IF(AND(G186&lt;&gt;"Yes",G186&lt;&gt;"No"),"Review: billability",IF(AB186="","Review: billing evidence","OK"))))))))))))))</x:f>
      </x:c>
      <x:c r="J186" s="24"/>
      <x:c r="K186" s="38"/>
      <x:c r="L186" s="38"/>
      <x:c r="M186" s="38"/>
      <x:c r="N186" s="39"/>
      <x:c r="O186" s="24"/>
      <x:c r="P186" s="24"/>
      <x:c r="Q186" s="38"/>
      <x:c r="R186" s="38"/>
      <x:c r="S186" s="24"/>
      <x:c r="T186" s="24"/>
      <x:c r="U186" s="37" t="str">
        <x:f>IF(OR(J186="",Q186="",R186=""),"",J186&amp;"|"&amp;Q186&amp;"|"&amp;R186)</x:f>
      </x:c>
      <x:c r="V186" s="24"/>
      <x:c r="W186" s="24"/>
      <x:c r="X186" s="40"/>
      <x:c r="Y186" s="40"/>
      <x:c r="Z186" s="39"/>
      <x:c r="AA186" s="39"/>
      <x:c r="AB186" s="24"/>
    </x:row>
    <x:row r="187" ht="23" customHeight="1">
      <x:c r="A187" s="20"/>
      <x:c r="B187" s="5"/>
      <x:c r="C187" s="4"/>
      <x:c r="D187" s="34" t="str">
        <x:f>IF(OR(A187="",U187="",COUNTIF('Project codes'!$A$7:$A$106,U187)&lt;&gt;1),"",_xlfn.XLOOKUP(U187,'Project codes'!$A$7:$A$106,'Project codes'!$I$7:$I$106,"",0))</x:f>
      </x:c>
      <x:c r="E187" s="4"/>
      <x:c r="F187" s="35" t="str">
        <x:f>IF(AND(ISNUMBER(N187),N187&gt;=0,O187="Complete"),N187/3600000,"")</x:f>
      </x:c>
      <x:c r="G187" s="4"/>
      <x:c r="H187" s="4"/>
      <x:c r="I187" s="36" t="str">
        <x:f>IF(COUNTA(A187:C187,E187,G187:H187,J187:T187,V187:AB187)=0,"",IF(A187="","Review: missing entry ID",IF(COUNTIF($A$7:$A$506,A187)&gt;1,"Review: duplicate entry ID",IF(NOT(ISNUMBER(B187)),"Review: work date",IF(OR(C187="",E187="",K187="",M187="",H187=""),"Review: source details",IF(J187&lt;&gt;'Estimate review'!$J$5,"Review: project scope",IF(OR(NOT(ISNUMBER(N187)),N187&lt;0,O187&lt;&gt;"Complete"),"Review: duration",IF(S187&lt;&gt;"Coded","Review: coding status",IF(OR(U187="",COUNTIF('Project codes'!$A$7:$A$106,U187)=0),"Review: SOW mapping",IF(COUNTIF('Project codes'!$A$7:$A$106,U187)&gt;1,"Review: duplicate code",IF(_xlfn.XLOOKUP(U187,'Project codes'!$A$7:$A$106,'Project codes'!$F$7:$F$106,"Review",0)="Hold","Review: allocation hold",IF(OR(D187="",COUNTIF('SOW register'!$A$7:$A$36,D187)&lt;&gt;1),"Review: SOW mapping",IF(AND(G187&lt;&gt;"Yes",G187&lt;&gt;"No"),"Review: billability",IF(AB187="","Review: billing evidence","OK"))))))))))))))</x:f>
      </x:c>
      <x:c r="J187" s="24"/>
      <x:c r="K187" s="38"/>
      <x:c r="L187" s="38"/>
      <x:c r="M187" s="38"/>
      <x:c r="N187" s="39"/>
      <x:c r="O187" s="24"/>
      <x:c r="P187" s="24"/>
      <x:c r="Q187" s="38"/>
      <x:c r="R187" s="38"/>
      <x:c r="S187" s="24"/>
      <x:c r="T187" s="24"/>
      <x:c r="U187" s="37" t="str">
        <x:f>IF(OR(J187="",Q187="",R187=""),"",J187&amp;"|"&amp;Q187&amp;"|"&amp;R187)</x:f>
      </x:c>
      <x:c r="V187" s="24"/>
      <x:c r="W187" s="24"/>
      <x:c r="X187" s="40"/>
      <x:c r="Y187" s="40"/>
      <x:c r="Z187" s="39"/>
      <x:c r="AA187" s="39"/>
      <x:c r="AB187" s="24"/>
    </x:row>
    <x:row r="188" ht="23" customHeight="1">
      <x:c r="A188" s="20"/>
      <x:c r="B188" s="5"/>
      <x:c r="C188" s="4"/>
      <x:c r="D188" s="34" t="str">
        <x:f>IF(OR(A188="",U188="",COUNTIF('Project codes'!$A$7:$A$106,U188)&lt;&gt;1),"",_xlfn.XLOOKUP(U188,'Project codes'!$A$7:$A$106,'Project codes'!$I$7:$I$106,"",0))</x:f>
      </x:c>
      <x:c r="E188" s="4"/>
      <x:c r="F188" s="35" t="str">
        <x:f>IF(AND(ISNUMBER(N188),N188&gt;=0,O188="Complete"),N188/3600000,"")</x:f>
      </x:c>
      <x:c r="G188" s="4"/>
      <x:c r="H188" s="4"/>
      <x:c r="I188" s="36" t="str">
        <x:f>IF(COUNTA(A188:C188,E188,G188:H188,J188:T188,V188:AB188)=0,"",IF(A188="","Review: missing entry ID",IF(COUNTIF($A$7:$A$506,A188)&gt;1,"Review: duplicate entry ID",IF(NOT(ISNUMBER(B188)),"Review: work date",IF(OR(C188="",E188="",K188="",M188="",H188=""),"Review: source details",IF(J188&lt;&gt;'Estimate review'!$J$5,"Review: project scope",IF(OR(NOT(ISNUMBER(N188)),N188&lt;0,O188&lt;&gt;"Complete"),"Review: duration",IF(S188&lt;&gt;"Coded","Review: coding status",IF(OR(U188="",COUNTIF('Project codes'!$A$7:$A$106,U188)=0),"Review: SOW mapping",IF(COUNTIF('Project codes'!$A$7:$A$106,U188)&gt;1,"Review: duplicate code",IF(_xlfn.XLOOKUP(U188,'Project codes'!$A$7:$A$106,'Project codes'!$F$7:$F$106,"Review",0)="Hold","Review: allocation hold",IF(OR(D188="",COUNTIF('SOW register'!$A$7:$A$36,D188)&lt;&gt;1),"Review: SOW mapping",IF(AND(G188&lt;&gt;"Yes",G188&lt;&gt;"No"),"Review: billability",IF(AB188="","Review: billing evidence","OK"))))))))))))))</x:f>
      </x:c>
      <x:c r="J188" s="24"/>
      <x:c r="K188" s="38"/>
      <x:c r="L188" s="38"/>
      <x:c r="M188" s="38"/>
      <x:c r="N188" s="39"/>
      <x:c r="O188" s="24"/>
      <x:c r="P188" s="24"/>
      <x:c r="Q188" s="38"/>
      <x:c r="R188" s="38"/>
      <x:c r="S188" s="24"/>
      <x:c r="T188" s="24"/>
      <x:c r="U188" s="37" t="str">
        <x:f>IF(OR(J188="",Q188="",R188=""),"",J188&amp;"|"&amp;Q188&amp;"|"&amp;R188)</x:f>
      </x:c>
      <x:c r="V188" s="24"/>
      <x:c r="W188" s="24"/>
      <x:c r="X188" s="40"/>
      <x:c r="Y188" s="40"/>
      <x:c r="Z188" s="39"/>
      <x:c r="AA188" s="39"/>
      <x:c r="AB188" s="24"/>
    </x:row>
    <x:row r="189" ht="23" customHeight="1">
      <x:c r="A189" s="20"/>
      <x:c r="B189" s="5"/>
      <x:c r="C189" s="4"/>
      <x:c r="D189" s="34" t="str">
        <x:f>IF(OR(A189="",U189="",COUNTIF('Project codes'!$A$7:$A$106,U189)&lt;&gt;1),"",_xlfn.XLOOKUP(U189,'Project codes'!$A$7:$A$106,'Project codes'!$I$7:$I$106,"",0))</x:f>
      </x:c>
      <x:c r="E189" s="4"/>
      <x:c r="F189" s="35" t="str">
        <x:f>IF(AND(ISNUMBER(N189),N189&gt;=0,O189="Complete"),N189/3600000,"")</x:f>
      </x:c>
      <x:c r="G189" s="4"/>
      <x:c r="H189" s="4"/>
      <x:c r="I189" s="36" t="str">
        <x:f>IF(COUNTA(A189:C189,E189,G189:H189,J189:T189,V189:AB189)=0,"",IF(A189="","Review: missing entry ID",IF(COUNTIF($A$7:$A$506,A189)&gt;1,"Review: duplicate entry ID",IF(NOT(ISNUMBER(B189)),"Review: work date",IF(OR(C189="",E189="",K189="",M189="",H189=""),"Review: source details",IF(J189&lt;&gt;'Estimate review'!$J$5,"Review: project scope",IF(OR(NOT(ISNUMBER(N189)),N189&lt;0,O189&lt;&gt;"Complete"),"Review: duration",IF(S189&lt;&gt;"Coded","Review: coding status",IF(OR(U189="",COUNTIF('Project codes'!$A$7:$A$106,U189)=0),"Review: SOW mapping",IF(COUNTIF('Project codes'!$A$7:$A$106,U189)&gt;1,"Review: duplicate code",IF(_xlfn.XLOOKUP(U189,'Project codes'!$A$7:$A$106,'Project codes'!$F$7:$F$106,"Review",0)="Hold","Review: allocation hold",IF(OR(D189="",COUNTIF('SOW register'!$A$7:$A$36,D189)&lt;&gt;1),"Review: SOW mapping",IF(AND(G189&lt;&gt;"Yes",G189&lt;&gt;"No"),"Review: billability",IF(AB189="","Review: billing evidence","OK"))))))))))))))</x:f>
      </x:c>
      <x:c r="J189" s="24"/>
      <x:c r="K189" s="38"/>
      <x:c r="L189" s="38"/>
      <x:c r="M189" s="38"/>
      <x:c r="N189" s="39"/>
      <x:c r="O189" s="24"/>
      <x:c r="P189" s="24"/>
      <x:c r="Q189" s="38"/>
      <x:c r="R189" s="38"/>
      <x:c r="S189" s="24"/>
      <x:c r="T189" s="24"/>
      <x:c r="U189" s="37" t="str">
        <x:f>IF(OR(J189="",Q189="",R189=""),"",J189&amp;"|"&amp;Q189&amp;"|"&amp;R189)</x:f>
      </x:c>
      <x:c r="V189" s="24"/>
      <x:c r="W189" s="24"/>
      <x:c r="X189" s="40"/>
      <x:c r="Y189" s="40"/>
      <x:c r="Z189" s="39"/>
      <x:c r="AA189" s="39"/>
      <x:c r="AB189" s="24"/>
    </x:row>
    <x:row r="190" ht="23" customHeight="1">
      <x:c r="A190" s="20"/>
      <x:c r="B190" s="5"/>
      <x:c r="C190" s="4"/>
      <x:c r="D190" s="34" t="str">
        <x:f>IF(OR(A190="",U190="",COUNTIF('Project codes'!$A$7:$A$106,U190)&lt;&gt;1),"",_xlfn.XLOOKUP(U190,'Project codes'!$A$7:$A$106,'Project codes'!$I$7:$I$106,"",0))</x:f>
      </x:c>
      <x:c r="E190" s="4"/>
      <x:c r="F190" s="35" t="str">
        <x:f>IF(AND(ISNUMBER(N190),N190&gt;=0,O190="Complete"),N190/3600000,"")</x:f>
      </x:c>
      <x:c r="G190" s="4"/>
      <x:c r="H190" s="4"/>
      <x:c r="I190" s="36" t="str">
        <x:f>IF(COUNTA(A190:C190,E190,G190:H190,J190:T190,V190:AB190)=0,"",IF(A190="","Review: missing entry ID",IF(COUNTIF($A$7:$A$506,A190)&gt;1,"Review: duplicate entry ID",IF(NOT(ISNUMBER(B190)),"Review: work date",IF(OR(C190="",E190="",K190="",M190="",H190=""),"Review: source details",IF(J190&lt;&gt;'Estimate review'!$J$5,"Review: project scope",IF(OR(NOT(ISNUMBER(N190)),N190&lt;0,O190&lt;&gt;"Complete"),"Review: duration",IF(S190&lt;&gt;"Coded","Review: coding status",IF(OR(U190="",COUNTIF('Project codes'!$A$7:$A$106,U190)=0),"Review: SOW mapping",IF(COUNTIF('Project codes'!$A$7:$A$106,U190)&gt;1,"Review: duplicate code",IF(_xlfn.XLOOKUP(U190,'Project codes'!$A$7:$A$106,'Project codes'!$F$7:$F$106,"Review",0)="Hold","Review: allocation hold",IF(OR(D190="",COUNTIF('SOW register'!$A$7:$A$36,D190)&lt;&gt;1),"Review: SOW mapping",IF(AND(G190&lt;&gt;"Yes",G190&lt;&gt;"No"),"Review: billability",IF(AB190="","Review: billing evidence","OK"))))))))))))))</x:f>
      </x:c>
      <x:c r="J190" s="24"/>
      <x:c r="K190" s="38"/>
      <x:c r="L190" s="38"/>
      <x:c r="M190" s="38"/>
      <x:c r="N190" s="39"/>
      <x:c r="O190" s="24"/>
      <x:c r="P190" s="24"/>
      <x:c r="Q190" s="38"/>
      <x:c r="R190" s="38"/>
      <x:c r="S190" s="24"/>
      <x:c r="T190" s="24"/>
      <x:c r="U190" s="37" t="str">
        <x:f>IF(OR(J190="",Q190="",R190=""),"",J190&amp;"|"&amp;Q190&amp;"|"&amp;R190)</x:f>
      </x:c>
      <x:c r="V190" s="24"/>
      <x:c r="W190" s="24"/>
      <x:c r="X190" s="40"/>
      <x:c r="Y190" s="40"/>
      <x:c r="Z190" s="39"/>
      <x:c r="AA190" s="39"/>
      <x:c r="AB190" s="24"/>
    </x:row>
    <x:row r="191" ht="23" customHeight="1">
      <x:c r="A191" s="20"/>
      <x:c r="B191" s="5"/>
      <x:c r="C191" s="4"/>
      <x:c r="D191" s="34" t="str">
        <x:f>IF(OR(A191="",U191="",COUNTIF('Project codes'!$A$7:$A$106,U191)&lt;&gt;1),"",_xlfn.XLOOKUP(U191,'Project codes'!$A$7:$A$106,'Project codes'!$I$7:$I$106,"",0))</x:f>
      </x:c>
      <x:c r="E191" s="4"/>
      <x:c r="F191" s="35" t="str">
        <x:f>IF(AND(ISNUMBER(N191),N191&gt;=0,O191="Complete"),N191/3600000,"")</x:f>
      </x:c>
      <x:c r="G191" s="4"/>
      <x:c r="H191" s="4"/>
      <x:c r="I191" s="36" t="str">
        <x:f>IF(COUNTA(A191:C191,E191,G191:H191,J191:T191,V191:AB191)=0,"",IF(A191="","Review: missing entry ID",IF(COUNTIF($A$7:$A$506,A191)&gt;1,"Review: duplicate entry ID",IF(NOT(ISNUMBER(B191)),"Review: work date",IF(OR(C191="",E191="",K191="",M191="",H191=""),"Review: source details",IF(J191&lt;&gt;'Estimate review'!$J$5,"Review: project scope",IF(OR(NOT(ISNUMBER(N191)),N191&lt;0,O191&lt;&gt;"Complete"),"Review: duration",IF(S191&lt;&gt;"Coded","Review: coding status",IF(OR(U191="",COUNTIF('Project codes'!$A$7:$A$106,U191)=0),"Review: SOW mapping",IF(COUNTIF('Project codes'!$A$7:$A$106,U191)&gt;1,"Review: duplicate code",IF(_xlfn.XLOOKUP(U191,'Project codes'!$A$7:$A$106,'Project codes'!$F$7:$F$106,"Review",0)="Hold","Review: allocation hold",IF(OR(D191="",COUNTIF('SOW register'!$A$7:$A$36,D191)&lt;&gt;1),"Review: SOW mapping",IF(AND(G191&lt;&gt;"Yes",G191&lt;&gt;"No"),"Review: billability",IF(AB191="","Review: billing evidence","OK"))))))))))))))</x:f>
      </x:c>
      <x:c r="J191" s="24"/>
      <x:c r="K191" s="38"/>
      <x:c r="L191" s="38"/>
      <x:c r="M191" s="38"/>
      <x:c r="N191" s="39"/>
      <x:c r="O191" s="24"/>
      <x:c r="P191" s="24"/>
      <x:c r="Q191" s="38"/>
      <x:c r="R191" s="38"/>
      <x:c r="S191" s="24"/>
      <x:c r="T191" s="24"/>
      <x:c r="U191" s="37" t="str">
        <x:f>IF(OR(J191="",Q191="",R191=""),"",J191&amp;"|"&amp;Q191&amp;"|"&amp;R191)</x:f>
      </x:c>
      <x:c r="V191" s="24"/>
      <x:c r="W191" s="24"/>
      <x:c r="X191" s="40"/>
      <x:c r="Y191" s="40"/>
      <x:c r="Z191" s="39"/>
      <x:c r="AA191" s="39"/>
      <x:c r="AB191" s="24"/>
    </x:row>
    <x:row r="192" ht="23" customHeight="1">
      <x:c r="A192" s="20"/>
      <x:c r="B192" s="5"/>
      <x:c r="C192" s="4"/>
      <x:c r="D192" s="34" t="str">
        <x:f>IF(OR(A192="",U192="",COUNTIF('Project codes'!$A$7:$A$106,U192)&lt;&gt;1),"",_xlfn.XLOOKUP(U192,'Project codes'!$A$7:$A$106,'Project codes'!$I$7:$I$106,"",0))</x:f>
      </x:c>
      <x:c r="E192" s="4"/>
      <x:c r="F192" s="35" t="str">
        <x:f>IF(AND(ISNUMBER(N192),N192&gt;=0,O192="Complete"),N192/3600000,"")</x:f>
      </x:c>
      <x:c r="G192" s="4"/>
      <x:c r="H192" s="4"/>
      <x:c r="I192" s="36" t="str">
        <x:f>IF(COUNTA(A192:C192,E192,G192:H192,J192:T192,V192:AB192)=0,"",IF(A192="","Review: missing entry ID",IF(COUNTIF($A$7:$A$506,A192)&gt;1,"Review: duplicate entry ID",IF(NOT(ISNUMBER(B192)),"Review: work date",IF(OR(C192="",E192="",K192="",M192="",H192=""),"Review: source details",IF(J192&lt;&gt;'Estimate review'!$J$5,"Review: project scope",IF(OR(NOT(ISNUMBER(N192)),N192&lt;0,O192&lt;&gt;"Complete"),"Review: duration",IF(S192&lt;&gt;"Coded","Review: coding status",IF(OR(U192="",COUNTIF('Project codes'!$A$7:$A$106,U192)=0),"Review: SOW mapping",IF(COUNTIF('Project codes'!$A$7:$A$106,U192)&gt;1,"Review: duplicate code",IF(_xlfn.XLOOKUP(U192,'Project codes'!$A$7:$A$106,'Project codes'!$F$7:$F$106,"Review",0)="Hold","Review: allocation hold",IF(OR(D192="",COUNTIF('SOW register'!$A$7:$A$36,D192)&lt;&gt;1),"Review: SOW mapping",IF(AND(G192&lt;&gt;"Yes",G192&lt;&gt;"No"),"Review: billability",IF(AB192="","Review: billing evidence","OK"))))))))))))))</x:f>
      </x:c>
      <x:c r="J192" s="24"/>
      <x:c r="K192" s="38"/>
      <x:c r="L192" s="38"/>
      <x:c r="M192" s="38"/>
      <x:c r="N192" s="39"/>
      <x:c r="O192" s="24"/>
      <x:c r="P192" s="24"/>
      <x:c r="Q192" s="38"/>
      <x:c r="R192" s="38"/>
      <x:c r="S192" s="24"/>
      <x:c r="T192" s="24"/>
      <x:c r="U192" s="37" t="str">
        <x:f>IF(OR(J192="",Q192="",R192=""),"",J192&amp;"|"&amp;Q192&amp;"|"&amp;R192)</x:f>
      </x:c>
      <x:c r="V192" s="24"/>
      <x:c r="W192" s="24"/>
      <x:c r="X192" s="40"/>
      <x:c r="Y192" s="40"/>
      <x:c r="Z192" s="39"/>
      <x:c r="AA192" s="39"/>
      <x:c r="AB192" s="24"/>
    </x:row>
    <x:row r="193" ht="23" customHeight="1">
      <x:c r="A193" s="20"/>
      <x:c r="B193" s="5"/>
      <x:c r="C193" s="4"/>
      <x:c r="D193" s="34" t="str">
        <x:f>IF(OR(A193="",U193="",COUNTIF('Project codes'!$A$7:$A$106,U193)&lt;&gt;1),"",_xlfn.XLOOKUP(U193,'Project codes'!$A$7:$A$106,'Project codes'!$I$7:$I$106,"",0))</x:f>
      </x:c>
      <x:c r="E193" s="4"/>
      <x:c r="F193" s="35" t="str">
        <x:f>IF(AND(ISNUMBER(N193),N193&gt;=0,O193="Complete"),N193/3600000,"")</x:f>
      </x:c>
      <x:c r="G193" s="4"/>
      <x:c r="H193" s="4"/>
      <x:c r="I193" s="36" t="str">
        <x:f>IF(COUNTA(A193:C193,E193,G193:H193,J193:T193,V193:AB193)=0,"",IF(A193="","Review: missing entry ID",IF(COUNTIF($A$7:$A$506,A193)&gt;1,"Review: duplicate entry ID",IF(NOT(ISNUMBER(B193)),"Review: work date",IF(OR(C193="",E193="",K193="",M193="",H193=""),"Review: source details",IF(J193&lt;&gt;'Estimate review'!$J$5,"Review: project scope",IF(OR(NOT(ISNUMBER(N193)),N193&lt;0,O193&lt;&gt;"Complete"),"Review: duration",IF(S193&lt;&gt;"Coded","Review: coding status",IF(OR(U193="",COUNTIF('Project codes'!$A$7:$A$106,U193)=0),"Review: SOW mapping",IF(COUNTIF('Project codes'!$A$7:$A$106,U193)&gt;1,"Review: duplicate code",IF(_xlfn.XLOOKUP(U193,'Project codes'!$A$7:$A$106,'Project codes'!$F$7:$F$106,"Review",0)="Hold","Review: allocation hold",IF(OR(D193="",COUNTIF('SOW register'!$A$7:$A$36,D193)&lt;&gt;1),"Review: SOW mapping",IF(AND(G193&lt;&gt;"Yes",G193&lt;&gt;"No"),"Review: billability",IF(AB193="","Review: billing evidence","OK"))))))))))))))</x:f>
      </x:c>
      <x:c r="J193" s="24"/>
      <x:c r="K193" s="38"/>
      <x:c r="L193" s="38"/>
      <x:c r="M193" s="38"/>
      <x:c r="N193" s="39"/>
      <x:c r="O193" s="24"/>
      <x:c r="P193" s="24"/>
      <x:c r="Q193" s="38"/>
      <x:c r="R193" s="38"/>
      <x:c r="S193" s="24"/>
      <x:c r="T193" s="24"/>
      <x:c r="U193" s="37" t="str">
        <x:f>IF(OR(J193="",Q193="",R193=""),"",J193&amp;"|"&amp;Q193&amp;"|"&amp;R193)</x:f>
      </x:c>
      <x:c r="V193" s="24"/>
      <x:c r="W193" s="24"/>
      <x:c r="X193" s="40"/>
      <x:c r="Y193" s="40"/>
      <x:c r="Z193" s="39"/>
      <x:c r="AA193" s="39"/>
      <x:c r="AB193" s="24"/>
    </x:row>
    <x:row r="194" ht="23" customHeight="1">
      <x:c r="A194" s="20"/>
      <x:c r="B194" s="5"/>
      <x:c r="C194" s="4"/>
      <x:c r="D194" s="34" t="str">
        <x:f>IF(OR(A194="",U194="",COUNTIF('Project codes'!$A$7:$A$106,U194)&lt;&gt;1),"",_xlfn.XLOOKUP(U194,'Project codes'!$A$7:$A$106,'Project codes'!$I$7:$I$106,"",0))</x:f>
      </x:c>
      <x:c r="E194" s="4"/>
      <x:c r="F194" s="35" t="str">
        <x:f>IF(AND(ISNUMBER(N194),N194&gt;=0,O194="Complete"),N194/3600000,"")</x:f>
      </x:c>
      <x:c r="G194" s="4"/>
      <x:c r="H194" s="4"/>
      <x:c r="I194" s="36" t="str">
        <x:f>IF(COUNTA(A194:C194,E194,G194:H194,J194:T194,V194:AB194)=0,"",IF(A194="","Review: missing entry ID",IF(COUNTIF($A$7:$A$506,A194)&gt;1,"Review: duplicate entry ID",IF(NOT(ISNUMBER(B194)),"Review: work date",IF(OR(C194="",E194="",K194="",M194="",H194=""),"Review: source details",IF(J194&lt;&gt;'Estimate review'!$J$5,"Review: project scope",IF(OR(NOT(ISNUMBER(N194)),N194&lt;0,O194&lt;&gt;"Complete"),"Review: duration",IF(S194&lt;&gt;"Coded","Review: coding status",IF(OR(U194="",COUNTIF('Project codes'!$A$7:$A$106,U194)=0),"Review: SOW mapping",IF(COUNTIF('Project codes'!$A$7:$A$106,U194)&gt;1,"Review: duplicate code",IF(_xlfn.XLOOKUP(U194,'Project codes'!$A$7:$A$106,'Project codes'!$F$7:$F$106,"Review",0)="Hold","Review: allocation hold",IF(OR(D194="",COUNTIF('SOW register'!$A$7:$A$36,D194)&lt;&gt;1),"Review: SOW mapping",IF(AND(G194&lt;&gt;"Yes",G194&lt;&gt;"No"),"Review: billability",IF(AB194="","Review: billing evidence","OK"))))))))))))))</x:f>
      </x:c>
      <x:c r="J194" s="24"/>
      <x:c r="K194" s="38"/>
      <x:c r="L194" s="38"/>
      <x:c r="M194" s="38"/>
      <x:c r="N194" s="39"/>
      <x:c r="O194" s="24"/>
      <x:c r="P194" s="24"/>
      <x:c r="Q194" s="38"/>
      <x:c r="R194" s="38"/>
      <x:c r="S194" s="24"/>
      <x:c r="T194" s="24"/>
      <x:c r="U194" s="37" t="str">
        <x:f>IF(OR(J194="",Q194="",R194=""),"",J194&amp;"|"&amp;Q194&amp;"|"&amp;R194)</x:f>
      </x:c>
      <x:c r="V194" s="24"/>
      <x:c r="W194" s="24"/>
      <x:c r="X194" s="40"/>
      <x:c r="Y194" s="40"/>
      <x:c r="Z194" s="39"/>
      <x:c r="AA194" s="39"/>
      <x:c r="AB194" s="24"/>
    </x:row>
    <x:row r="195" ht="23" customHeight="1">
      <x:c r="A195" s="20"/>
      <x:c r="B195" s="5"/>
      <x:c r="C195" s="4"/>
      <x:c r="D195" s="34" t="str">
        <x:f>IF(OR(A195="",U195="",COUNTIF('Project codes'!$A$7:$A$106,U195)&lt;&gt;1),"",_xlfn.XLOOKUP(U195,'Project codes'!$A$7:$A$106,'Project codes'!$I$7:$I$106,"",0))</x:f>
      </x:c>
      <x:c r="E195" s="4"/>
      <x:c r="F195" s="35" t="str">
        <x:f>IF(AND(ISNUMBER(N195),N195&gt;=0,O195="Complete"),N195/3600000,"")</x:f>
      </x:c>
      <x:c r="G195" s="4"/>
      <x:c r="H195" s="4"/>
      <x:c r="I195" s="36" t="str">
        <x:f>IF(COUNTA(A195:C195,E195,G195:H195,J195:T195,V195:AB195)=0,"",IF(A195="","Review: missing entry ID",IF(COUNTIF($A$7:$A$506,A195)&gt;1,"Review: duplicate entry ID",IF(NOT(ISNUMBER(B195)),"Review: work date",IF(OR(C195="",E195="",K195="",M195="",H195=""),"Review: source details",IF(J195&lt;&gt;'Estimate review'!$J$5,"Review: project scope",IF(OR(NOT(ISNUMBER(N195)),N195&lt;0,O195&lt;&gt;"Complete"),"Review: duration",IF(S195&lt;&gt;"Coded","Review: coding status",IF(OR(U195="",COUNTIF('Project codes'!$A$7:$A$106,U195)=0),"Review: SOW mapping",IF(COUNTIF('Project codes'!$A$7:$A$106,U195)&gt;1,"Review: duplicate code",IF(_xlfn.XLOOKUP(U195,'Project codes'!$A$7:$A$106,'Project codes'!$F$7:$F$106,"Review",0)="Hold","Review: allocation hold",IF(OR(D195="",COUNTIF('SOW register'!$A$7:$A$36,D195)&lt;&gt;1),"Review: SOW mapping",IF(AND(G195&lt;&gt;"Yes",G195&lt;&gt;"No"),"Review: billability",IF(AB195="","Review: billing evidence","OK"))))))))))))))</x:f>
      </x:c>
      <x:c r="J195" s="24"/>
      <x:c r="K195" s="38"/>
      <x:c r="L195" s="38"/>
      <x:c r="M195" s="38"/>
      <x:c r="N195" s="39"/>
      <x:c r="O195" s="24"/>
      <x:c r="P195" s="24"/>
      <x:c r="Q195" s="38"/>
      <x:c r="R195" s="38"/>
      <x:c r="S195" s="24"/>
      <x:c r="T195" s="24"/>
      <x:c r="U195" s="37" t="str">
        <x:f>IF(OR(J195="",Q195="",R195=""),"",J195&amp;"|"&amp;Q195&amp;"|"&amp;R195)</x:f>
      </x:c>
      <x:c r="V195" s="24"/>
      <x:c r="W195" s="24"/>
      <x:c r="X195" s="40"/>
      <x:c r="Y195" s="40"/>
      <x:c r="Z195" s="39"/>
      <x:c r="AA195" s="39"/>
      <x:c r="AB195" s="24"/>
    </x:row>
    <x:row r="196" ht="23" customHeight="1">
      <x:c r="A196" s="20"/>
      <x:c r="B196" s="5"/>
      <x:c r="C196" s="4"/>
      <x:c r="D196" s="34" t="str">
        <x:f>IF(OR(A196="",U196="",COUNTIF('Project codes'!$A$7:$A$106,U196)&lt;&gt;1),"",_xlfn.XLOOKUP(U196,'Project codes'!$A$7:$A$106,'Project codes'!$I$7:$I$106,"",0))</x:f>
      </x:c>
      <x:c r="E196" s="4"/>
      <x:c r="F196" s="35" t="str">
        <x:f>IF(AND(ISNUMBER(N196),N196&gt;=0,O196="Complete"),N196/3600000,"")</x:f>
      </x:c>
      <x:c r="G196" s="4"/>
      <x:c r="H196" s="4"/>
      <x:c r="I196" s="36" t="str">
        <x:f>IF(COUNTA(A196:C196,E196,G196:H196,J196:T196,V196:AB196)=0,"",IF(A196="","Review: missing entry ID",IF(COUNTIF($A$7:$A$506,A196)&gt;1,"Review: duplicate entry ID",IF(NOT(ISNUMBER(B196)),"Review: work date",IF(OR(C196="",E196="",K196="",M196="",H196=""),"Review: source details",IF(J196&lt;&gt;'Estimate review'!$J$5,"Review: project scope",IF(OR(NOT(ISNUMBER(N196)),N196&lt;0,O196&lt;&gt;"Complete"),"Review: duration",IF(S196&lt;&gt;"Coded","Review: coding status",IF(OR(U196="",COUNTIF('Project codes'!$A$7:$A$106,U196)=0),"Review: SOW mapping",IF(COUNTIF('Project codes'!$A$7:$A$106,U196)&gt;1,"Review: duplicate code",IF(_xlfn.XLOOKUP(U196,'Project codes'!$A$7:$A$106,'Project codes'!$F$7:$F$106,"Review",0)="Hold","Review: allocation hold",IF(OR(D196="",COUNTIF('SOW register'!$A$7:$A$36,D196)&lt;&gt;1),"Review: SOW mapping",IF(AND(G196&lt;&gt;"Yes",G196&lt;&gt;"No"),"Review: billability",IF(AB196="","Review: billing evidence","OK"))))))))))))))</x:f>
      </x:c>
      <x:c r="J196" s="24"/>
      <x:c r="K196" s="38"/>
      <x:c r="L196" s="38"/>
      <x:c r="M196" s="38"/>
      <x:c r="N196" s="39"/>
      <x:c r="O196" s="24"/>
      <x:c r="P196" s="24"/>
      <x:c r="Q196" s="38"/>
      <x:c r="R196" s="38"/>
      <x:c r="S196" s="24"/>
      <x:c r="T196" s="24"/>
      <x:c r="U196" s="37" t="str">
        <x:f>IF(OR(J196="",Q196="",R196=""),"",J196&amp;"|"&amp;Q196&amp;"|"&amp;R196)</x:f>
      </x:c>
      <x:c r="V196" s="24"/>
      <x:c r="W196" s="24"/>
      <x:c r="X196" s="40"/>
      <x:c r="Y196" s="40"/>
      <x:c r="Z196" s="39"/>
      <x:c r="AA196" s="39"/>
      <x:c r="AB196" s="24"/>
    </x:row>
    <x:row r="197" ht="23" customHeight="1">
      <x:c r="A197" s="20"/>
      <x:c r="B197" s="5"/>
      <x:c r="C197" s="4"/>
      <x:c r="D197" s="34" t="str">
        <x:f>IF(OR(A197="",U197="",COUNTIF('Project codes'!$A$7:$A$106,U197)&lt;&gt;1),"",_xlfn.XLOOKUP(U197,'Project codes'!$A$7:$A$106,'Project codes'!$I$7:$I$106,"",0))</x:f>
      </x:c>
      <x:c r="E197" s="4"/>
      <x:c r="F197" s="35" t="str">
        <x:f>IF(AND(ISNUMBER(N197),N197&gt;=0,O197="Complete"),N197/3600000,"")</x:f>
      </x:c>
      <x:c r="G197" s="4"/>
      <x:c r="H197" s="4"/>
      <x:c r="I197" s="36" t="str">
        <x:f>IF(COUNTA(A197:C197,E197,G197:H197,J197:T197,V197:AB197)=0,"",IF(A197="","Review: missing entry ID",IF(COUNTIF($A$7:$A$506,A197)&gt;1,"Review: duplicate entry ID",IF(NOT(ISNUMBER(B197)),"Review: work date",IF(OR(C197="",E197="",K197="",M197="",H197=""),"Review: source details",IF(J197&lt;&gt;'Estimate review'!$J$5,"Review: project scope",IF(OR(NOT(ISNUMBER(N197)),N197&lt;0,O197&lt;&gt;"Complete"),"Review: duration",IF(S197&lt;&gt;"Coded","Review: coding status",IF(OR(U197="",COUNTIF('Project codes'!$A$7:$A$106,U197)=0),"Review: SOW mapping",IF(COUNTIF('Project codes'!$A$7:$A$106,U197)&gt;1,"Review: duplicate code",IF(_xlfn.XLOOKUP(U197,'Project codes'!$A$7:$A$106,'Project codes'!$F$7:$F$106,"Review",0)="Hold","Review: allocation hold",IF(OR(D197="",COUNTIF('SOW register'!$A$7:$A$36,D197)&lt;&gt;1),"Review: SOW mapping",IF(AND(G197&lt;&gt;"Yes",G197&lt;&gt;"No"),"Review: billability",IF(AB197="","Review: billing evidence","OK"))))))))))))))</x:f>
      </x:c>
      <x:c r="J197" s="24"/>
      <x:c r="K197" s="38"/>
      <x:c r="L197" s="38"/>
      <x:c r="M197" s="38"/>
      <x:c r="N197" s="39"/>
      <x:c r="O197" s="24"/>
      <x:c r="P197" s="24"/>
      <x:c r="Q197" s="38"/>
      <x:c r="R197" s="38"/>
      <x:c r="S197" s="24"/>
      <x:c r="T197" s="24"/>
      <x:c r="U197" s="37" t="str">
        <x:f>IF(OR(J197="",Q197="",R197=""),"",J197&amp;"|"&amp;Q197&amp;"|"&amp;R197)</x:f>
      </x:c>
      <x:c r="V197" s="24"/>
      <x:c r="W197" s="24"/>
      <x:c r="X197" s="40"/>
      <x:c r="Y197" s="40"/>
      <x:c r="Z197" s="39"/>
      <x:c r="AA197" s="39"/>
      <x:c r="AB197" s="24"/>
    </x:row>
    <x:row r="198" ht="23" customHeight="1">
      <x:c r="A198" s="20"/>
      <x:c r="B198" s="5"/>
      <x:c r="C198" s="4"/>
      <x:c r="D198" s="34" t="str">
        <x:f>IF(OR(A198="",U198="",COUNTIF('Project codes'!$A$7:$A$106,U198)&lt;&gt;1),"",_xlfn.XLOOKUP(U198,'Project codes'!$A$7:$A$106,'Project codes'!$I$7:$I$106,"",0))</x:f>
      </x:c>
      <x:c r="E198" s="4"/>
      <x:c r="F198" s="35" t="str">
        <x:f>IF(AND(ISNUMBER(N198),N198&gt;=0,O198="Complete"),N198/3600000,"")</x:f>
      </x:c>
      <x:c r="G198" s="4"/>
      <x:c r="H198" s="4"/>
      <x:c r="I198" s="36" t="str">
        <x:f>IF(COUNTA(A198:C198,E198,G198:H198,J198:T198,V198:AB198)=0,"",IF(A198="","Review: missing entry ID",IF(COUNTIF($A$7:$A$506,A198)&gt;1,"Review: duplicate entry ID",IF(NOT(ISNUMBER(B198)),"Review: work date",IF(OR(C198="",E198="",K198="",M198="",H198=""),"Review: source details",IF(J198&lt;&gt;'Estimate review'!$J$5,"Review: project scope",IF(OR(NOT(ISNUMBER(N198)),N198&lt;0,O198&lt;&gt;"Complete"),"Review: duration",IF(S198&lt;&gt;"Coded","Review: coding status",IF(OR(U198="",COUNTIF('Project codes'!$A$7:$A$106,U198)=0),"Review: SOW mapping",IF(COUNTIF('Project codes'!$A$7:$A$106,U198)&gt;1,"Review: duplicate code",IF(_xlfn.XLOOKUP(U198,'Project codes'!$A$7:$A$106,'Project codes'!$F$7:$F$106,"Review",0)="Hold","Review: allocation hold",IF(OR(D198="",COUNTIF('SOW register'!$A$7:$A$36,D198)&lt;&gt;1),"Review: SOW mapping",IF(AND(G198&lt;&gt;"Yes",G198&lt;&gt;"No"),"Review: billability",IF(AB198="","Review: billing evidence","OK"))))))))))))))</x:f>
      </x:c>
      <x:c r="J198" s="24"/>
      <x:c r="K198" s="38"/>
      <x:c r="L198" s="38"/>
      <x:c r="M198" s="38"/>
      <x:c r="N198" s="39"/>
      <x:c r="O198" s="24"/>
      <x:c r="P198" s="24"/>
      <x:c r="Q198" s="38"/>
      <x:c r="R198" s="38"/>
      <x:c r="S198" s="24"/>
      <x:c r="T198" s="24"/>
      <x:c r="U198" s="37" t="str">
        <x:f>IF(OR(J198="",Q198="",R198=""),"",J198&amp;"|"&amp;Q198&amp;"|"&amp;R198)</x:f>
      </x:c>
      <x:c r="V198" s="24"/>
      <x:c r="W198" s="24"/>
      <x:c r="X198" s="40"/>
      <x:c r="Y198" s="40"/>
      <x:c r="Z198" s="39"/>
      <x:c r="AA198" s="39"/>
      <x:c r="AB198" s="24"/>
    </x:row>
    <x:row r="199" ht="23" customHeight="1">
      <x:c r="A199" s="20"/>
      <x:c r="B199" s="5"/>
      <x:c r="C199" s="4"/>
      <x:c r="D199" s="34" t="str">
        <x:f>IF(OR(A199="",U199="",COUNTIF('Project codes'!$A$7:$A$106,U199)&lt;&gt;1),"",_xlfn.XLOOKUP(U199,'Project codes'!$A$7:$A$106,'Project codes'!$I$7:$I$106,"",0))</x:f>
      </x:c>
      <x:c r="E199" s="4"/>
      <x:c r="F199" s="35" t="str">
        <x:f>IF(AND(ISNUMBER(N199),N199&gt;=0,O199="Complete"),N199/3600000,"")</x:f>
      </x:c>
      <x:c r="G199" s="4"/>
      <x:c r="H199" s="4"/>
      <x:c r="I199" s="36" t="str">
        <x:f>IF(COUNTA(A199:C199,E199,G199:H199,J199:T199,V199:AB199)=0,"",IF(A199="","Review: missing entry ID",IF(COUNTIF($A$7:$A$506,A199)&gt;1,"Review: duplicate entry ID",IF(NOT(ISNUMBER(B199)),"Review: work date",IF(OR(C199="",E199="",K199="",M199="",H199=""),"Review: source details",IF(J199&lt;&gt;'Estimate review'!$J$5,"Review: project scope",IF(OR(NOT(ISNUMBER(N199)),N199&lt;0,O199&lt;&gt;"Complete"),"Review: duration",IF(S199&lt;&gt;"Coded","Review: coding status",IF(OR(U199="",COUNTIF('Project codes'!$A$7:$A$106,U199)=0),"Review: SOW mapping",IF(COUNTIF('Project codes'!$A$7:$A$106,U199)&gt;1,"Review: duplicate code",IF(_xlfn.XLOOKUP(U199,'Project codes'!$A$7:$A$106,'Project codes'!$F$7:$F$106,"Review",0)="Hold","Review: allocation hold",IF(OR(D199="",COUNTIF('SOW register'!$A$7:$A$36,D199)&lt;&gt;1),"Review: SOW mapping",IF(AND(G199&lt;&gt;"Yes",G199&lt;&gt;"No"),"Review: billability",IF(AB199="","Review: billing evidence","OK"))))))))))))))</x:f>
      </x:c>
      <x:c r="J199" s="24"/>
      <x:c r="K199" s="38"/>
      <x:c r="L199" s="38"/>
      <x:c r="M199" s="38"/>
      <x:c r="N199" s="39"/>
      <x:c r="O199" s="24"/>
      <x:c r="P199" s="24"/>
      <x:c r="Q199" s="38"/>
      <x:c r="R199" s="38"/>
      <x:c r="S199" s="24"/>
      <x:c r="T199" s="24"/>
      <x:c r="U199" s="37" t="str">
        <x:f>IF(OR(J199="",Q199="",R199=""),"",J199&amp;"|"&amp;Q199&amp;"|"&amp;R199)</x:f>
      </x:c>
      <x:c r="V199" s="24"/>
      <x:c r="W199" s="24"/>
      <x:c r="X199" s="40"/>
      <x:c r="Y199" s="40"/>
      <x:c r="Z199" s="39"/>
      <x:c r="AA199" s="39"/>
      <x:c r="AB199" s="24"/>
    </x:row>
    <x:row r="200" ht="23" customHeight="1">
      <x:c r="A200" s="20"/>
      <x:c r="B200" s="5"/>
      <x:c r="C200" s="4"/>
      <x:c r="D200" s="34" t="str">
        <x:f>IF(OR(A200="",U200="",COUNTIF('Project codes'!$A$7:$A$106,U200)&lt;&gt;1),"",_xlfn.XLOOKUP(U200,'Project codes'!$A$7:$A$106,'Project codes'!$I$7:$I$106,"",0))</x:f>
      </x:c>
      <x:c r="E200" s="4"/>
      <x:c r="F200" s="35" t="str">
        <x:f>IF(AND(ISNUMBER(N200),N200&gt;=0,O200="Complete"),N200/3600000,"")</x:f>
      </x:c>
      <x:c r="G200" s="4"/>
      <x:c r="H200" s="4"/>
      <x:c r="I200" s="36" t="str">
        <x:f>IF(COUNTA(A200:C200,E200,G200:H200,J200:T200,V200:AB200)=0,"",IF(A200="","Review: missing entry ID",IF(COUNTIF($A$7:$A$506,A200)&gt;1,"Review: duplicate entry ID",IF(NOT(ISNUMBER(B200)),"Review: work date",IF(OR(C200="",E200="",K200="",M200="",H200=""),"Review: source details",IF(J200&lt;&gt;'Estimate review'!$J$5,"Review: project scope",IF(OR(NOT(ISNUMBER(N200)),N200&lt;0,O200&lt;&gt;"Complete"),"Review: duration",IF(S200&lt;&gt;"Coded","Review: coding status",IF(OR(U200="",COUNTIF('Project codes'!$A$7:$A$106,U200)=0),"Review: SOW mapping",IF(COUNTIF('Project codes'!$A$7:$A$106,U200)&gt;1,"Review: duplicate code",IF(_xlfn.XLOOKUP(U200,'Project codes'!$A$7:$A$106,'Project codes'!$F$7:$F$106,"Review",0)="Hold","Review: allocation hold",IF(OR(D200="",COUNTIF('SOW register'!$A$7:$A$36,D200)&lt;&gt;1),"Review: SOW mapping",IF(AND(G200&lt;&gt;"Yes",G200&lt;&gt;"No"),"Review: billability",IF(AB200="","Review: billing evidence","OK"))))))))))))))</x:f>
      </x:c>
      <x:c r="J200" s="24"/>
      <x:c r="K200" s="38"/>
      <x:c r="L200" s="38"/>
      <x:c r="M200" s="38"/>
      <x:c r="N200" s="39"/>
      <x:c r="O200" s="24"/>
      <x:c r="P200" s="24"/>
      <x:c r="Q200" s="38"/>
      <x:c r="R200" s="38"/>
      <x:c r="S200" s="24"/>
      <x:c r="T200" s="24"/>
      <x:c r="U200" s="37" t="str">
        <x:f>IF(OR(J200="",Q200="",R200=""),"",J200&amp;"|"&amp;Q200&amp;"|"&amp;R200)</x:f>
      </x:c>
      <x:c r="V200" s="24"/>
      <x:c r="W200" s="24"/>
      <x:c r="X200" s="40"/>
      <x:c r="Y200" s="40"/>
      <x:c r="Z200" s="39"/>
      <x:c r="AA200" s="39"/>
      <x:c r="AB200" s="24"/>
    </x:row>
    <x:row r="201" ht="23" customHeight="1">
      <x:c r="A201" s="20"/>
      <x:c r="B201" s="5"/>
      <x:c r="C201" s="4"/>
      <x:c r="D201" s="34" t="str">
        <x:f>IF(OR(A201="",U201="",COUNTIF('Project codes'!$A$7:$A$106,U201)&lt;&gt;1),"",_xlfn.XLOOKUP(U201,'Project codes'!$A$7:$A$106,'Project codes'!$I$7:$I$106,"",0))</x:f>
      </x:c>
      <x:c r="E201" s="4"/>
      <x:c r="F201" s="35" t="str">
        <x:f>IF(AND(ISNUMBER(N201),N201&gt;=0,O201="Complete"),N201/3600000,"")</x:f>
      </x:c>
      <x:c r="G201" s="4"/>
      <x:c r="H201" s="4"/>
      <x:c r="I201" s="36" t="str">
        <x:f>IF(COUNTA(A201:C201,E201,G201:H201,J201:T201,V201:AB201)=0,"",IF(A201="","Review: missing entry ID",IF(COUNTIF($A$7:$A$506,A201)&gt;1,"Review: duplicate entry ID",IF(NOT(ISNUMBER(B201)),"Review: work date",IF(OR(C201="",E201="",K201="",M201="",H201=""),"Review: source details",IF(J201&lt;&gt;'Estimate review'!$J$5,"Review: project scope",IF(OR(NOT(ISNUMBER(N201)),N201&lt;0,O201&lt;&gt;"Complete"),"Review: duration",IF(S201&lt;&gt;"Coded","Review: coding status",IF(OR(U201="",COUNTIF('Project codes'!$A$7:$A$106,U201)=0),"Review: SOW mapping",IF(COUNTIF('Project codes'!$A$7:$A$106,U201)&gt;1,"Review: duplicate code",IF(_xlfn.XLOOKUP(U201,'Project codes'!$A$7:$A$106,'Project codes'!$F$7:$F$106,"Review",0)="Hold","Review: allocation hold",IF(OR(D201="",COUNTIF('SOW register'!$A$7:$A$36,D201)&lt;&gt;1),"Review: SOW mapping",IF(AND(G201&lt;&gt;"Yes",G201&lt;&gt;"No"),"Review: billability",IF(AB201="","Review: billing evidence","OK"))))))))))))))</x:f>
      </x:c>
      <x:c r="J201" s="24"/>
      <x:c r="K201" s="38"/>
      <x:c r="L201" s="38"/>
      <x:c r="M201" s="38"/>
      <x:c r="N201" s="39"/>
      <x:c r="O201" s="24"/>
      <x:c r="P201" s="24"/>
      <x:c r="Q201" s="38"/>
      <x:c r="R201" s="38"/>
      <x:c r="S201" s="24"/>
      <x:c r="T201" s="24"/>
      <x:c r="U201" s="37" t="str">
        <x:f>IF(OR(J201="",Q201="",R201=""),"",J201&amp;"|"&amp;Q201&amp;"|"&amp;R201)</x:f>
      </x:c>
      <x:c r="V201" s="24"/>
      <x:c r="W201" s="24"/>
      <x:c r="X201" s="40"/>
      <x:c r="Y201" s="40"/>
      <x:c r="Z201" s="39"/>
      <x:c r="AA201" s="39"/>
      <x:c r="AB201" s="24"/>
    </x:row>
    <x:row r="202" ht="23" customHeight="1">
      <x:c r="A202" s="20"/>
      <x:c r="B202" s="5"/>
      <x:c r="C202" s="4"/>
      <x:c r="D202" s="34" t="str">
        <x:f>IF(OR(A202="",U202="",COUNTIF('Project codes'!$A$7:$A$106,U202)&lt;&gt;1),"",_xlfn.XLOOKUP(U202,'Project codes'!$A$7:$A$106,'Project codes'!$I$7:$I$106,"",0))</x:f>
      </x:c>
      <x:c r="E202" s="4"/>
      <x:c r="F202" s="35" t="str">
        <x:f>IF(AND(ISNUMBER(N202),N202&gt;=0,O202="Complete"),N202/3600000,"")</x:f>
      </x:c>
      <x:c r="G202" s="4"/>
      <x:c r="H202" s="4"/>
      <x:c r="I202" s="36" t="str">
        <x:f>IF(COUNTA(A202:C202,E202,G202:H202,J202:T202,V202:AB202)=0,"",IF(A202="","Review: missing entry ID",IF(COUNTIF($A$7:$A$506,A202)&gt;1,"Review: duplicate entry ID",IF(NOT(ISNUMBER(B202)),"Review: work date",IF(OR(C202="",E202="",K202="",M202="",H202=""),"Review: source details",IF(J202&lt;&gt;'Estimate review'!$J$5,"Review: project scope",IF(OR(NOT(ISNUMBER(N202)),N202&lt;0,O202&lt;&gt;"Complete"),"Review: duration",IF(S202&lt;&gt;"Coded","Review: coding status",IF(OR(U202="",COUNTIF('Project codes'!$A$7:$A$106,U202)=0),"Review: SOW mapping",IF(COUNTIF('Project codes'!$A$7:$A$106,U202)&gt;1,"Review: duplicate code",IF(_xlfn.XLOOKUP(U202,'Project codes'!$A$7:$A$106,'Project codes'!$F$7:$F$106,"Review",0)="Hold","Review: allocation hold",IF(OR(D202="",COUNTIF('SOW register'!$A$7:$A$36,D202)&lt;&gt;1),"Review: SOW mapping",IF(AND(G202&lt;&gt;"Yes",G202&lt;&gt;"No"),"Review: billability",IF(AB202="","Review: billing evidence","OK"))))))))))))))</x:f>
      </x:c>
      <x:c r="J202" s="24"/>
      <x:c r="K202" s="38"/>
      <x:c r="L202" s="38"/>
      <x:c r="M202" s="38"/>
      <x:c r="N202" s="39"/>
      <x:c r="O202" s="24"/>
      <x:c r="P202" s="24"/>
      <x:c r="Q202" s="38"/>
      <x:c r="R202" s="38"/>
      <x:c r="S202" s="24"/>
      <x:c r="T202" s="24"/>
      <x:c r="U202" s="37" t="str">
        <x:f>IF(OR(J202="",Q202="",R202=""),"",J202&amp;"|"&amp;Q202&amp;"|"&amp;R202)</x:f>
      </x:c>
      <x:c r="V202" s="24"/>
      <x:c r="W202" s="24"/>
      <x:c r="X202" s="40"/>
      <x:c r="Y202" s="40"/>
      <x:c r="Z202" s="39"/>
      <x:c r="AA202" s="39"/>
      <x:c r="AB202" s="24"/>
    </x:row>
    <x:row r="203" ht="23" customHeight="1">
      <x:c r="A203" s="20"/>
      <x:c r="B203" s="5"/>
      <x:c r="C203" s="4"/>
      <x:c r="D203" s="34" t="str">
        <x:f>IF(OR(A203="",U203="",COUNTIF('Project codes'!$A$7:$A$106,U203)&lt;&gt;1),"",_xlfn.XLOOKUP(U203,'Project codes'!$A$7:$A$106,'Project codes'!$I$7:$I$106,"",0))</x:f>
      </x:c>
      <x:c r="E203" s="4"/>
      <x:c r="F203" s="35" t="str">
        <x:f>IF(AND(ISNUMBER(N203),N203&gt;=0,O203="Complete"),N203/3600000,"")</x:f>
      </x:c>
      <x:c r="G203" s="4"/>
      <x:c r="H203" s="4"/>
      <x:c r="I203" s="36" t="str">
        <x:f>IF(COUNTA(A203:C203,E203,G203:H203,J203:T203,V203:AB203)=0,"",IF(A203="","Review: missing entry ID",IF(COUNTIF($A$7:$A$506,A203)&gt;1,"Review: duplicate entry ID",IF(NOT(ISNUMBER(B203)),"Review: work date",IF(OR(C203="",E203="",K203="",M203="",H203=""),"Review: source details",IF(J203&lt;&gt;'Estimate review'!$J$5,"Review: project scope",IF(OR(NOT(ISNUMBER(N203)),N203&lt;0,O203&lt;&gt;"Complete"),"Review: duration",IF(S203&lt;&gt;"Coded","Review: coding status",IF(OR(U203="",COUNTIF('Project codes'!$A$7:$A$106,U203)=0),"Review: SOW mapping",IF(COUNTIF('Project codes'!$A$7:$A$106,U203)&gt;1,"Review: duplicate code",IF(_xlfn.XLOOKUP(U203,'Project codes'!$A$7:$A$106,'Project codes'!$F$7:$F$106,"Review",0)="Hold","Review: allocation hold",IF(OR(D203="",COUNTIF('SOW register'!$A$7:$A$36,D203)&lt;&gt;1),"Review: SOW mapping",IF(AND(G203&lt;&gt;"Yes",G203&lt;&gt;"No"),"Review: billability",IF(AB203="","Review: billing evidence","OK"))))))))))))))</x:f>
      </x:c>
      <x:c r="J203" s="24"/>
      <x:c r="K203" s="38"/>
      <x:c r="L203" s="38"/>
      <x:c r="M203" s="38"/>
      <x:c r="N203" s="39"/>
      <x:c r="O203" s="24"/>
      <x:c r="P203" s="24"/>
      <x:c r="Q203" s="38"/>
      <x:c r="R203" s="38"/>
      <x:c r="S203" s="24"/>
      <x:c r="T203" s="24"/>
      <x:c r="U203" s="37" t="str">
        <x:f>IF(OR(J203="",Q203="",R203=""),"",J203&amp;"|"&amp;Q203&amp;"|"&amp;R203)</x:f>
      </x:c>
      <x:c r="V203" s="24"/>
      <x:c r="W203" s="24"/>
      <x:c r="X203" s="40"/>
      <x:c r="Y203" s="40"/>
      <x:c r="Z203" s="39"/>
      <x:c r="AA203" s="39"/>
      <x:c r="AB203" s="24"/>
    </x:row>
    <x:row r="204" ht="23" customHeight="1">
      <x:c r="A204" s="20"/>
      <x:c r="B204" s="5"/>
      <x:c r="C204" s="4"/>
      <x:c r="D204" s="34" t="str">
        <x:f>IF(OR(A204="",U204="",COUNTIF('Project codes'!$A$7:$A$106,U204)&lt;&gt;1),"",_xlfn.XLOOKUP(U204,'Project codes'!$A$7:$A$106,'Project codes'!$I$7:$I$106,"",0))</x:f>
      </x:c>
      <x:c r="E204" s="4"/>
      <x:c r="F204" s="35" t="str">
        <x:f>IF(AND(ISNUMBER(N204),N204&gt;=0,O204="Complete"),N204/3600000,"")</x:f>
      </x:c>
      <x:c r="G204" s="4"/>
      <x:c r="H204" s="4"/>
      <x:c r="I204" s="36" t="str">
        <x:f>IF(COUNTA(A204:C204,E204,G204:H204,J204:T204,V204:AB204)=0,"",IF(A204="","Review: missing entry ID",IF(COUNTIF($A$7:$A$506,A204)&gt;1,"Review: duplicate entry ID",IF(NOT(ISNUMBER(B204)),"Review: work date",IF(OR(C204="",E204="",K204="",M204="",H204=""),"Review: source details",IF(J204&lt;&gt;'Estimate review'!$J$5,"Review: project scope",IF(OR(NOT(ISNUMBER(N204)),N204&lt;0,O204&lt;&gt;"Complete"),"Review: duration",IF(S204&lt;&gt;"Coded","Review: coding status",IF(OR(U204="",COUNTIF('Project codes'!$A$7:$A$106,U204)=0),"Review: SOW mapping",IF(COUNTIF('Project codes'!$A$7:$A$106,U204)&gt;1,"Review: duplicate code",IF(_xlfn.XLOOKUP(U204,'Project codes'!$A$7:$A$106,'Project codes'!$F$7:$F$106,"Review",0)="Hold","Review: allocation hold",IF(OR(D204="",COUNTIF('SOW register'!$A$7:$A$36,D204)&lt;&gt;1),"Review: SOW mapping",IF(AND(G204&lt;&gt;"Yes",G204&lt;&gt;"No"),"Review: billability",IF(AB204="","Review: billing evidence","OK"))))))))))))))</x:f>
      </x:c>
      <x:c r="J204" s="24"/>
      <x:c r="K204" s="38"/>
      <x:c r="L204" s="38"/>
      <x:c r="M204" s="38"/>
      <x:c r="N204" s="39"/>
      <x:c r="O204" s="24"/>
      <x:c r="P204" s="24"/>
      <x:c r="Q204" s="38"/>
      <x:c r="R204" s="38"/>
      <x:c r="S204" s="24"/>
      <x:c r="T204" s="24"/>
      <x:c r="U204" s="37" t="str">
        <x:f>IF(OR(J204="",Q204="",R204=""),"",J204&amp;"|"&amp;Q204&amp;"|"&amp;R204)</x:f>
      </x:c>
      <x:c r="V204" s="24"/>
      <x:c r="W204" s="24"/>
      <x:c r="X204" s="40"/>
      <x:c r="Y204" s="40"/>
      <x:c r="Z204" s="39"/>
      <x:c r="AA204" s="39"/>
      <x:c r="AB204" s="24"/>
    </x:row>
    <x:row r="205" ht="23" customHeight="1">
      <x:c r="A205" s="20"/>
      <x:c r="B205" s="5"/>
      <x:c r="C205" s="4"/>
      <x:c r="D205" s="34" t="str">
        <x:f>IF(OR(A205="",U205="",COUNTIF('Project codes'!$A$7:$A$106,U205)&lt;&gt;1),"",_xlfn.XLOOKUP(U205,'Project codes'!$A$7:$A$106,'Project codes'!$I$7:$I$106,"",0))</x:f>
      </x:c>
      <x:c r="E205" s="4"/>
      <x:c r="F205" s="35" t="str">
        <x:f>IF(AND(ISNUMBER(N205),N205&gt;=0,O205="Complete"),N205/3600000,"")</x:f>
      </x:c>
      <x:c r="G205" s="4"/>
      <x:c r="H205" s="4"/>
      <x:c r="I205" s="36" t="str">
        <x:f>IF(COUNTA(A205:C205,E205,G205:H205,J205:T205,V205:AB205)=0,"",IF(A205="","Review: missing entry ID",IF(COUNTIF($A$7:$A$506,A205)&gt;1,"Review: duplicate entry ID",IF(NOT(ISNUMBER(B205)),"Review: work date",IF(OR(C205="",E205="",K205="",M205="",H205=""),"Review: source details",IF(J205&lt;&gt;'Estimate review'!$J$5,"Review: project scope",IF(OR(NOT(ISNUMBER(N205)),N205&lt;0,O205&lt;&gt;"Complete"),"Review: duration",IF(S205&lt;&gt;"Coded","Review: coding status",IF(OR(U205="",COUNTIF('Project codes'!$A$7:$A$106,U205)=0),"Review: SOW mapping",IF(COUNTIF('Project codes'!$A$7:$A$106,U205)&gt;1,"Review: duplicate code",IF(_xlfn.XLOOKUP(U205,'Project codes'!$A$7:$A$106,'Project codes'!$F$7:$F$106,"Review",0)="Hold","Review: allocation hold",IF(OR(D205="",COUNTIF('SOW register'!$A$7:$A$36,D205)&lt;&gt;1),"Review: SOW mapping",IF(AND(G205&lt;&gt;"Yes",G205&lt;&gt;"No"),"Review: billability",IF(AB205="","Review: billing evidence","OK"))))))))))))))</x:f>
      </x:c>
      <x:c r="J205" s="24"/>
      <x:c r="K205" s="38"/>
      <x:c r="L205" s="38"/>
      <x:c r="M205" s="38"/>
      <x:c r="N205" s="39"/>
      <x:c r="O205" s="24"/>
      <x:c r="P205" s="24"/>
      <x:c r="Q205" s="38"/>
      <x:c r="R205" s="38"/>
      <x:c r="S205" s="24"/>
      <x:c r="T205" s="24"/>
      <x:c r="U205" s="37" t="str">
        <x:f>IF(OR(J205="",Q205="",R205=""),"",J205&amp;"|"&amp;Q205&amp;"|"&amp;R205)</x:f>
      </x:c>
      <x:c r="V205" s="24"/>
      <x:c r="W205" s="24"/>
      <x:c r="X205" s="40"/>
      <x:c r="Y205" s="40"/>
      <x:c r="Z205" s="39"/>
      <x:c r="AA205" s="39"/>
      <x:c r="AB205" s="24"/>
    </x:row>
    <x:row r="206" ht="23" customHeight="1">
      <x:c r="A206" s="20"/>
      <x:c r="B206" s="5"/>
      <x:c r="C206" s="4"/>
      <x:c r="D206" s="34" t="str">
        <x:f>IF(OR(A206="",U206="",COUNTIF('Project codes'!$A$7:$A$106,U206)&lt;&gt;1),"",_xlfn.XLOOKUP(U206,'Project codes'!$A$7:$A$106,'Project codes'!$I$7:$I$106,"",0))</x:f>
      </x:c>
      <x:c r="E206" s="4"/>
      <x:c r="F206" s="35" t="str">
        <x:f>IF(AND(ISNUMBER(N206),N206&gt;=0,O206="Complete"),N206/3600000,"")</x:f>
      </x:c>
      <x:c r="G206" s="4"/>
      <x:c r="H206" s="4"/>
      <x:c r="I206" s="36" t="str">
        <x:f>IF(COUNTA(A206:C206,E206,G206:H206,J206:T206,V206:AB206)=0,"",IF(A206="","Review: missing entry ID",IF(COUNTIF($A$7:$A$506,A206)&gt;1,"Review: duplicate entry ID",IF(NOT(ISNUMBER(B206)),"Review: work date",IF(OR(C206="",E206="",K206="",M206="",H206=""),"Review: source details",IF(J206&lt;&gt;'Estimate review'!$J$5,"Review: project scope",IF(OR(NOT(ISNUMBER(N206)),N206&lt;0,O206&lt;&gt;"Complete"),"Review: duration",IF(S206&lt;&gt;"Coded","Review: coding status",IF(OR(U206="",COUNTIF('Project codes'!$A$7:$A$106,U206)=0),"Review: SOW mapping",IF(COUNTIF('Project codes'!$A$7:$A$106,U206)&gt;1,"Review: duplicate code",IF(_xlfn.XLOOKUP(U206,'Project codes'!$A$7:$A$106,'Project codes'!$F$7:$F$106,"Review",0)="Hold","Review: allocation hold",IF(OR(D206="",COUNTIF('SOW register'!$A$7:$A$36,D206)&lt;&gt;1),"Review: SOW mapping",IF(AND(G206&lt;&gt;"Yes",G206&lt;&gt;"No"),"Review: billability",IF(AB206="","Review: billing evidence","OK"))))))))))))))</x:f>
      </x:c>
      <x:c r="J206" s="24"/>
      <x:c r="K206" s="38"/>
      <x:c r="L206" s="38"/>
      <x:c r="M206" s="38"/>
      <x:c r="N206" s="39"/>
      <x:c r="O206" s="24"/>
      <x:c r="P206" s="24"/>
      <x:c r="Q206" s="38"/>
      <x:c r="R206" s="38"/>
      <x:c r="S206" s="24"/>
      <x:c r="T206" s="24"/>
      <x:c r="U206" s="37" t="str">
        <x:f>IF(OR(J206="",Q206="",R206=""),"",J206&amp;"|"&amp;Q206&amp;"|"&amp;R206)</x:f>
      </x:c>
      <x:c r="V206" s="24"/>
      <x:c r="W206" s="24"/>
      <x:c r="X206" s="40"/>
      <x:c r="Y206" s="40"/>
      <x:c r="Z206" s="39"/>
      <x:c r="AA206" s="39"/>
      <x:c r="AB206" s="24"/>
    </x:row>
    <x:row r="207" ht="23" customHeight="1">
      <x:c r="A207" s="20"/>
      <x:c r="B207" s="5"/>
      <x:c r="C207" s="4"/>
      <x:c r="D207" s="34" t="str">
        <x:f>IF(OR(A207="",U207="",COUNTIF('Project codes'!$A$7:$A$106,U207)&lt;&gt;1),"",_xlfn.XLOOKUP(U207,'Project codes'!$A$7:$A$106,'Project codes'!$I$7:$I$106,"",0))</x:f>
      </x:c>
      <x:c r="E207" s="4"/>
      <x:c r="F207" s="35" t="str">
        <x:f>IF(AND(ISNUMBER(N207),N207&gt;=0,O207="Complete"),N207/3600000,"")</x:f>
      </x:c>
      <x:c r="G207" s="4"/>
      <x:c r="H207" s="4"/>
      <x:c r="I207" s="36" t="str">
        <x:f>IF(COUNTA(A207:C207,E207,G207:H207,J207:T207,V207:AB207)=0,"",IF(A207="","Review: missing entry ID",IF(COUNTIF($A$7:$A$506,A207)&gt;1,"Review: duplicate entry ID",IF(NOT(ISNUMBER(B207)),"Review: work date",IF(OR(C207="",E207="",K207="",M207="",H207=""),"Review: source details",IF(J207&lt;&gt;'Estimate review'!$J$5,"Review: project scope",IF(OR(NOT(ISNUMBER(N207)),N207&lt;0,O207&lt;&gt;"Complete"),"Review: duration",IF(S207&lt;&gt;"Coded","Review: coding status",IF(OR(U207="",COUNTIF('Project codes'!$A$7:$A$106,U207)=0),"Review: SOW mapping",IF(COUNTIF('Project codes'!$A$7:$A$106,U207)&gt;1,"Review: duplicate code",IF(_xlfn.XLOOKUP(U207,'Project codes'!$A$7:$A$106,'Project codes'!$F$7:$F$106,"Review",0)="Hold","Review: allocation hold",IF(OR(D207="",COUNTIF('SOW register'!$A$7:$A$36,D207)&lt;&gt;1),"Review: SOW mapping",IF(AND(G207&lt;&gt;"Yes",G207&lt;&gt;"No"),"Review: billability",IF(AB207="","Review: billing evidence","OK"))))))))))))))</x:f>
      </x:c>
      <x:c r="J207" s="24"/>
      <x:c r="K207" s="38"/>
      <x:c r="L207" s="38"/>
      <x:c r="M207" s="38"/>
      <x:c r="N207" s="39"/>
      <x:c r="O207" s="24"/>
      <x:c r="P207" s="24"/>
      <x:c r="Q207" s="38"/>
      <x:c r="R207" s="38"/>
      <x:c r="S207" s="24"/>
      <x:c r="T207" s="24"/>
      <x:c r="U207" s="37" t="str">
        <x:f>IF(OR(J207="",Q207="",R207=""),"",J207&amp;"|"&amp;Q207&amp;"|"&amp;R207)</x:f>
      </x:c>
      <x:c r="V207" s="24"/>
      <x:c r="W207" s="24"/>
      <x:c r="X207" s="40"/>
      <x:c r="Y207" s="40"/>
      <x:c r="Z207" s="39"/>
      <x:c r="AA207" s="39"/>
      <x:c r="AB207" s="24"/>
    </x:row>
    <x:row r="208" ht="23" customHeight="1">
      <x:c r="A208" s="20"/>
      <x:c r="B208" s="5"/>
      <x:c r="C208" s="4"/>
      <x:c r="D208" s="34" t="str">
        <x:f>IF(OR(A208="",U208="",COUNTIF('Project codes'!$A$7:$A$106,U208)&lt;&gt;1),"",_xlfn.XLOOKUP(U208,'Project codes'!$A$7:$A$106,'Project codes'!$I$7:$I$106,"",0))</x:f>
      </x:c>
      <x:c r="E208" s="4"/>
      <x:c r="F208" s="35" t="str">
        <x:f>IF(AND(ISNUMBER(N208),N208&gt;=0,O208="Complete"),N208/3600000,"")</x:f>
      </x:c>
      <x:c r="G208" s="4"/>
      <x:c r="H208" s="4"/>
      <x:c r="I208" s="36" t="str">
        <x:f>IF(COUNTA(A208:C208,E208,G208:H208,J208:T208,V208:AB208)=0,"",IF(A208="","Review: missing entry ID",IF(COUNTIF($A$7:$A$506,A208)&gt;1,"Review: duplicate entry ID",IF(NOT(ISNUMBER(B208)),"Review: work date",IF(OR(C208="",E208="",K208="",M208="",H208=""),"Review: source details",IF(J208&lt;&gt;'Estimate review'!$J$5,"Review: project scope",IF(OR(NOT(ISNUMBER(N208)),N208&lt;0,O208&lt;&gt;"Complete"),"Review: duration",IF(S208&lt;&gt;"Coded","Review: coding status",IF(OR(U208="",COUNTIF('Project codes'!$A$7:$A$106,U208)=0),"Review: SOW mapping",IF(COUNTIF('Project codes'!$A$7:$A$106,U208)&gt;1,"Review: duplicate code",IF(_xlfn.XLOOKUP(U208,'Project codes'!$A$7:$A$106,'Project codes'!$F$7:$F$106,"Review",0)="Hold","Review: allocation hold",IF(OR(D208="",COUNTIF('SOW register'!$A$7:$A$36,D208)&lt;&gt;1),"Review: SOW mapping",IF(AND(G208&lt;&gt;"Yes",G208&lt;&gt;"No"),"Review: billability",IF(AB208="","Review: billing evidence","OK"))))))))))))))</x:f>
      </x:c>
      <x:c r="J208" s="24"/>
      <x:c r="K208" s="38"/>
      <x:c r="L208" s="38"/>
      <x:c r="M208" s="38"/>
      <x:c r="N208" s="39"/>
      <x:c r="O208" s="24"/>
      <x:c r="P208" s="24"/>
      <x:c r="Q208" s="38"/>
      <x:c r="R208" s="38"/>
      <x:c r="S208" s="24"/>
      <x:c r="T208" s="24"/>
      <x:c r="U208" s="37" t="str">
        <x:f>IF(OR(J208="",Q208="",R208=""),"",J208&amp;"|"&amp;Q208&amp;"|"&amp;R208)</x:f>
      </x:c>
      <x:c r="V208" s="24"/>
      <x:c r="W208" s="24"/>
      <x:c r="X208" s="40"/>
      <x:c r="Y208" s="40"/>
      <x:c r="Z208" s="39"/>
      <x:c r="AA208" s="39"/>
      <x:c r="AB208" s="24"/>
    </x:row>
    <x:row r="209" ht="23" customHeight="1">
      <x:c r="A209" s="20"/>
      <x:c r="B209" s="5"/>
      <x:c r="C209" s="4"/>
      <x:c r="D209" s="34" t="str">
        <x:f>IF(OR(A209="",U209="",COUNTIF('Project codes'!$A$7:$A$106,U209)&lt;&gt;1),"",_xlfn.XLOOKUP(U209,'Project codes'!$A$7:$A$106,'Project codes'!$I$7:$I$106,"",0))</x:f>
      </x:c>
      <x:c r="E209" s="4"/>
      <x:c r="F209" s="35" t="str">
        <x:f>IF(AND(ISNUMBER(N209),N209&gt;=0,O209="Complete"),N209/3600000,"")</x:f>
      </x:c>
      <x:c r="G209" s="4"/>
      <x:c r="H209" s="4"/>
      <x:c r="I209" s="36" t="str">
        <x:f>IF(COUNTA(A209:C209,E209,G209:H209,J209:T209,V209:AB209)=0,"",IF(A209="","Review: missing entry ID",IF(COUNTIF($A$7:$A$506,A209)&gt;1,"Review: duplicate entry ID",IF(NOT(ISNUMBER(B209)),"Review: work date",IF(OR(C209="",E209="",K209="",M209="",H209=""),"Review: source details",IF(J209&lt;&gt;'Estimate review'!$J$5,"Review: project scope",IF(OR(NOT(ISNUMBER(N209)),N209&lt;0,O209&lt;&gt;"Complete"),"Review: duration",IF(S209&lt;&gt;"Coded","Review: coding status",IF(OR(U209="",COUNTIF('Project codes'!$A$7:$A$106,U209)=0),"Review: SOW mapping",IF(COUNTIF('Project codes'!$A$7:$A$106,U209)&gt;1,"Review: duplicate code",IF(_xlfn.XLOOKUP(U209,'Project codes'!$A$7:$A$106,'Project codes'!$F$7:$F$106,"Review",0)="Hold","Review: allocation hold",IF(OR(D209="",COUNTIF('SOW register'!$A$7:$A$36,D209)&lt;&gt;1),"Review: SOW mapping",IF(AND(G209&lt;&gt;"Yes",G209&lt;&gt;"No"),"Review: billability",IF(AB209="","Review: billing evidence","OK"))))))))))))))</x:f>
      </x:c>
      <x:c r="J209" s="24"/>
      <x:c r="K209" s="38"/>
      <x:c r="L209" s="38"/>
      <x:c r="M209" s="38"/>
      <x:c r="N209" s="39"/>
      <x:c r="O209" s="24"/>
      <x:c r="P209" s="24"/>
      <x:c r="Q209" s="38"/>
      <x:c r="R209" s="38"/>
      <x:c r="S209" s="24"/>
      <x:c r="T209" s="24"/>
      <x:c r="U209" s="37" t="str">
        <x:f>IF(OR(J209="",Q209="",R209=""),"",J209&amp;"|"&amp;Q209&amp;"|"&amp;R209)</x:f>
      </x:c>
      <x:c r="V209" s="24"/>
      <x:c r="W209" s="24"/>
      <x:c r="X209" s="40"/>
      <x:c r="Y209" s="40"/>
      <x:c r="Z209" s="39"/>
      <x:c r="AA209" s="39"/>
      <x:c r="AB209" s="24"/>
    </x:row>
    <x:row r="210" ht="23" customHeight="1">
      <x:c r="A210" s="20"/>
      <x:c r="B210" s="5"/>
      <x:c r="C210" s="4"/>
      <x:c r="D210" s="34" t="str">
        <x:f>IF(OR(A210="",U210="",COUNTIF('Project codes'!$A$7:$A$106,U210)&lt;&gt;1),"",_xlfn.XLOOKUP(U210,'Project codes'!$A$7:$A$106,'Project codes'!$I$7:$I$106,"",0))</x:f>
      </x:c>
      <x:c r="E210" s="4"/>
      <x:c r="F210" s="35" t="str">
        <x:f>IF(AND(ISNUMBER(N210),N210&gt;=0,O210="Complete"),N210/3600000,"")</x:f>
      </x:c>
      <x:c r="G210" s="4"/>
      <x:c r="H210" s="4"/>
      <x:c r="I210" s="36" t="str">
        <x:f>IF(COUNTA(A210:C210,E210,G210:H210,J210:T210,V210:AB210)=0,"",IF(A210="","Review: missing entry ID",IF(COUNTIF($A$7:$A$506,A210)&gt;1,"Review: duplicate entry ID",IF(NOT(ISNUMBER(B210)),"Review: work date",IF(OR(C210="",E210="",K210="",M210="",H210=""),"Review: source details",IF(J210&lt;&gt;'Estimate review'!$J$5,"Review: project scope",IF(OR(NOT(ISNUMBER(N210)),N210&lt;0,O210&lt;&gt;"Complete"),"Review: duration",IF(S210&lt;&gt;"Coded","Review: coding status",IF(OR(U210="",COUNTIF('Project codes'!$A$7:$A$106,U210)=0),"Review: SOW mapping",IF(COUNTIF('Project codes'!$A$7:$A$106,U210)&gt;1,"Review: duplicate code",IF(_xlfn.XLOOKUP(U210,'Project codes'!$A$7:$A$106,'Project codes'!$F$7:$F$106,"Review",0)="Hold","Review: allocation hold",IF(OR(D210="",COUNTIF('SOW register'!$A$7:$A$36,D210)&lt;&gt;1),"Review: SOW mapping",IF(AND(G210&lt;&gt;"Yes",G210&lt;&gt;"No"),"Review: billability",IF(AB210="","Review: billing evidence","OK"))))))))))))))</x:f>
      </x:c>
      <x:c r="J210" s="24"/>
      <x:c r="K210" s="38"/>
      <x:c r="L210" s="38"/>
      <x:c r="M210" s="38"/>
      <x:c r="N210" s="39"/>
      <x:c r="O210" s="24"/>
      <x:c r="P210" s="24"/>
      <x:c r="Q210" s="38"/>
      <x:c r="R210" s="38"/>
      <x:c r="S210" s="24"/>
      <x:c r="T210" s="24"/>
      <x:c r="U210" s="37" t="str">
        <x:f>IF(OR(J210="",Q210="",R210=""),"",J210&amp;"|"&amp;Q210&amp;"|"&amp;R210)</x:f>
      </x:c>
      <x:c r="V210" s="24"/>
      <x:c r="W210" s="24"/>
      <x:c r="X210" s="40"/>
      <x:c r="Y210" s="40"/>
      <x:c r="Z210" s="39"/>
      <x:c r="AA210" s="39"/>
      <x:c r="AB210" s="24"/>
    </x:row>
    <x:row r="211" ht="23" customHeight="1">
      <x:c r="A211" s="20"/>
      <x:c r="B211" s="5"/>
      <x:c r="C211" s="4"/>
      <x:c r="D211" s="34" t="str">
        <x:f>IF(OR(A211="",U211="",COUNTIF('Project codes'!$A$7:$A$106,U211)&lt;&gt;1),"",_xlfn.XLOOKUP(U211,'Project codes'!$A$7:$A$106,'Project codes'!$I$7:$I$106,"",0))</x:f>
      </x:c>
      <x:c r="E211" s="4"/>
      <x:c r="F211" s="35" t="str">
        <x:f>IF(AND(ISNUMBER(N211),N211&gt;=0,O211="Complete"),N211/3600000,"")</x:f>
      </x:c>
      <x:c r="G211" s="4"/>
      <x:c r="H211" s="4"/>
      <x:c r="I211" s="36" t="str">
        <x:f>IF(COUNTA(A211:C211,E211,G211:H211,J211:T211,V211:AB211)=0,"",IF(A211="","Review: missing entry ID",IF(COUNTIF($A$7:$A$506,A211)&gt;1,"Review: duplicate entry ID",IF(NOT(ISNUMBER(B211)),"Review: work date",IF(OR(C211="",E211="",K211="",M211="",H211=""),"Review: source details",IF(J211&lt;&gt;'Estimate review'!$J$5,"Review: project scope",IF(OR(NOT(ISNUMBER(N211)),N211&lt;0,O211&lt;&gt;"Complete"),"Review: duration",IF(S211&lt;&gt;"Coded","Review: coding status",IF(OR(U211="",COUNTIF('Project codes'!$A$7:$A$106,U211)=0),"Review: SOW mapping",IF(COUNTIF('Project codes'!$A$7:$A$106,U211)&gt;1,"Review: duplicate code",IF(_xlfn.XLOOKUP(U211,'Project codes'!$A$7:$A$106,'Project codes'!$F$7:$F$106,"Review",0)="Hold","Review: allocation hold",IF(OR(D211="",COUNTIF('SOW register'!$A$7:$A$36,D211)&lt;&gt;1),"Review: SOW mapping",IF(AND(G211&lt;&gt;"Yes",G211&lt;&gt;"No"),"Review: billability",IF(AB211="","Review: billing evidence","OK"))))))))))))))</x:f>
      </x:c>
      <x:c r="J211" s="24"/>
      <x:c r="K211" s="38"/>
      <x:c r="L211" s="38"/>
      <x:c r="M211" s="38"/>
      <x:c r="N211" s="39"/>
      <x:c r="O211" s="24"/>
      <x:c r="P211" s="24"/>
      <x:c r="Q211" s="38"/>
      <x:c r="R211" s="38"/>
      <x:c r="S211" s="24"/>
      <x:c r="T211" s="24"/>
      <x:c r="U211" s="37" t="str">
        <x:f>IF(OR(J211="",Q211="",R211=""),"",J211&amp;"|"&amp;Q211&amp;"|"&amp;R211)</x:f>
      </x:c>
      <x:c r="V211" s="24"/>
      <x:c r="W211" s="24"/>
      <x:c r="X211" s="40"/>
      <x:c r="Y211" s="40"/>
      <x:c r="Z211" s="39"/>
      <x:c r="AA211" s="39"/>
      <x:c r="AB211" s="24"/>
    </x:row>
    <x:row r="212" ht="23" customHeight="1">
      <x:c r="A212" s="20"/>
      <x:c r="B212" s="5"/>
      <x:c r="C212" s="4"/>
      <x:c r="D212" s="34" t="str">
        <x:f>IF(OR(A212="",U212="",COUNTIF('Project codes'!$A$7:$A$106,U212)&lt;&gt;1),"",_xlfn.XLOOKUP(U212,'Project codes'!$A$7:$A$106,'Project codes'!$I$7:$I$106,"",0))</x:f>
      </x:c>
      <x:c r="E212" s="4"/>
      <x:c r="F212" s="35" t="str">
        <x:f>IF(AND(ISNUMBER(N212),N212&gt;=0,O212="Complete"),N212/3600000,"")</x:f>
      </x:c>
      <x:c r="G212" s="4"/>
      <x:c r="H212" s="4"/>
      <x:c r="I212" s="36" t="str">
        <x:f>IF(COUNTA(A212:C212,E212,G212:H212,J212:T212,V212:AB212)=0,"",IF(A212="","Review: missing entry ID",IF(COUNTIF($A$7:$A$506,A212)&gt;1,"Review: duplicate entry ID",IF(NOT(ISNUMBER(B212)),"Review: work date",IF(OR(C212="",E212="",K212="",M212="",H212=""),"Review: source details",IF(J212&lt;&gt;'Estimate review'!$J$5,"Review: project scope",IF(OR(NOT(ISNUMBER(N212)),N212&lt;0,O212&lt;&gt;"Complete"),"Review: duration",IF(S212&lt;&gt;"Coded","Review: coding status",IF(OR(U212="",COUNTIF('Project codes'!$A$7:$A$106,U212)=0),"Review: SOW mapping",IF(COUNTIF('Project codes'!$A$7:$A$106,U212)&gt;1,"Review: duplicate code",IF(_xlfn.XLOOKUP(U212,'Project codes'!$A$7:$A$106,'Project codes'!$F$7:$F$106,"Review",0)="Hold","Review: allocation hold",IF(OR(D212="",COUNTIF('SOW register'!$A$7:$A$36,D212)&lt;&gt;1),"Review: SOW mapping",IF(AND(G212&lt;&gt;"Yes",G212&lt;&gt;"No"),"Review: billability",IF(AB212="","Review: billing evidence","OK"))))))))))))))</x:f>
      </x:c>
      <x:c r="J212" s="24"/>
      <x:c r="K212" s="38"/>
      <x:c r="L212" s="38"/>
      <x:c r="M212" s="38"/>
      <x:c r="N212" s="39"/>
      <x:c r="O212" s="24"/>
      <x:c r="P212" s="24"/>
      <x:c r="Q212" s="38"/>
      <x:c r="R212" s="38"/>
      <x:c r="S212" s="24"/>
      <x:c r="T212" s="24"/>
      <x:c r="U212" s="37" t="str">
        <x:f>IF(OR(J212="",Q212="",R212=""),"",J212&amp;"|"&amp;Q212&amp;"|"&amp;R212)</x:f>
      </x:c>
      <x:c r="V212" s="24"/>
      <x:c r="W212" s="24"/>
      <x:c r="X212" s="40"/>
      <x:c r="Y212" s="40"/>
      <x:c r="Z212" s="39"/>
      <x:c r="AA212" s="39"/>
      <x:c r="AB212" s="24"/>
    </x:row>
    <x:row r="213" ht="23" customHeight="1">
      <x:c r="A213" s="20"/>
      <x:c r="B213" s="5"/>
      <x:c r="C213" s="4"/>
      <x:c r="D213" s="34" t="str">
        <x:f>IF(OR(A213="",U213="",COUNTIF('Project codes'!$A$7:$A$106,U213)&lt;&gt;1),"",_xlfn.XLOOKUP(U213,'Project codes'!$A$7:$A$106,'Project codes'!$I$7:$I$106,"",0))</x:f>
      </x:c>
      <x:c r="E213" s="4"/>
      <x:c r="F213" s="35" t="str">
        <x:f>IF(AND(ISNUMBER(N213),N213&gt;=0,O213="Complete"),N213/3600000,"")</x:f>
      </x:c>
      <x:c r="G213" s="4"/>
      <x:c r="H213" s="4"/>
      <x:c r="I213" s="36" t="str">
        <x:f>IF(COUNTA(A213:C213,E213,G213:H213,J213:T213,V213:AB213)=0,"",IF(A213="","Review: missing entry ID",IF(COUNTIF($A$7:$A$506,A213)&gt;1,"Review: duplicate entry ID",IF(NOT(ISNUMBER(B213)),"Review: work date",IF(OR(C213="",E213="",K213="",M213="",H213=""),"Review: source details",IF(J213&lt;&gt;'Estimate review'!$J$5,"Review: project scope",IF(OR(NOT(ISNUMBER(N213)),N213&lt;0,O213&lt;&gt;"Complete"),"Review: duration",IF(S213&lt;&gt;"Coded","Review: coding status",IF(OR(U213="",COUNTIF('Project codes'!$A$7:$A$106,U213)=0),"Review: SOW mapping",IF(COUNTIF('Project codes'!$A$7:$A$106,U213)&gt;1,"Review: duplicate code",IF(_xlfn.XLOOKUP(U213,'Project codes'!$A$7:$A$106,'Project codes'!$F$7:$F$106,"Review",0)="Hold","Review: allocation hold",IF(OR(D213="",COUNTIF('SOW register'!$A$7:$A$36,D213)&lt;&gt;1),"Review: SOW mapping",IF(AND(G213&lt;&gt;"Yes",G213&lt;&gt;"No"),"Review: billability",IF(AB213="","Review: billing evidence","OK"))))))))))))))</x:f>
      </x:c>
      <x:c r="J213" s="24"/>
      <x:c r="K213" s="38"/>
      <x:c r="L213" s="38"/>
      <x:c r="M213" s="38"/>
      <x:c r="N213" s="39"/>
      <x:c r="O213" s="24"/>
      <x:c r="P213" s="24"/>
      <x:c r="Q213" s="38"/>
      <x:c r="R213" s="38"/>
      <x:c r="S213" s="24"/>
      <x:c r="T213" s="24"/>
      <x:c r="U213" s="37" t="str">
        <x:f>IF(OR(J213="",Q213="",R213=""),"",J213&amp;"|"&amp;Q213&amp;"|"&amp;R213)</x:f>
      </x:c>
      <x:c r="V213" s="24"/>
      <x:c r="W213" s="24"/>
      <x:c r="X213" s="40"/>
      <x:c r="Y213" s="40"/>
      <x:c r="Z213" s="39"/>
      <x:c r="AA213" s="39"/>
      <x:c r="AB213" s="24"/>
    </x:row>
    <x:row r="214" ht="23" customHeight="1">
      <x:c r="A214" s="20"/>
      <x:c r="B214" s="5"/>
      <x:c r="C214" s="4"/>
      <x:c r="D214" s="34" t="str">
        <x:f>IF(OR(A214="",U214="",COUNTIF('Project codes'!$A$7:$A$106,U214)&lt;&gt;1),"",_xlfn.XLOOKUP(U214,'Project codes'!$A$7:$A$106,'Project codes'!$I$7:$I$106,"",0))</x:f>
      </x:c>
      <x:c r="E214" s="4"/>
      <x:c r="F214" s="35" t="str">
        <x:f>IF(AND(ISNUMBER(N214),N214&gt;=0,O214="Complete"),N214/3600000,"")</x:f>
      </x:c>
      <x:c r="G214" s="4"/>
      <x:c r="H214" s="4"/>
      <x:c r="I214" s="36" t="str">
        <x:f>IF(COUNTA(A214:C214,E214,G214:H214,J214:T214,V214:AB214)=0,"",IF(A214="","Review: missing entry ID",IF(COUNTIF($A$7:$A$506,A214)&gt;1,"Review: duplicate entry ID",IF(NOT(ISNUMBER(B214)),"Review: work date",IF(OR(C214="",E214="",K214="",M214="",H214=""),"Review: source details",IF(J214&lt;&gt;'Estimate review'!$J$5,"Review: project scope",IF(OR(NOT(ISNUMBER(N214)),N214&lt;0,O214&lt;&gt;"Complete"),"Review: duration",IF(S214&lt;&gt;"Coded","Review: coding status",IF(OR(U214="",COUNTIF('Project codes'!$A$7:$A$106,U214)=0),"Review: SOW mapping",IF(COUNTIF('Project codes'!$A$7:$A$106,U214)&gt;1,"Review: duplicate code",IF(_xlfn.XLOOKUP(U214,'Project codes'!$A$7:$A$106,'Project codes'!$F$7:$F$106,"Review",0)="Hold","Review: allocation hold",IF(OR(D214="",COUNTIF('SOW register'!$A$7:$A$36,D214)&lt;&gt;1),"Review: SOW mapping",IF(AND(G214&lt;&gt;"Yes",G214&lt;&gt;"No"),"Review: billability",IF(AB214="","Review: billing evidence","OK"))))))))))))))</x:f>
      </x:c>
      <x:c r="J214" s="24"/>
      <x:c r="K214" s="38"/>
      <x:c r="L214" s="38"/>
      <x:c r="M214" s="38"/>
      <x:c r="N214" s="39"/>
      <x:c r="O214" s="24"/>
      <x:c r="P214" s="24"/>
      <x:c r="Q214" s="38"/>
      <x:c r="R214" s="38"/>
      <x:c r="S214" s="24"/>
      <x:c r="T214" s="24"/>
      <x:c r="U214" s="37" t="str">
        <x:f>IF(OR(J214="",Q214="",R214=""),"",J214&amp;"|"&amp;Q214&amp;"|"&amp;R214)</x:f>
      </x:c>
      <x:c r="V214" s="24"/>
      <x:c r="W214" s="24"/>
      <x:c r="X214" s="40"/>
      <x:c r="Y214" s="40"/>
      <x:c r="Z214" s="39"/>
      <x:c r="AA214" s="39"/>
      <x:c r="AB214" s="24"/>
    </x:row>
    <x:row r="215" ht="23" customHeight="1">
      <x:c r="A215" s="20"/>
      <x:c r="B215" s="5"/>
      <x:c r="C215" s="4"/>
      <x:c r="D215" s="34" t="str">
        <x:f>IF(OR(A215="",U215="",COUNTIF('Project codes'!$A$7:$A$106,U215)&lt;&gt;1),"",_xlfn.XLOOKUP(U215,'Project codes'!$A$7:$A$106,'Project codes'!$I$7:$I$106,"",0))</x:f>
      </x:c>
      <x:c r="E215" s="4"/>
      <x:c r="F215" s="35" t="str">
        <x:f>IF(AND(ISNUMBER(N215),N215&gt;=0,O215="Complete"),N215/3600000,"")</x:f>
      </x:c>
      <x:c r="G215" s="4"/>
      <x:c r="H215" s="4"/>
      <x:c r="I215" s="36" t="str">
        <x:f>IF(COUNTA(A215:C215,E215,G215:H215,J215:T215,V215:AB215)=0,"",IF(A215="","Review: missing entry ID",IF(COUNTIF($A$7:$A$506,A215)&gt;1,"Review: duplicate entry ID",IF(NOT(ISNUMBER(B215)),"Review: work date",IF(OR(C215="",E215="",K215="",M215="",H215=""),"Review: source details",IF(J215&lt;&gt;'Estimate review'!$J$5,"Review: project scope",IF(OR(NOT(ISNUMBER(N215)),N215&lt;0,O215&lt;&gt;"Complete"),"Review: duration",IF(S215&lt;&gt;"Coded","Review: coding status",IF(OR(U215="",COUNTIF('Project codes'!$A$7:$A$106,U215)=0),"Review: SOW mapping",IF(COUNTIF('Project codes'!$A$7:$A$106,U215)&gt;1,"Review: duplicate code",IF(_xlfn.XLOOKUP(U215,'Project codes'!$A$7:$A$106,'Project codes'!$F$7:$F$106,"Review",0)="Hold","Review: allocation hold",IF(OR(D215="",COUNTIF('SOW register'!$A$7:$A$36,D215)&lt;&gt;1),"Review: SOW mapping",IF(AND(G215&lt;&gt;"Yes",G215&lt;&gt;"No"),"Review: billability",IF(AB215="","Review: billing evidence","OK"))))))))))))))</x:f>
      </x:c>
      <x:c r="J215" s="24"/>
      <x:c r="K215" s="38"/>
      <x:c r="L215" s="38"/>
      <x:c r="M215" s="38"/>
      <x:c r="N215" s="39"/>
      <x:c r="O215" s="24"/>
      <x:c r="P215" s="24"/>
      <x:c r="Q215" s="38"/>
      <x:c r="R215" s="38"/>
      <x:c r="S215" s="24"/>
      <x:c r="T215" s="24"/>
      <x:c r="U215" s="37" t="str">
        <x:f>IF(OR(J215="",Q215="",R215=""),"",J215&amp;"|"&amp;Q215&amp;"|"&amp;R215)</x:f>
      </x:c>
      <x:c r="V215" s="24"/>
      <x:c r="W215" s="24"/>
      <x:c r="X215" s="40"/>
      <x:c r="Y215" s="40"/>
      <x:c r="Z215" s="39"/>
      <x:c r="AA215" s="39"/>
      <x:c r="AB215" s="24"/>
    </x:row>
    <x:row r="216" ht="23" customHeight="1">
      <x:c r="A216" s="20"/>
      <x:c r="B216" s="5"/>
      <x:c r="C216" s="4"/>
      <x:c r="D216" s="34" t="str">
        <x:f>IF(OR(A216="",U216="",COUNTIF('Project codes'!$A$7:$A$106,U216)&lt;&gt;1),"",_xlfn.XLOOKUP(U216,'Project codes'!$A$7:$A$106,'Project codes'!$I$7:$I$106,"",0))</x:f>
      </x:c>
      <x:c r="E216" s="4"/>
      <x:c r="F216" s="35" t="str">
        <x:f>IF(AND(ISNUMBER(N216),N216&gt;=0,O216="Complete"),N216/3600000,"")</x:f>
      </x:c>
      <x:c r="G216" s="4"/>
      <x:c r="H216" s="4"/>
      <x:c r="I216" s="36" t="str">
        <x:f>IF(COUNTA(A216:C216,E216,G216:H216,J216:T216,V216:AB216)=0,"",IF(A216="","Review: missing entry ID",IF(COUNTIF($A$7:$A$506,A216)&gt;1,"Review: duplicate entry ID",IF(NOT(ISNUMBER(B216)),"Review: work date",IF(OR(C216="",E216="",K216="",M216="",H216=""),"Review: source details",IF(J216&lt;&gt;'Estimate review'!$J$5,"Review: project scope",IF(OR(NOT(ISNUMBER(N216)),N216&lt;0,O216&lt;&gt;"Complete"),"Review: duration",IF(S216&lt;&gt;"Coded","Review: coding status",IF(OR(U216="",COUNTIF('Project codes'!$A$7:$A$106,U216)=0),"Review: SOW mapping",IF(COUNTIF('Project codes'!$A$7:$A$106,U216)&gt;1,"Review: duplicate code",IF(_xlfn.XLOOKUP(U216,'Project codes'!$A$7:$A$106,'Project codes'!$F$7:$F$106,"Review",0)="Hold","Review: allocation hold",IF(OR(D216="",COUNTIF('SOW register'!$A$7:$A$36,D216)&lt;&gt;1),"Review: SOW mapping",IF(AND(G216&lt;&gt;"Yes",G216&lt;&gt;"No"),"Review: billability",IF(AB216="","Review: billing evidence","OK"))))))))))))))</x:f>
      </x:c>
      <x:c r="J216" s="24"/>
      <x:c r="K216" s="38"/>
      <x:c r="L216" s="38"/>
      <x:c r="M216" s="38"/>
      <x:c r="N216" s="39"/>
      <x:c r="O216" s="24"/>
      <x:c r="P216" s="24"/>
      <x:c r="Q216" s="38"/>
      <x:c r="R216" s="38"/>
      <x:c r="S216" s="24"/>
      <x:c r="T216" s="24"/>
      <x:c r="U216" s="37" t="str">
        <x:f>IF(OR(J216="",Q216="",R216=""),"",J216&amp;"|"&amp;Q216&amp;"|"&amp;R216)</x:f>
      </x:c>
      <x:c r="V216" s="24"/>
      <x:c r="W216" s="24"/>
      <x:c r="X216" s="40"/>
      <x:c r="Y216" s="40"/>
      <x:c r="Z216" s="39"/>
      <x:c r="AA216" s="39"/>
      <x:c r="AB216" s="24"/>
    </x:row>
    <x:row r="217" ht="23" customHeight="1">
      <x:c r="A217" s="20"/>
      <x:c r="B217" s="5"/>
      <x:c r="C217" s="4"/>
      <x:c r="D217" s="34" t="str">
        <x:f>IF(OR(A217="",U217="",COUNTIF('Project codes'!$A$7:$A$106,U217)&lt;&gt;1),"",_xlfn.XLOOKUP(U217,'Project codes'!$A$7:$A$106,'Project codes'!$I$7:$I$106,"",0))</x:f>
      </x:c>
      <x:c r="E217" s="4"/>
      <x:c r="F217" s="35" t="str">
        <x:f>IF(AND(ISNUMBER(N217),N217&gt;=0,O217="Complete"),N217/3600000,"")</x:f>
      </x:c>
      <x:c r="G217" s="4"/>
      <x:c r="H217" s="4"/>
      <x:c r="I217" s="36" t="str">
        <x:f>IF(COUNTA(A217:C217,E217,G217:H217,J217:T217,V217:AB217)=0,"",IF(A217="","Review: missing entry ID",IF(COUNTIF($A$7:$A$506,A217)&gt;1,"Review: duplicate entry ID",IF(NOT(ISNUMBER(B217)),"Review: work date",IF(OR(C217="",E217="",K217="",M217="",H217=""),"Review: source details",IF(J217&lt;&gt;'Estimate review'!$J$5,"Review: project scope",IF(OR(NOT(ISNUMBER(N217)),N217&lt;0,O217&lt;&gt;"Complete"),"Review: duration",IF(S217&lt;&gt;"Coded","Review: coding status",IF(OR(U217="",COUNTIF('Project codes'!$A$7:$A$106,U217)=0),"Review: SOW mapping",IF(COUNTIF('Project codes'!$A$7:$A$106,U217)&gt;1,"Review: duplicate code",IF(_xlfn.XLOOKUP(U217,'Project codes'!$A$7:$A$106,'Project codes'!$F$7:$F$106,"Review",0)="Hold","Review: allocation hold",IF(OR(D217="",COUNTIF('SOW register'!$A$7:$A$36,D217)&lt;&gt;1),"Review: SOW mapping",IF(AND(G217&lt;&gt;"Yes",G217&lt;&gt;"No"),"Review: billability",IF(AB217="","Review: billing evidence","OK"))))))))))))))</x:f>
      </x:c>
      <x:c r="J217" s="24"/>
      <x:c r="K217" s="38"/>
      <x:c r="L217" s="38"/>
      <x:c r="M217" s="38"/>
      <x:c r="N217" s="39"/>
      <x:c r="O217" s="24"/>
      <x:c r="P217" s="24"/>
      <x:c r="Q217" s="38"/>
      <x:c r="R217" s="38"/>
      <x:c r="S217" s="24"/>
      <x:c r="T217" s="24"/>
      <x:c r="U217" s="37" t="str">
        <x:f>IF(OR(J217="",Q217="",R217=""),"",J217&amp;"|"&amp;Q217&amp;"|"&amp;R217)</x:f>
      </x:c>
      <x:c r="V217" s="24"/>
      <x:c r="W217" s="24"/>
      <x:c r="X217" s="40"/>
      <x:c r="Y217" s="40"/>
      <x:c r="Z217" s="39"/>
      <x:c r="AA217" s="39"/>
      <x:c r="AB217" s="24"/>
    </x:row>
    <x:row r="218" ht="23" customHeight="1">
      <x:c r="A218" s="20"/>
      <x:c r="B218" s="5"/>
      <x:c r="C218" s="4"/>
      <x:c r="D218" s="34" t="str">
        <x:f>IF(OR(A218="",U218="",COUNTIF('Project codes'!$A$7:$A$106,U218)&lt;&gt;1),"",_xlfn.XLOOKUP(U218,'Project codes'!$A$7:$A$106,'Project codes'!$I$7:$I$106,"",0))</x:f>
      </x:c>
      <x:c r="E218" s="4"/>
      <x:c r="F218" s="35" t="str">
        <x:f>IF(AND(ISNUMBER(N218),N218&gt;=0,O218="Complete"),N218/3600000,"")</x:f>
      </x:c>
      <x:c r="G218" s="4"/>
      <x:c r="H218" s="4"/>
      <x:c r="I218" s="36" t="str">
        <x:f>IF(COUNTA(A218:C218,E218,G218:H218,J218:T218,V218:AB218)=0,"",IF(A218="","Review: missing entry ID",IF(COUNTIF($A$7:$A$506,A218)&gt;1,"Review: duplicate entry ID",IF(NOT(ISNUMBER(B218)),"Review: work date",IF(OR(C218="",E218="",K218="",M218="",H218=""),"Review: source details",IF(J218&lt;&gt;'Estimate review'!$J$5,"Review: project scope",IF(OR(NOT(ISNUMBER(N218)),N218&lt;0,O218&lt;&gt;"Complete"),"Review: duration",IF(S218&lt;&gt;"Coded","Review: coding status",IF(OR(U218="",COUNTIF('Project codes'!$A$7:$A$106,U218)=0),"Review: SOW mapping",IF(COUNTIF('Project codes'!$A$7:$A$106,U218)&gt;1,"Review: duplicate code",IF(_xlfn.XLOOKUP(U218,'Project codes'!$A$7:$A$106,'Project codes'!$F$7:$F$106,"Review",0)="Hold","Review: allocation hold",IF(OR(D218="",COUNTIF('SOW register'!$A$7:$A$36,D218)&lt;&gt;1),"Review: SOW mapping",IF(AND(G218&lt;&gt;"Yes",G218&lt;&gt;"No"),"Review: billability",IF(AB218="","Review: billing evidence","OK"))))))))))))))</x:f>
      </x:c>
      <x:c r="J218" s="24"/>
      <x:c r="K218" s="38"/>
      <x:c r="L218" s="38"/>
      <x:c r="M218" s="38"/>
      <x:c r="N218" s="39"/>
      <x:c r="O218" s="24"/>
      <x:c r="P218" s="24"/>
      <x:c r="Q218" s="38"/>
      <x:c r="R218" s="38"/>
      <x:c r="S218" s="24"/>
      <x:c r="T218" s="24"/>
      <x:c r="U218" s="37" t="str">
        <x:f>IF(OR(J218="",Q218="",R218=""),"",J218&amp;"|"&amp;Q218&amp;"|"&amp;R218)</x:f>
      </x:c>
      <x:c r="V218" s="24"/>
      <x:c r="W218" s="24"/>
      <x:c r="X218" s="40"/>
      <x:c r="Y218" s="40"/>
      <x:c r="Z218" s="39"/>
      <x:c r="AA218" s="39"/>
      <x:c r="AB218" s="24"/>
    </x:row>
    <x:row r="219" ht="23" customHeight="1">
      <x:c r="A219" s="20"/>
      <x:c r="B219" s="5"/>
      <x:c r="C219" s="4"/>
      <x:c r="D219" s="34" t="str">
        <x:f>IF(OR(A219="",U219="",COUNTIF('Project codes'!$A$7:$A$106,U219)&lt;&gt;1),"",_xlfn.XLOOKUP(U219,'Project codes'!$A$7:$A$106,'Project codes'!$I$7:$I$106,"",0))</x:f>
      </x:c>
      <x:c r="E219" s="4"/>
      <x:c r="F219" s="35" t="str">
        <x:f>IF(AND(ISNUMBER(N219),N219&gt;=0,O219="Complete"),N219/3600000,"")</x:f>
      </x:c>
      <x:c r="G219" s="4"/>
      <x:c r="H219" s="4"/>
      <x:c r="I219" s="36" t="str">
        <x:f>IF(COUNTA(A219:C219,E219,G219:H219,J219:T219,V219:AB219)=0,"",IF(A219="","Review: missing entry ID",IF(COUNTIF($A$7:$A$506,A219)&gt;1,"Review: duplicate entry ID",IF(NOT(ISNUMBER(B219)),"Review: work date",IF(OR(C219="",E219="",K219="",M219="",H219=""),"Review: source details",IF(J219&lt;&gt;'Estimate review'!$J$5,"Review: project scope",IF(OR(NOT(ISNUMBER(N219)),N219&lt;0,O219&lt;&gt;"Complete"),"Review: duration",IF(S219&lt;&gt;"Coded","Review: coding status",IF(OR(U219="",COUNTIF('Project codes'!$A$7:$A$106,U219)=0),"Review: SOW mapping",IF(COUNTIF('Project codes'!$A$7:$A$106,U219)&gt;1,"Review: duplicate code",IF(_xlfn.XLOOKUP(U219,'Project codes'!$A$7:$A$106,'Project codes'!$F$7:$F$106,"Review",0)="Hold","Review: allocation hold",IF(OR(D219="",COUNTIF('SOW register'!$A$7:$A$36,D219)&lt;&gt;1),"Review: SOW mapping",IF(AND(G219&lt;&gt;"Yes",G219&lt;&gt;"No"),"Review: billability",IF(AB219="","Review: billing evidence","OK"))))))))))))))</x:f>
      </x:c>
      <x:c r="J219" s="24"/>
      <x:c r="K219" s="38"/>
      <x:c r="L219" s="38"/>
      <x:c r="M219" s="38"/>
      <x:c r="N219" s="39"/>
      <x:c r="O219" s="24"/>
      <x:c r="P219" s="24"/>
      <x:c r="Q219" s="38"/>
      <x:c r="R219" s="38"/>
      <x:c r="S219" s="24"/>
      <x:c r="T219" s="24"/>
      <x:c r="U219" s="37" t="str">
        <x:f>IF(OR(J219="",Q219="",R219=""),"",J219&amp;"|"&amp;Q219&amp;"|"&amp;R219)</x:f>
      </x:c>
      <x:c r="V219" s="24"/>
      <x:c r="W219" s="24"/>
      <x:c r="X219" s="40"/>
      <x:c r="Y219" s="40"/>
      <x:c r="Z219" s="39"/>
      <x:c r="AA219" s="39"/>
      <x:c r="AB219" s="24"/>
    </x:row>
    <x:row r="220" ht="23" customHeight="1">
      <x:c r="A220" s="20"/>
      <x:c r="B220" s="5"/>
      <x:c r="C220" s="4"/>
      <x:c r="D220" s="34" t="str">
        <x:f>IF(OR(A220="",U220="",COUNTIF('Project codes'!$A$7:$A$106,U220)&lt;&gt;1),"",_xlfn.XLOOKUP(U220,'Project codes'!$A$7:$A$106,'Project codes'!$I$7:$I$106,"",0))</x:f>
      </x:c>
      <x:c r="E220" s="4"/>
      <x:c r="F220" s="35" t="str">
        <x:f>IF(AND(ISNUMBER(N220),N220&gt;=0,O220="Complete"),N220/3600000,"")</x:f>
      </x:c>
      <x:c r="G220" s="4"/>
      <x:c r="H220" s="4"/>
      <x:c r="I220" s="36" t="str">
        <x:f>IF(COUNTA(A220:C220,E220,G220:H220,J220:T220,V220:AB220)=0,"",IF(A220="","Review: missing entry ID",IF(COUNTIF($A$7:$A$506,A220)&gt;1,"Review: duplicate entry ID",IF(NOT(ISNUMBER(B220)),"Review: work date",IF(OR(C220="",E220="",K220="",M220="",H220=""),"Review: source details",IF(J220&lt;&gt;'Estimate review'!$J$5,"Review: project scope",IF(OR(NOT(ISNUMBER(N220)),N220&lt;0,O220&lt;&gt;"Complete"),"Review: duration",IF(S220&lt;&gt;"Coded","Review: coding status",IF(OR(U220="",COUNTIF('Project codes'!$A$7:$A$106,U220)=0),"Review: SOW mapping",IF(COUNTIF('Project codes'!$A$7:$A$106,U220)&gt;1,"Review: duplicate code",IF(_xlfn.XLOOKUP(U220,'Project codes'!$A$7:$A$106,'Project codes'!$F$7:$F$106,"Review",0)="Hold","Review: allocation hold",IF(OR(D220="",COUNTIF('SOW register'!$A$7:$A$36,D220)&lt;&gt;1),"Review: SOW mapping",IF(AND(G220&lt;&gt;"Yes",G220&lt;&gt;"No"),"Review: billability",IF(AB220="","Review: billing evidence","OK"))))))))))))))</x:f>
      </x:c>
      <x:c r="J220" s="24"/>
      <x:c r="K220" s="38"/>
      <x:c r="L220" s="38"/>
      <x:c r="M220" s="38"/>
      <x:c r="N220" s="39"/>
      <x:c r="O220" s="24"/>
      <x:c r="P220" s="24"/>
      <x:c r="Q220" s="38"/>
      <x:c r="R220" s="38"/>
      <x:c r="S220" s="24"/>
      <x:c r="T220" s="24"/>
      <x:c r="U220" s="37" t="str">
        <x:f>IF(OR(J220="",Q220="",R220=""),"",J220&amp;"|"&amp;Q220&amp;"|"&amp;R220)</x:f>
      </x:c>
      <x:c r="V220" s="24"/>
      <x:c r="W220" s="24"/>
      <x:c r="X220" s="40"/>
      <x:c r="Y220" s="40"/>
      <x:c r="Z220" s="39"/>
      <x:c r="AA220" s="39"/>
      <x:c r="AB220" s="24"/>
    </x:row>
    <x:row r="221" ht="23" customHeight="1">
      <x:c r="A221" s="20"/>
      <x:c r="B221" s="5"/>
      <x:c r="C221" s="4"/>
      <x:c r="D221" s="34" t="str">
        <x:f>IF(OR(A221="",U221="",COUNTIF('Project codes'!$A$7:$A$106,U221)&lt;&gt;1),"",_xlfn.XLOOKUP(U221,'Project codes'!$A$7:$A$106,'Project codes'!$I$7:$I$106,"",0))</x:f>
      </x:c>
      <x:c r="E221" s="4"/>
      <x:c r="F221" s="35" t="str">
        <x:f>IF(AND(ISNUMBER(N221),N221&gt;=0,O221="Complete"),N221/3600000,"")</x:f>
      </x:c>
      <x:c r="G221" s="4"/>
      <x:c r="H221" s="4"/>
      <x:c r="I221" s="36" t="str">
        <x:f>IF(COUNTA(A221:C221,E221,G221:H221,J221:T221,V221:AB221)=0,"",IF(A221="","Review: missing entry ID",IF(COUNTIF($A$7:$A$506,A221)&gt;1,"Review: duplicate entry ID",IF(NOT(ISNUMBER(B221)),"Review: work date",IF(OR(C221="",E221="",K221="",M221="",H221=""),"Review: source details",IF(J221&lt;&gt;'Estimate review'!$J$5,"Review: project scope",IF(OR(NOT(ISNUMBER(N221)),N221&lt;0,O221&lt;&gt;"Complete"),"Review: duration",IF(S221&lt;&gt;"Coded","Review: coding status",IF(OR(U221="",COUNTIF('Project codes'!$A$7:$A$106,U221)=0),"Review: SOW mapping",IF(COUNTIF('Project codes'!$A$7:$A$106,U221)&gt;1,"Review: duplicate code",IF(_xlfn.XLOOKUP(U221,'Project codes'!$A$7:$A$106,'Project codes'!$F$7:$F$106,"Review",0)="Hold","Review: allocation hold",IF(OR(D221="",COUNTIF('SOW register'!$A$7:$A$36,D221)&lt;&gt;1),"Review: SOW mapping",IF(AND(G221&lt;&gt;"Yes",G221&lt;&gt;"No"),"Review: billability",IF(AB221="","Review: billing evidence","OK"))))))))))))))</x:f>
      </x:c>
      <x:c r="J221" s="24"/>
      <x:c r="K221" s="38"/>
      <x:c r="L221" s="38"/>
      <x:c r="M221" s="38"/>
      <x:c r="N221" s="39"/>
      <x:c r="O221" s="24"/>
      <x:c r="P221" s="24"/>
      <x:c r="Q221" s="38"/>
      <x:c r="R221" s="38"/>
      <x:c r="S221" s="24"/>
      <x:c r="T221" s="24"/>
      <x:c r="U221" s="37" t="str">
        <x:f>IF(OR(J221="",Q221="",R221=""),"",J221&amp;"|"&amp;Q221&amp;"|"&amp;R221)</x:f>
      </x:c>
      <x:c r="V221" s="24"/>
      <x:c r="W221" s="24"/>
      <x:c r="X221" s="40"/>
      <x:c r="Y221" s="40"/>
      <x:c r="Z221" s="39"/>
      <x:c r="AA221" s="39"/>
      <x:c r="AB221" s="24"/>
    </x:row>
    <x:row r="222" ht="23" customHeight="1">
      <x:c r="A222" s="20"/>
      <x:c r="B222" s="5"/>
      <x:c r="C222" s="4"/>
      <x:c r="D222" s="34" t="str">
        <x:f>IF(OR(A222="",U222="",COUNTIF('Project codes'!$A$7:$A$106,U222)&lt;&gt;1),"",_xlfn.XLOOKUP(U222,'Project codes'!$A$7:$A$106,'Project codes'!$I$7:$I$106,"",0))</x:f>
      </x:c>
      <x:c r="E222" s="4"/>
      <x:c r="F222" s="35" t="str">
        <x:f>IF(AND(ISNUMBER(N222),N222&gt;=0,O222="Complete"),N222/3600000,"")</x:f>
      </x:c>
      <x:c r="G222" s="4"/>
      <x:c r="H222" s="4"/>
      <x:c r="I222" s="36" t="str">
        <x:f>IF(COUNTA(A222:C222,E222,G222:H222,J222:T222,V222:AB222)=0,"",IF(A222="","Review: missing entry ID",IF(COUNTIF($A$7:$A$506,A222)&gt;1,"Review: duplicate entry ID",IF(NOT(ISNUMBER(B222)),"Review: work date",IF(OR(C222="",E222="",K222="",M222="",H222=""),"Review: source details",IF(J222&lt;&gt;'Estimate review'!$J$5,"Review: project scope",IF(OR(NOT(ISNUMBER(N222)),N222&lt;0,O222&lt;&gt;"Complete"),"Review: duration",IF(S222&lt;&gt;"Coded","Review: coding status",IF(OR(U222="",COUNTIF('Project codes'!$A$7:$A$106,U222)=0),"Review: SOW mapping",IF(COUNTIF('Project codes'!$A$7:$A$106,U222)&gt;1,"Review: duplicate code",IF(_xlfn.XLOOKUP(U222,'Project codes'!$A$7:$A$106,'Project codes'!$F$7:$F$106,"Review",0)="Hold","Review: allocation hold",IF(OR(D222="",COUNTIF('SOW register'!$A$7:$A$36,D222)&lt;&gt;1),"Review: SOW mapping",IF(AND(G222&lt;&gt;"Yes",G222&lt;&gt;"No"),"Review: billability",IF(AB222="","Review: billing evidence","OK"))))))))))))))</x:f>
      </x:c>
      <x:c r="J222" s="24"/>
      <x:c r="K222" s="38"/>
      <x:c r="L222" s="38"/>
      <x:c r="M222" s="38"/>
      <x:c r="N222" s="39"/>
      <x:c r="O222" s="24"/>
      <x:c r="P222" s="24"/>
      <x:c r="Q222" s="38"/>
      <x:c r="R222" s="38"/>
      <x:c r="S222" s="24"/>
      <x:c r="T222" s="24"/>
      <x:c r="U222" s="37" t="str">
        <x:f>IF(OR(J222="",Q222="",R222=""),"",J222&amp;"|"&amp;Q222&amp;"|"&amp;R222)</x:f>
      </x:c>
      <x:c r="V222" s="24"/>
      <x:c r="W222" s="24"/>
      <x:c r="X222" s="40"/>
      <x:c r="Y222" s="40"/>
      <x:c r="Z222" s="39"/>
      <x:c r="AA222" s="39"/>
      <x:c r="AB222" s="24"/>
    </x:row>
    <x:row r="223" ht="23" customHeight="1">
      <x:c r="A223" s="20"/>
      <x:c r="B223" s="5"/>
      <x:c r="C223" s="4"/>
      <x:c r="D223" s="34" t="str">
        <x:f>IF(OR(A223="",U223="",COUNTIF('Project codes'!$A$7:$A$106,U223)&lt;&gt;1),"",_xlfn.XLOOKUP(U223,'Project codes'!$A$7:$A$106,'Project codes'!$I$7:$I$106,"",0))</x:f>
      </x:c>
      <x:c r="E223" s="4"/>
      <x:c r="F223" s="35" t="str">
        <x:f>IF(AND(ISNUMBER(N223),N223&gt;=0,O223="Complete"),N223/3600000,"")</x:f>
      </x:c>
      <x:c r="G223" s="4"/>
      <x:c r="H223" s="4"/>
      <x:c r="I223" s="36" t="str">
        <x:f>IF(COUNTA(A223:C223,E223,G223:H223,J223:T223,V223:AB223)=0,"",IF(A223="","Review: missing entry ID",IF(COUNTIF($A$7:$A$506,A223)&gt;1,"Review: duplicate entry ID",IF(NOT(ISNUMBER(B223)),"Review: work date",IF(OR(C223="",E223="",K223="",M223="",H223=""),"Review: source details",IF(J223&lt;&gt;'Estimate review'!$J$5,"Review: project scope",IF(OR(NOT(ISNUMBER(N223)),N223&lt;0,O223&lt;&gt;"Complete"),"Review: duration",IF(S223&lt;&gt;"Coded","Review: coding status",IF(OR(U223="",COUNTIF('Project codes'!$A$7:$A$106,U223)=0),"Review: SOW mapping",IF(COUNTIF('Project codes'!$A$7:$A$106,U223)&gt;1,"Review: duplicate code",IF(_xlfn.XLOOKUP(U223,'Project codes'!$A$7:$A$106,'Project codes'!$F$7:$F$106,"Review",0)="Hold","Review: allocation hold",IF(OR(D223="",COUNTIF('SOW register'!$A$7:$A$36,D223)&lt;&gt;1),"Review: SOW mapping",IF(AND(G223&lt;&gt;"Yes",G223&lt;&gt;"No"),"Review: billability",IF(AB223="","Review: billing evidence","OK"))))))))))))))</x:f>
      </x:c>
      <x:c r="J223" s="24"/>
      <x:c r="K223" s="38"/>
      <x:c r="L223" s="38"/>
      <x:c r="M223" s="38"/>
      <x:c r="N223" s="39"/>
      <x:c r="O223" s="24"/>
      <x:c r="P223" s="24"/>
      <x:c r="Q223" s="38"/>
      <x:c r="R223" s="38"/>
      <x:c r="S223" s="24"/>
      <x:c r="T223" s="24"/>
      <x:c r="U223" s="37" t="str">
        <x:f>IF(OR(J223="",Q223="",R223=""),"",J223&amp;"|"&amp;Q223&amp;"|"&amp;R223)</x:f>
      </x:c>
      <x:c r="V223" s="24"/>
      <x:c r="W223" s="24"/>
      <x:c r="X223" s="40"/>
      <x:c r="Y223" s="40"/>
      <x:c r="Z223" s="39"/>
      <x:c r="AA223" s="39"/>
      <x:c r="AB223" s="24"/>
    </x:row>
    <x:row r="224" ht="23" customHeight="1">
      <x:c r="A224" s="20"/>
      <x:c r="B224" s="5"/>
      <x:c r="C224" s="4"/>
      <x:c r="D224" s="34" t="str">
        <x:f>IF(OR(A224="",U224="",COUNTIF('Project codes'!$A$7:$A$106,U224)&lt;&gt;1),"",_xlfn.XLOOKUP(U224,'Project codes'!$A$7:$A$106,'Project codes'!$I$7:$I$106,"",0))</x:f>
      </x:c>
      <x:c r="E224" s="4"/>
      <x:c r="F224" s="35" t="str">
        <x:f>IF(AND(ISNUMBER(N224),N224&gt;=0,O224="Complete"),N224/3600000,"")</x:f>
      </x:c>
      <x:c r="G224" s="4"/>
      <x:c r="H224" s="4"/>
      <x:c r="I224" s="36" t="str">
        <x:f>IF(COUNTA(A224:C224,E224,G224:H224,J224:T224,V224:AB224)=0,"",IF(A224="","Review: missing entry ID",IF(COUNTIF($A$7:$A$506,A224)&gt;1,"Review: duplicate entry ID",IF(NOT(ISNUMBER(B224)),"Review: work date",IF(OR(C224="",E224="",K224="",M224="",H224=""),"Review: source details",IF(J224&lt;&gt;'Estimate review'!$J$5,"Review: project scope",IF(OR(NOT(ISNUMBER(N224)),N224&lt;0,O224&lt;&gt;"Complete"),"Review: duration",IF(S224&lt;&gt;"Coded","Review: coding status",IF(OR(U224="",COUNTIF('Project codes'!$A$7:$A$106,U224)=0),"Review: SOW mapping",IF(COUNTIF('Project codes'!$A$7:$A$106,U224)&gt;1,"Review: duplicate code",IF(_xlfn.XLOOKUP(U224,'Project codes'!$A$7:$A$106,'Project codes'!$F$7:$F$106,"Review",0)="Hold","Review: allocation hold",IF(OR(D224="",COUNTIF('SOW register'!$A$7:$A$36,D224)&lt;&gt;1),"Review: SOW mapping",IF(AND(G224&lt;&gt;"Yes",G224&lt;&gt;"No"),"Review: billability",IF(AB224="","Review: billing evidence","OK"))))))))))))))</x:f>
      </x:c>
      <x:c r="J224" s="24"/>
      <x:c r="K224" s="38"/>
      <x:c r="L224" s="38"/>
      <x:c r="M224" s="38"/>
      <x:c r="N224" s="39"/>
      <x:c r="O224" s="24"/>
      <x:c r="P224" s="24"/>
      <x:c r="Q224" s="38"/>
      <x:c r="R224" s="38"/>
      <x:c r="S224" s="24"/>
      <x:c r="T224" s="24"/>
      <x:c r="U224" s="37" t="str">
        <x:f>IF(OR(J224="",Q224="",R224=""),"",J224&amp;"|"&amp;Q224&amp;"|"&amp;R224)</x:f>
      </x:c>
      <x:c r="V224" s="24"/>
      <x:c r="W224" s="24"/>
      <x:c r="X224" s="40"/>
      <x:c r="Y224" s="40"/>
      <x:c r="Z224" s="39"/>
      <x:c r="AA224" s="39"/>
      <x:c r="AB224" s="24"/>
    </x:row>
    <x:row r="225" ht="23" customHeight="1">
      <x:c r="A225" s="20"/>
      <x:c r="B225" s="5"/>
      <x:c r="C225" s="4"/>
      <x:c r="D225" s="34" t="str">
        <x:f>IF(OR(A225="",U225="",COUNTIF('Project codes'!$A$7:$A$106,U225)&lt;&gt;1),"",_xlfn.XLOOKUP(U225,'Project codes'!$A$7:$A$106,'Project codes'!$I$7:$I$106,"",0))</x:f>
      </x:c>
      <x:c r="E225" s="4"/>
      <x:c r="F225" s="35" t="str">
        <x:f>IF(AND(ISNUMBER(N225),N225&gt;=0,O225="Complete"),N225/3600000,"")</x:f>
      </x:c>
      <x:c r="G225" s="4"/>
      <x:c r="H225" s="4"/>
      <x:c r="I225" s="36" t="str">
        <x:f>IF(COUNTA(A225:C225,E225,G225:H225,J225:T225,V225:AB225)=0,"",IF(A225="","Review: missing entry ID",IF(COUNTIF($A$7:$A$506,A225)&gt;1,"Review: duplicate entry ID",IF(NOT(ISNUMBER(B225)),"Review: work date",IF(OR(C225="",E225="",K225="",M225="",H225=""),"Review: source details",IF(J225&lt;&gt;'Estimate review'!$J$5,"Review: project scope",IF(OR(NOT(ISNUMBER(N225)),N225&lt;0,O225&lt;&gt;"Complete"),"Review: duration",IF(S225&lt;&gt;"Coded","Review: coding status",IF(OR(U225="",COUNTIF('Project codes'!$A$7:$A$106,U225)=0),"Review: SOW mapping",IF(COUNTIF('Project codes'!$A$7:$A$106,U225)&gt;1,"Review: duplicate code",IF(_xlfn.XLOOKUP(U225,'Project codes'!$A$7:$A$106,'Project codes'!$F$7:$F$106,"Review",0)="Hold","Review: allocation hold",IF(OR(D225="",COUNTIF('SOW register'!$A$7:$A$36,D225)&lt;&gt;1),"Review: SOW mapping",IF(AND(G225&lt;&gt;"Yes",G225&lt;&gt;"No"),"Review: billability",IF(AB225="","Review: billing evidence","OK"))))))))))))))</x:f>
      </x:c>
      <x:c r="J225" s="24"/>
      <x:c r="K225" s="38"/>
      <x:c r="L225" s="38"/>
      <x:c r="M225" s="38"/>
      <x:c r="N225" s="39"/>
      <x:c r="O225" s="24"/>
      <x:c r="P225" s="24"/>
      <x:c r="Q225" s="38"/>
      <x:c r="R225" s="38"/>
      <x:c r="S225" s="24"/>
      <x:c r="T225" s="24"/>
      <x:c r="U225" s="37" t="str">
        <x:f>IF(OR(J225="",Q225="",R225=""),"",J225&amp;"|"&amp;Q225&amp;"|"&amp;R225)</x:f>
      </x:c>
      <x:c r="V225" s="24"/>
      <x:c r="W225" s="24"/>
      <x:c r="X225" s="40"/>
      <x:c r="Y225" s="40"/>
      <x:c r="Z225" s="39"/>
      <x:c r="AA225" s="39"/>
      <x:c r="AB225" s="24"/>
    </x:row>
    <x:row r="226" ht="23" customHeight="1">
      <x:c r="A226" s="20"/>
      <x:c r="B226" s="5"/>
      <x:c r="C226" s="4"/>
      <x:c r="D226" s="34" t="str">
        <x:f>IF(OR(A226="",U226="",COUNTIF('Project codes'!$A$7:$A$106,U226)&lt;&gt;1),"",_xlfn.XLOOKUP(U226,'Project codes'!$A$7:$A$106,'Project codes'!$I$7:$I$106,"",0))</x:f>
      </x:c>
      <x:c r="E226" s="4"/>
      <x:c r="F226" s="35" t="str">
        <x:f>IF(AND(ISNUMBER(N226),N226&gt;=0,O226="Complete"),N226/3600000,"")</x:f>
      </x:c>
      <x:c r="G226" s="4"/>
      <x:c r="H226" s="4"/>
      <x:c r="I226" s="36" t="str">
        <x:f>IF(COUNTA(A226:C226,E226,G226:H226,J226:T226,V226:AB226)=0,"",IF(A226="","Review: missing entry ID",IF(COUNTIF($A$7:$A$506,A226)&gt;1,"Review: duplicate entry ID",IF(NOT(ISNUMBER(B226)),"Review: work date",IF(OR(C226="",E226="",K226="",M226="",H226=""),"Review: source details",IF(J226&lt;&gt;'Estimate review'!$J$5,"Review: project scope",IF(OR(NOT(ISNUMBER(N226)),N226&lt;0,O226&lt;&gt;"Complete"),"Review: duration",IF(S226&lt;&gt;"Coded","Review: coding status",IF(OR(U226="",COUNTIF('Project codes'!$A$7:$A$106,U226)=0),"Review: SOW mapping",IF(COUNTIF('Project codes'!$A$7:$A$106,U226)&gt;1,"Review: duplicate code",IF(_xlfn.XLOOKUP(U226,'Project codes'!$A$7:$A$106,'Project codes'!$F$7:$F$106,"Review",0)="Hold","Review: allocation hold",IF(OR(D226="",COUNTIF('SOW register'!$A$7:$A$36,D226)&lt;&gt;1),"Review: SOW mapping",IF(AND(G226&lt;&gt;"Yes",G226&lt;&gt;"No"),"Review: billability",IF(AB226="","Review: billing evidence","OK"))))))))))))))</x:f>
      </x:c>
      <x:c r="J226" s="24"/>
      <x:c r="K226" s="38"/>
      <x:c r="L226" s="38"/>
      <x:c r="M226" s="38"/>
      <x:c r="N226" s="39"/>
      <x:c r="O226" s="24"/>
      <x:c r="P226" s="24"/>
      <x:c r="Q226" s="38"/>
      <x:c r="R226" s="38"/>
      <x:c r="S226" s="24"/>
      <x:c r="T226" s="24"/>
      <x:c r="U226" s="37" t="str">
        <x:f>IF(OR(J226="",Q226="",R226=""),"",J226&amp;"|"&amp;Q226&amp;"|"&amp;R226)</x:f>
      </x:c>
      <x:c r="V226" s="24"/>
      <x:c r="W226" s="24"/>
      <x:c r="X226" s="40"/>
      <x:c r="Y226" s="40"/>
      <x:c r="Z226" s="39"/>
      <x:c r="AA226" s="39"/>
      <x:c r="AB226" s="24"/>
    </x:row>
    <x:row r="227" ht="23" customHeight="1">
      <x:c r="A227" s="20"/>
      <x:c r="B227" s="5"/>
      <x:c r="C227" s="4"/>
      <x:c r="D227" s="34" t="str">
        <x:f>IF(OR(A227="",U227="",COUNTIF('Project codes'!$A$7:$A$106,U227)&lt;&gt;1),"",_xlfn.XLOOKUP(U227,'Project codes'!$A$7:$A$106,'Project codes'!$I$7:$I$106,"",0))</x:f>
      </x:c>
      <x:c r="E227" s="4"/>
      <x:c r="F227" s="35" t="str">
        <x:f>IF(AND(ISNUMBER(N227),N227&gt;=0,O227="Complete"),N227/3600000,"")</x:f>
      </x:c>
      <x:c r="G227" s="4"/>
      <x:c r="H227" s="4"/>
      <x:c r="I227" s="36" t="str">
        <x:f>IF(COUNTA(A227:C227,E227,G227:H227,J227:T227,V227:AB227)=0,"",IF(A227="","Review: missing entry ID",IF(COUNTIF($A$7:$A$506,A227)&gt;1,"Review: duplicate entry ID",IF(NOT(ISNUMBER(B227)),"Review: work date",IF(OR(C227="",E227="",K227="",M227="",H227=""),"Review: source details",IF(J227&lt;&gt;'Estimate review'!$J$5,"Review: project scope",IF(OR(NOT(ISNUMBER(N227)),N227&lt;0,O227&lt;&gt;"Complete"),"Review: duration",IF(S227&lt;&gt;"Coded","Review: coding status",IF(OR(U227="",COUNTIF('Project codes'!$A$7:$A$106,U227)=0),"Review: SOW mapping",IF(COUNTIF('Project codes'!$A$7:$A$106,U227)&gt;1,"Review: duplicate code",IF(_xlfn.XLOOKUP(U227,'Project codes'!$A$7:$A$106,'Project codes'!$F$7:$F$106,"Review",0)="Hold","Review: allocation hold",IF(OR(D227="",COUNTIF('SOW register'!$A$7:$A$36,D227)&lt;&gt;1),"Review: SOW mapping",IF(AND(G227&lt;&gt;"Yes",G227&lt;&gt;"No"),"Review: billability",IF(AB227="","Review: billing evidence","OK"))))))))))))))</x:f>
      </x:c>
      <x:c r="J227" s="24"/>
      <x:c r="K227" s="38"/>
      <x:c r="L227" s="38"/>
      <x:c r="M227" s="38"/>
      <x:c r="N227" s="39"/>
      <x:c r="O227" s="24"/>
      <x:c r="P227" s="24"/>
      <x:c r="Q227" s="38"/>
      <x:c r="R227" s="38"/>
      <x:c r="S227" s="24"/>
      <x:c r="T227" s="24"/>
      <x:c r="U227" s="37" t="str">
        <x:f>IF(OR(J227="",Q227="",R227=""),"",J227&amp;"|"&amp;Q227&amp;"|"&amp;R227)</x:f>
      </x:c>
      <x:c r="V227" s="24"/>
      <x:c r="W227" s="24"/>
      <x:c r="X227" s="40"/>
      <x:c r="Y227" s="40"/>
      <x:c r="Z227" s="39"/>
      <x:c r="AA227" s="39"/>
      <x:c r="AB227" s="24"/>
    </x:row>
    <x:row r="228" ht="23" customHeight="1">
      <x:c r="A228" s="20"/>
      <x:c r="B228" s="5"/>
      <x:c r="C228" s="4"/>
      <x:c r="D228" s="34" t="str">
        <x:f>IF(OR(A228="",U228="",COUNTIF('Project codes'!$A$7:$A$106,U228)&lt;&gt;1),"",_xlfn.XLOOKUP(U228,'Project codes'!$A$7:$A$106,'Project codes'!$I$7:$I$106,"",0))</x:f>
      </x:c>
      <x:c r="E228" s="4"/>
      <x:c r="F228" s="35" t="str">
        <x:f>IF(AND(ISNUMBER(N228),N228&gt;=0,O228="Complete"),N228/3600000,"")</x:f>
      </x:c>
      <x:c r="G228" s="4"/>
      <x:c r="H228" s="4"/>
      <x:c r="I228" s="36" t="str">
        <x:f>IF(COUNTA(A228:C228,E228,G228:H228,J228:T228,V228:AB228)=0,"",IF(A228="","Review: missing entry ID",IF(COUNTIF($A$7:$A$506,A228)&gt;1,"Review: duplicate entry ID",IF(NOT(ISNUMBER(B228)),"Review: work date",IF(OR(C228="",E228="",K228="",M228="",H228=""),"Review: source details",IF(J228&lt;&gt;'Estimate review'!$J$5,"Review: project scope",IF(OR(NOT(ISNUMBER(N228)),N228&lt;0,O228&lt;&gt;"Complete"),"Review: duration",IF(S228&lt;&gt;"Coded","Review: coding status",IF(OR(U228="",COUNTIF('Project codes'!$A$7:$A$106,U228)=0),"Review: SOW mapping",IF(COUNTIF('Project codes'!$A$7:$A$106,U228)&gt;1,"Review: duplicate code",IF(_xlfn.XLOOKUP(U228,'Project codes'!$A$7:$A$106,'Project codes'!$F$7:$F$106,"Review",0)="Hold","Review: allocation hold",IF(OR(D228="",COUNTIF('SOW register'!$A$7:$A$36,D228)&lt;&gt;1),"Review: SOW mapping",IF(AND(G228&lt;&gt;"Yes",G228&lt;&gt;"No"),"Review: billability",IF(AB228="","Review: billing evidence","OK"))))))))))))))</x:f>
      </x:c>
      <x:c r="J228" s="24"/>
      <x:c r="K228" s="38"/>
      <x:c r="L228" s="38"/>
      <x:c r="M228" s="38"/>
      <x:c r="N228" s="39"/>
      <x:c r="O228" s="24"/>
      <x:c r="P228" s="24"/>
      <x:c r="Q228" s="38"/>
      <x:c r="R228" s="38"/>
      <x:c r="S228" s="24"/>
      <x:c r="T228" s="24"/>
      <x:c r="U228" s="37" t="str">
        <x:f>IF(OR(J228="",Q228="",R228=""),"",J228&amp;"|"&amp;Q228&amp;"|"&amp;R228)</x:f>
      </x:c>
      <x:c r="V228" s="24"/>
      <x:c r="W228" s="24"/>
      <x:c r="X228" s="40"/>
      <x:c r="Y228" s="40"/>
      <x:c r="Z228" s="39"/>
      <x:c r="AA228" s="39"/>
      <x:c r="AB228" s="24"/>
    </x:row>
    <x:row r="229" ht="23" customHeight="1">
      <x:c r="A229" s="20"/>
      <x:c r="B229" s="5"/>
      <x:c r="C229" s="4"/>
      <x:c r="D229" s="34" t="str">
        <x:f>IF(OR(A229="",U229="",COUNTIF('Project codes'!$A$7:$A$106,U229)&lt;&gt;1),"",_xlfn.XLOOKUP(U229,'Project codes'!$A$7:$A$106,'Project codes'!$I$7:$I$106,"",0))</x:f>
      </x:c>
      <x:c r="E229" s="4"/>
      <x:c r="F229" s="35" t="str">
        <x:f>IF(AND(ISNUMBER(N229),N229&gt;=0,O229="Complete"),N229/3600000,"")</x:f>
      </x:c>
      <x:c r="G229" s="4"/>
      <x:c r="H229" s="4"/>
      <x:c r="I229" s="36" t="str">
        <x:f>IF(COUNTA(A229:C229,E229,G229:H229,J229:T229,V229:AB229)=0,"",IF(A229="","Review: missing entry ID",IF(COUNTIF($A$7:$A$506,A229)&gt;1,"Review: duplicate entry ID",IF(NOT(ISNUMBER(B229)),"Review: work date",IF(OR(C229="",E229="",K229="",M229="",H229=""),"Review: source details",IF(J229&lt;&gt;'Estimate review'!$J$5,"Review: project scope",IF(OR(NOT(ISNUMBER(N229)),N229&lt;0,O229&lt;&gt;"Complete"),"Review: duration",IF(S229&lt;&gt;"Coded","Review: coding status",IF(OR(U229="",COUNTIF('Project codes'!$A$7:$A$106,U229)=0),"Review: SOW mapping",IF(COUNTIF('Project codes'!$A$7:$A$106,U229)&gt;1,"Review: duplicate code",IF(_xlfn.XLOOKUP(U229,'Project codes'!$A$7:$A$106,'Project codes'!$F$7:$F$106,"Review",0)="Hold","Review: allocation hold",IF(OR(D229="",COUNTIF('SOW register'!$A$7:$A$36,D229)&lt;&gt;1),"Review: SOW mapping",IF(AND(G229&lt;&gt;"Yes",G229&lt;&gt;"No"),"Review: billability",IF(AB229="","Review: billing evidence","OK"))))))))))))))</x:f>
      </x:c>
      <x:c r="J229" s="24"/>
      <x:c r="K229" s="38"/>
      <x:c r="L229" s="38"/>
      <x:c r="M229" s="38"/>
      <x:c r="N229" s="39"/>
      <x:c r="O229" s="24"/>
      <x:c r="P229" s="24"/>
      <x:c r="Q229" s="38"/>
      <x:c r="R229" s="38"/>
      <x:c r="S229" s="24"/>
      <x:c r="T229" s="24"/>
      <x:c r="U229" s="37" t="str">
        <x:f>IF(OR(J229="",Q229="",R229=""),"",J229&amp;"|"&amp;Q229&amp;"|"&amp;R229)</x:f>
      </x:c>
      <x:c r="V229" s="24"/>
      <x:c r="W229" s="24"/>
      <x:c r="X229" s="40"/>
      <x:c r="Y229" s="40"/>
      <x:c r="Z229" s="39"/>
      <x:c r="AA229" s="39"/>
      <x:c r="AB229" s="24"/>
    </x:row>
    <x:row r="230" ht="23" customHeight="1">
      <x:c r="A230" s="20"/>
      <x:c r="B230" s="5"/>
      <x:c r="C230" s="4"/>
      <x:c r="D230" s="34" t="str">
        <x:f>IF(OR(A230="",U230="",COUNTIF('Project codes'!$A$7:$A$106,U230)&lt;&gt;1),"",_xlfn.XLOOKUP(U230,'Project codes'!$A$7:$A$106,'Project codes'!$I$7:$I$106,"",0))</x:f>
      </x:c>
      <x:c r="E230" s="4"/>
      <x:c r="F230" s="35" t="str">
        <x:f>IF(AND(ISNUMBER(N230),N230&gt;=0,O230="Complete"),N230/3600000,"")</x:f>
      </x:c>
      <x:c r="G230" s="4"/>
      <x:c r="H230" s="4"/>
      <x:c r="I230" s="36" t="str">
        <x:f>IF(COUNTA(A230:C230,E230,G230:H230,J230:T230,V230:AB230)=0,"",IF(A230="","Review: missing entry ID",IF(COUNTIF($A$7:$A$506,A230)&gt;1,"Review: duplicate entry ID",IF(NOT(ISNUMBER(B230)),"Review: work date",IF(OR(C230="",E230="",K230="",M230="",H230=""),"Review: source details",IF(J230&lt;&gt;'Estimate review'!$J$5,"Review: project scope",IF(OR(NOT(ISNUMBER(N230)),N230&lt;0,O230&lt;&gt;"Complete"),"Review: duration",IF(S230&lt;&gt;"Coded","Review: coding status",IF(OR(U230="",COUNTIF('Project codes'!$A$7:$A$106,U230)=0),"Review: SOW mapping",IF(COUNTIF('Project codes'!$A$7:$A$106,U230)&gt;1,"Review: duplicate code",IF(_xlfn.XLOOKUP(U230,'Project codes'!$A$7:$A$106,'Project codes'!$F$7:$F$106,"Review",0)="Hold","Review: allocation hold",IF(OR(D230="",COUNTIF('SOW register'!$A$7:$A$36,D230)&lt;&gt;1),"Review: SOW mapping",IF(AND(G230&lt;&gt;"Yes",G230&lt;&gt;"No"),"Review: billability",IF(AB230="","Review: billing evidence","OK"))))))))))))))</x:f>
      </x:c>
      <x:c r="J230" s="24"/>
      <x:c r="K230" s="38"/>
      <x:c r="L230" s="38"/>
      <x:c r="M230" s="38"/>
      <x:c r="N230" s="39"/>
      <x:c r="O230" s="24"/>
      <x:c r="P230" s="24"/>
      <x:c r="Q230" s="38"/>
      <x:c r="R230" s="38"/>
      <x:c r="S230" s="24"/>
      <x:c r="T230" s="24"/>
      <x:c r="U230" s="37" t="str">
        <x:f>IF(OR(J230="",Q230="",R230=""),"",J230&amp;"|"&amp;Q230&amp;"|"&amp;R230)</x:f>
      </x:c>
      <x:c r="V230" s="24"/>
      <x:c r="W230" s="24"/>
      <x:c r="X230" s="40"/>
      <x:c r="Y230" s="40"/>
      <x:c r="Z230" s="39"/>
      <x:c r="AA230" s="39"/>
      <x:c r="AB230" s="24"/>
    </x:row>
    <x:row r="231" ht="23" customHeight="1">
      <x:c r="A231" s="20"/>
      <x:c r="B231" s="5"/>
      <x:c r="C231" s="4"/>
      <x:c r="D231" s="34" t="str">
        <x:f>IF(OR(A231="",U231="",COUNTIF('Project codes'!$A$7:$A$106,U231)&lt;&gt;1),"",_xlfn.XLOOKUP(U231,'Project codes'!$A$7:$A$106,'Project codes'!$I$7:$I$106,"",0))</x:f>
      </x:c>
      <x:c r="E231" s="4"/>
      <x:c r="F231" s="35" t="str">
        <x:f>IF(AND(ISNUMBER(N231),N231&gt;=0,O231="Complete"),N231/3600000,"")</x:f>
      </x:c>
      <x:c r="G231" s="4"/>
      <x:c r="H231" s="4"/>
      <x:c r="I231" s="36" t="str">
        <x:f>IF(COUNTA(A231:C231,E231,G231:H231,J231:T231,V231:AB231)=0,"",IF(A231="","Review: missing entry ID",IF(COUNTIF($A$7:$A$506,A231)&gt;1,"Review: duplicate entry ID",IF(NOT(ISNUMBER(B231)),"Review: work date",IF(OR(C231="",E231="",K231="",M231="",H231=""),"Review: source details",IF(J231&lt;&gt;'Estimate review'!$J$5,"Review: project scope",IF(OR(NOT(ISNUMBER(N231)),N231&lt;0,O231&lt;&gt;"Complete"),"Review: duration",IF(S231&lt;&gt;"Coded","Review: coding status",IF(OR(U231="",COUNTIF('Project codes'!$A$7:$A$106,U231)=0),"Review: SOW mapping",IF(COUNTIF('Project codes'!$A$7:$A$106,U231)&gt;1,"Review: duplicate code",IF(_xlfn.XLOOKUP(U231,'Project codes'!$A$7:$A$106,'Project codes'!$F$7:$F$106,"Review",0)="Hold","Review: allocation hold",IF(OR(D231="",COUNTIF('SOW register'!$A$7:$A$36,D231)&lt;&gt;1),"Review: SOW mapping",IF(AND(G231&lt;&gt;"Yes",G231&lt;&gt;"No"),"Review: billability",IF(AB231="","Review: billing evidence","OK"))))))))))))))</x:f>
      </x:c>
      <x:c r="J231" s="24"/>
      <x:c r="K231" s="38"/>
      <x:c r="L231" s="38"/>
      <x:c r="M231" s="38"/>
      <x:c r="N231" s="39"/>
      <x:c r="O231" s="24"/>
      <x:c r="P231" s="24"/>
      <x:c r="Q231" s="38"/>
      <x:c r="R231" s="38"/>
      <x:c r="S231" s="24"/>
      <x:c r="T231" s="24"/>
      <x:c r="U231" s="37" t="str">
        <x:f>IF(OR(J231="",Q231="",R231=""),"",J231&amp;"|"&amp;Q231&amp;"|"&amp;R231)</x:f>
      </x:c>
      <x:c r="V231" s="24"/>
      <x:c r="W231" s="24"/>
      <x:c r="X231" s="40"/>
      <x:c r="Y231" s="40"/>
      <x:c r="Z231" s="39"/>
      <x:c r="AA231" s="39"/>
      <x:c r="AB231" s="24"/>
    </x:row>
    <x:row r="232" ht="23" customHeight="1">
      <x:c r="A232" s="20"/>
      <x:c r="B232" s="5"/>
      <x:c r="C232" s="4"/>
      <x:c r="D232" s="34" t="str">
        <x:f>IF(OR(A232="",U232="",COUNTIF('Project codes'!$A$7:$A$106,U232)&lt;&gt;1),"",_xlfn.XLOOKUP(U232,'Project codes'!$A$7:$A$106,'Project codes'!$I$7:$I$106,"",0))</x:f>
      </x:c>
      <x:c r="E232" s="4"/>
      <x:c r="F232" s="35" t="str">
        <x:f>IF(AND(ISNUMBER(N232),N232&gt;=0,O232="Complete"),N232/3600000,"")</x:f>
      </x:c>
      <x:c r="G232" s="4"/>
      <x:c r="H232" s="4"/>
      <x:c r="I232" s="36" t="str">
        <x:f>IF(COUNTA(A232:C232,E232,G232:H232,J232:T232,V232:AB232)=0,"",IF(A232="","Review: missing entry ID",IF(COUNTIF($A$7:$A$506,A232)&gt;1,"Review: duplicate entry ID",IF(NOT(ISNUMBER(B232)),"Review: work date",IF(OR(C232="",E232="",K232="",M232="",H232=""),"Review: source details",IF(J232&lt;&gt;'Estimate review'!$J$5,"Review: project scope",IF(OR(NOT(ISNUMBER(N232)),N232&lt;0,O232&lt;&gt;"Complete"),"Review: duration",IF(S232&lt;&gt;"Coded","Review: coding status",IF(OR(U232="",COUNTIF('Project codes'!$A$7:$A$106,U232)=0),"Review: SOW mapping",IF(COUNTIF('Project codes'!$A$7:$A$106,U232)&gt;1,"Review: duplicate code",IF(_xlfn.XLOOKUP(U232,'Project codes'!$A$7:$A$106,'Project codes'!$F$7:$F$106,"Review",0)="Hold","Review: allocation hold",IF(OR(D232="",COUNTIF('SOW register'!$A$7:$A$36,D232)&lt;&gt;1),"Review: SOW mapping",IF(AND(G232&lt;&gt;"Yes",G232&lt;&gt;"No"),"Review: billability",IF(AB232="","Review: billing evidence","OK"))))))))))))))</x:f>
      </x:c>
      <x:c r="J232" s="24"/>
      <x:c r="K232" s="38"/>
      <x:c r="L232" s="38"/>
      <x:c r="M232" s="38"/>
      <x:c r="N232" s="39"/>
      <x:c r="O232" s="24"/>
      <x:c r="P232" s="24"/>
      <x:c r="Q232" s="38"/>
      <x:c r="R232" s="38"/>
      <x:c r="S232" s="24"/>
      <x:c r="T232" s="24"/>
      <x:c r="U232" s="37" t="str">
        <x:f>IF(OR(J232="",Q232="",R232=""),"",J232&amp;"|"&amp;Q232&amp;"|"&amp;R232)</x:f>
      </x:c>
      <x:c r="V232" s="24"/>
      <x:c r="W232" s="24"/>
      <x:c r="X232" s="40"/>
      <x:c r="Y232" s="40"/>
      <x:c r="Z232" s="39"/>
      <x:c r="AA232" s="39"/>
      <x:c r="AB232" s="24"/>
    </x:row>
    <x:row r="233" ht="23" customHeight="1">
      <x:c r="A233" s="20"/>
      <x:c r="B233" s="5"/>
      <x:c r="C233" s="4"/>
      <x:c r="D233" s="34" t="str">
        <x:f>IF(OR(A233="",U233="",COUNTIF('Project codes'!$A$7:$A$106,U233)&lt;&gt;1),"",_xlfn.XLOOKUP(U233,'Project codes'!$A$7:$A$106,'Project codes'!$I$7:$I$106,"",0))</x:f>
      </x:c>
      <x:c r="E233" s="4"/>
      <x:c r="F233" s="35" t="str">
        <x:f>IF(AND(ISNUMBER(N233),N233&gt;=0,O233="Complete"),N233/3600000,"")</x:f>
      </x:c>
      <x:c r="G233" s="4"/>
      <x:c r="H233" s="4"/>
      <x:c r="I233" s="36" t="str">
        <x:f>IF(COUNTA(A233:C233,E233,G233:H233,J233:T233,V233:AB233)=0,"",IF(A233="","Review: missing entry ID",IF(COUNTIF($A$7:$A$506,A233)&gt;1,"Review: duplicate entry ID",IF(NOT(ISNUMBER(B233)),"Review: work date",IF(OR(C233="",E233="",K233="",M233="",H233=""),"Review: source details",IF(J233&lt;&gt;'Estimate review'!$J$5,"Review: project scope",IF(OR(NOT(ISNUMBER(N233)),N233&lt;0,O233&lt;&gt;"Complete"),"Review: duration",IF(S233&lt;&gt;"Coded","Review: coding status",IF(OR(U233="",COUNTIF('Project codes'!$A$7:$A$106,U233)=0),"Review: SOW mapping",IF(COUNTIF('Project codes'!$A$7:$A$106,U233)&gt;1,"Review: duplicate code",IF(_xlfn.XLOOKUP(U233,'Project codes'!$A$7:$A$106,'Project codes'!$F$7:$F$106,"Review",0)="Hold","Review: allocation hold",IF(OR(D233="",COUNTIF('SOW register'!$A$7:$A$36,D233)&lt;&gt;1),"Review: SOW mapping",IF(AND(G233&lt;&gt;"Yes",G233&lt;&gt;"No"),"Review: billability",IF(AB233="","Review: billing evidence","OK"))))))))))))))</x:f>
      </x:c>
      <x:c r="J233" s="24"/>
      <x:c r="K233" s="38"/>
      <x:c r="L233" s="38"/>
      <x:c r="M233" s="38"/>
      <x:c r="N233" s="39"/>
      <x:c r="O233" s="24"/>
      <x:c r="P233" s="24"/>
      <x:c r="Q233" s="38"/>
      <x:c r="R233" s="38"/>
      <x:c r="S233" s="24"/>
      <x:c r="T233" s="24"/>
      <x:c r="U233" s="37" t="str">
        <x:f>IF(OR(J233="",Q233="",R233=""),"",J233&amp;"|"&amp;Q233&amp;"|"&amp;R233)</x:f>
      </x:c>
      <x:c r="V233" s="24"/>
      <x:c r="W233" s="24"/>
      <x:c r="X233" s="40"/>
      <x:c r="Y233" s="40"/>
      <x:c r="Z233" s="39"/>
      <x:c r="AA233" s="39"/>
      <x:c r="AB233" s="24"/>
    </x:row>
    <x:row r="234" ht="23" customHeight="1">
      <x:c r="A234" s="20"/>
      <x:c r="B234" s="5"/>
      <x:c r="C234" s="4"/>
      <x:c r="D234" s="34" t="str">
        <x:f>IF(OR(A234="",U234="",COUNTIF('Project codes'!$A$7:$A$106,U234)&lt;&gt;1),"",_xlfn.XLOOKUP(U234,'Project codes'!$A$7:$A$106,'Project codes'!$I$7:$I$106,"",0))</x:f>
      </x:c>
      <x:c r="E234" s="4"/>
      <x:c r="F234" s="35" t="str">
        <x:f>IF(AND(ISNUMBER(N234),N234&gt;=0,O234="Complete"),N234/3600000,"")</x:f>
      </x:c>
      <x:c r="G234" s="4"/>
      <x:c r="H234" s="4"/>
      <x:c r="I234" s="36" t="str">
        <x:f>IF(COUNTA(A234:C234,E234,G234:H234,J234:T234,V234:AB234)=0,"",IF(A234="","Review: missing entry ID",IF(COUNTIF($A$7:$A$506,A234)&gt;1,"Review: duplicate entry ID",IF(NOT(ISNUMBER(B234)),"Review: work date",IF(OR(C234="",E234="",K234="",M234="",H234=""),"Review: source details",IF(J234&lt;&gt;'Estimate review'!$J$5,"Review: project scope",IF(OR(NOT(ISNUMBER(N234)),N234&lt;0,O234&lt;&gt;"Complete"),"Review: duration",IF(S234&lt;&gt;"Coded","Review: coding status",IF(OR(U234="",COUNTIF('Project codes'!$A$7:$A$106,U234)=0),"Review: SOW mapping",IF(COUNTIF('Project codes'!$A$7:$A$106,U234)&gt;1,"Review: duplicate code",IF(_xlfn.XLOOKUP(U234,'Project codes'!$A$7:$A$106,'Project codes'!$F$7:$F$106,"Review",0)="Hold","Review: allocation hold",IF(OR(D234="",COUNTIF('SOW register'!$A$7:$A$36,D234)&lt;&gt;1),"Review: SOW mapping",IF(AND(G234&lt;&gt;"Yes",G234&lt;&gt;"No"),"Review: billability",IF(AB234="","Review: billing evidence","OK"))))))))))))))</x:f>
      </x:c>
      <x:c r="J234" s="24"/>
      <x:c r="K234" s="38"/>
      <x:c r="L234" s="38"/>
      <x:c r="M234" s="38"/>
      <x:c r="N234" s="39"/>
      <x:c r="O234" s="24"/>
      <x:c r="P234" s="24"/>
      <x:c r="Q234" s="38"/>
      <x:c r="R234" s="38"/>
      <x:c r="S234" s="24"/>
      <x:c r="T234" s="24"/>
      <x:c r="U234" s="37" t="str">
        <x:f>IF(OR(J234="",Q234="",R234=""),"",J234&amp;"|"&amp;Q234&amp;"|"&amp;R234)</x:f>
      </x:c>
      <x:c r="V234" s="24"/>
      <x:c r="W234" s="24"/>
      <x:c r="X234" s="40"/>
      <x:c r="Y234" s="40"/>
      <x:c r="Z234" s="39"/>
      <x:c r="AA234" s="39"/>
      <x:c r="AB234" s="24"/>
    </x:row>
    <x:row r="235" ht="23" customHeight="1">
      <x:c r="A235" s="20"/>
      <x:c r="B235" s="5"/>
      <x:c r="C235" s="4"/>
      <x:c r="D235" s="34" t="str">
        <x:f>IF(OR(A235="",U235="",COUNTIF('Project codes'!$A$7:$A$106,U235)&lt;&gt;1),"",_xlfn.XLOOKUP(U235,'Project codes'!$A$7:$A$106,'Project codes'!$I$7:$I$106,"",0))</x:f>
      </x:c>
      <x:c r="E235" s="4"/>
      <x:c r="F235" s="35" t="str">
        <x:f>IF(AND(ISNUMBER(N235),N235&gt;=0,O235="Complete"),N235/3600000,"")</x:f>
      </x:c>
      <x:c r="G235" s="4"/>
      <x:c r="H235" s="4"/>
      <x:c r="I235" s="36" t="str">
        <x:f>IF(COUNTA(A235:C235,E235,G235:H235,J235:T235,V235:AB235)=0,"",IF(A235="","Review: missing entry ID",IF(COUNTIF($A$7:$A$506,A235)&gt;1,"Review: duplicate entry ID",IF(NOT(ISNUMBER(B235)),"Review: work date",IF(OR(C235="",E235="",K235="",M235="",H235=""),"Review: source details",IF(J235&lt;&gt;'Estimate review'!$J$5,"Review: project scope",IF(OR(NOT(ISNUMBER(N235)),N235&lt;0,O235&lt;&gt;"Complete"),"Review: duration",IF(S235&lt;&gt;"Coded","Review: coding status",IF(OR(U235="",COUNTIF('Project codes'!$A$7:$A$106,U235)=0),"Review: SOW mapping",IF(COUNTIF('Project codes'!$A$7:$A$106,U235)&gt;1,"Review: duplicate code",IF(_xlfn.XLOOKUP(U235,'Project codes'!$A$7:$A$106,'Project codes'!$F$7:$F$106,"Review",0)="Hold","Review: allocation hold",IF(OR(D235="",COUNTIF('SOW register'!$A$7:$A$36,D235)&lt;&gt;1),"Review: SOW mapping",IF(AND(G235&lt;&gt;"Yes",G235&lt;&gt;"No"),"Review: billability",IF(AB235="","Review: billing evidence","OK"))))))))))))))</x:f>
      </x:c>
      <x:c r="J235" s="24"/>
      <x:c r="K235" s="38"/>
      <x:c r="L235" s="38"/>
      <x:c r="M235" s="38"/>
      <x:c r="N235" s="39"/>
      <x:c r="O235" s="24"/>
      <x:c r="P235" s="24"/>
      <x:c r="Q235" s="38"/>
      <x:c r="R235" s="38"/>
      <x:c r="S235" s="24"/>
      <x:c r="T235" s="24"/>
      <x:c r="U235" s="37" t="str">
        <x:f>IF(OR(J235="",Q235="",R235=""),"",J235&amp;"|"&amp;Q235&amp;"|"&amp;R235)</x:f>
      </x:c>
      <x:c r="V235" s="24"/>
      <x:c r="W235" s="24"/>
      <x:c r="X235" s="40"/>
      <x:c r="Y235" s="40"/>
      <x:c r="Z235" s="39"/>
      <x:c r="AA235" s="39"/>
      <x:c r="AB235" s="24"/>
    </x:row>
    <x:row r="236" ht="23" customHeight="1">
      <x:c r="A236" s="20"/>
      <x:c r="B236" s="5"/>
      <x:c r="C236" s="4"/>
      <x:c r="D236" s="34" t="str">
        <x:f>IF(OR(A236="",U236="",COUNTIF('Project codes'!$A$7:$A$106,U236)&lt;&gt;1),"",_xlfn.XLOOKUP(U236,'Project codes'!$A$7:$A$106,'Project codes'!$I$7:$I$106,"",0))</x:f>
      </x:c>
      <x:c r="E236" s="4"/>
      <x:c r="F236" s="35" t="str">
        <x:f>IF(AND(ISNUMBER(N236),N236&gt;=0,O236="Complete"),N236/3600000,"")</x:f>
      </x:c>
      <x:c r="G236" s="4"/>
      <x:c r="H236" s="4"/>
      <x:c r="I236" s="36" t="str">
        <x:f>IF(COUNTA(A236:C236,E236,G236:H236,J236:T236,V236:AB236)=0,"",IF(A236="","Review: missing entry ID",IF(COUNTIF($A$7:$A$506,A236)&gt;1,"Review: duplicate entry ID",IF(NOT(ISNUMBER(B236)),"Review: work date",IF(OR(C236="",E236="",K236="",M236="",H236=""),"Review: source details",IF(J236&lt;&gt;'Estimate review'!$J$5,"Review: project scope",IF(OR(NOT(ISNUMBER(N236)),N236&lt;0,O236&lt;&gt;"Complete"),"Review: duration",IF(S236&lt;&gt;"Coded","Review: coding status",IF(OR(U236="",COUNTIF('Project codes'!$A$7:$A$106,U236)=0),"Review: SOW mapping",IF(COUNTIF('Project codes'!$A$7:$A$106,U236)&gt;1,"Review: duplicate code",IF(_xlfn.XLOOKUP(U236,'Project codes'!$A$7:$A$106,'Project codes'!$F$7:$F$106,"Review",0)="Hold","Review: allocation hold",IF(OR(D236="",COUNTIF('SOW register'!$A$7:$A$36,D236)&lt;&gt;1),"Review: SOW mapping",IF(AND(G236&lt;&gt;"Yes",G236&lt;&gt;"No"),"Review: billability",IF(AB236="","Review: billing evidence","OK"))))))))))))))</x:f>
      </x:c>
      <x:c r="J236" s="24"/>
      <x:c r="K236" s="38"/>
      <x:c r="L236" s="38"/>
      <x:c r="M236" s="38"/>
      <x:c r="N236" s="39"/>
      <x:c r="O236" s="24"/>
      <x:c r="P236" s="24"/>
      <x:c r="Q236" s="38"/>
      <x:c r="R236" s="38"/>
      <x:c r="S236" s="24"/>
      <x:c r="T236" s="24"/>
      <x:c r="U236" s="37" t="str">
        <x:f>IF(OR(J236="",Q236="",R236=""),"",J236&amp;"|"&amp;Q236&amp;"|"&amp;R236)</x:f>
      </x:c>
      <x:c r="V236" s="24"/>
      <x:c r="W236" s="24"/>
      <x:c r="X236" s="40"/>
      <x:c r="Y236" s="40"/>
      <x:c r="Z236" s="39"/>
      <x:c r="AA236" s="39"/>
      <x:c r="AB236" s="24"/>
    </x:row>
    <x:row r="237" ht="23" customHeight="1">
      <x:c r="A237" s="20"/>
      <x:c r="B237" s="5"/>
      <x:c r="C237" s="4"/>
      <x:c r="D237" s="34" t="str">
        <x:f>IF(OR(A237="",U237="",COUNTIF('Project codes'!$A$7:$A$106,U237)&lt;&gt;1),"",_xlfn.XLOOKUP(U237,'Project codes'!$A$7:$A$106,'Project codes'!$I$7:$I$106,"",0))</x:f>
      </x:c>
      <x:c r="E237" s="4"/>
      <x:c r="F237" s="35" t="str">
        <x:f>IF(AND(ISNUMBER(N237),N237&gt;=0,O237="Complete"),N237/3600000,"")</x:f>
      </x:c>
      <x:c r="G237" s="4"/>
      <x:c r="H237" s="4"/>
      <x:c r="I237" s="36" t="str">
        <x:f>IF(COUNTA(A237:C237,E237,G237:H237,J237:T237,V237:AB237)=0,"",IF(A237="","Review: missing entry ID",IF(COUNTIF($A$7:$A$506,A237)&gt;1,"Review: duplicate entry ID",IF(NOT(ISNUMBER(B237)),"Review: work date",IF(OR(C237="",E237="",K237="",M237="",H237=""),"Review: source details",IF(J237&lt;&gt;'Estimate review'!$J$5,"Review: project scope",IF(OR(NOT(ISNUMBER(N237)),N237&lt;0,O237&lt;&gt;"Complete"),"Review: duration",IF(S237&lt;&gt;"Coded","Review: coding status",IF(OR(U237="",COUNTIF('Project codes'!$A$7:$A$106,U237)=0),"Review: SOW mapping",IF(COUNTIF('Project codes'!$A$7:$A$106,U237)&gt;1,"Review: duplicate code",IF(_xlfn.XLOOKUP(U237,'Project codes'!$A$7:$A$106,'Project codes'!$F$7:$F$106,"Review",0)="Hold","Review: allocation hold",IF(OR(D237="",COUNTIF('SOW register'!$A$7:$A$36,D237)&lt;&gt;1),"Review: SOW mapping",IF(AND(G237&lt;&gt;"Yes",G237&lt;&gt;"No"),"Review: billability",IF(AB237="","Review: billing evidence","OK"))))))))))))))</x:f>
      </x:c>
      <x:c r="J237" s="24"/>
      <x:c r="K237" s="38"/>
      <x:c r="L237" s="38"/>
      <x:c r="M237" s="38"/>
      <x:c r="N237" s="39"/>
      <x:c r="O237" s="24"/>
      <x:c r="P237" s="24"/>
      <x:c r="Q237" s="38"/>
      <x:c r="R237" s="38"/>
      <x:c r="S237" s="24"/>
      <x:c r="T237" s="24"/>
      <x:c r="U237" s="37" t="str">
        <x:f>IF(OR(J237="",Q237="",R237=""),"",J237&amp;"|"&amp;Q237&amp;"|"&amp;R237)</x:f>
      </x:c>
      <x:c r="V237" s="24"/>
      <x:c r="W237" s="24"/>
      <x:c r="X237" s="40"/>
      <x:c r="Y237" s="40"/>
      <x:c r="Z237" s="39"/>
      <x:c r="AA237" s="39"/>
      <x:c r="AB237" s="24"/>
    </x:row>
    <x:row r="238" ht="23" customHeight="1">
      <x:c r="A238" s="20"/>
      <x:c r="B238" s="5"/>
      <x:c r="C238" s="4"/>
      <x:c r="D238" s="34" t="str">
        <x:f>IF(OR(A238="",U238="",COUNTIF('Project codes'!$A$7:$A$106,U238)&lt;&gt;1),"",_xlfn.XLOOKUP(U238,'Project codes'!$A$7:$A$106,'Project codes'!$I$7:$I$106,"",0))</x:f>
      </x:c>
      <x:c r="E238" s="4"/>
      <x:c r="F238" s="35" t="str">
        <x:f>IF(AND(ISNUMBER(N238),N238&gt;=0,O238="Complete"),N238/3600000,"")</x:f>
      </x:c>
      <x:c r="G238" s="4"/>
      <x:c r="H238" s="4"/>
      <x:c r="I238" s="36" t="str">
        <x:f>IF(COUNTA(A238:C238,E238,G238:H238,J238:T238,V238:AB238)=0,"",IF(A238="","Review: missing entry ID",IF(COUNTIF($A$7:$A$506,A238)&gt;1,"Review: duplicate entry ID",IF(NOT(ISNUMBER(B238)),"Review: work date",IF(OR(C238="",E238="",K238="",M238="",H238=""),"Review: source details",IF(J238&lt;&gt;'Estimate review'!$J$5,"Review: project scope",IF(OR(NOT(ISNUMBER(N238)),N238&lt;0,O238&lt;&gt;"Complete"),"Review: duration",IF(S238&lt;&gt;"Coded","Review: coding status",IF(OR(U238="",COUNTIF('Project codes'!$A$7:$A$106,U238)=0),"Review: SOW mapping",IF(COUNTIF('Project codes'!$A$7:$A$106,U238)&gt;1,"Review: duplicate code",IF(_xlfn.XLOOKUP(U238,'Project codes'!$A$7:$A$106,'Project codes'!$F$7:$F$106,"Review",0)="Hold","Review: allocation hold",IF(OR(D238="",COUNTIF('SOW register'!$A$7:$A$36,D238)&lt;&gt;1),"Review: SOW mapping",IF(AND(G238&lt;&gt;"Yes",G238&lt;&gt;"No"),"Review: billability",IF(AB238="","Review: billing evidence","OK"))))))))))))))</x:f>
      </x:c>
      <x:c r="J238" s="24"/>
      <x:c r="K238" s="38"/>
      <x:c r="L238" s="38"/>
      <x:c r="M238" s="38"/>
      <x:c r="N238" s="39"/>
      <x:c r="O238" s="24"/>
      <x:c r="P238" s="24"/>
      <x:c r="Q238" s="38"/>
      <x:c r="R238" s="38"/>
      <x:c r="S238" s="24"/>
      <x:c r="T238" s="24"/>
      <x:c r="U238" s="37" t="str">
        <x:f>IF(OR(J238="",Q238="",R238=""),"",J238&amp;"|"&amp;Q238&amp;"|"&amp;R238)</x:f>
      </x:c>
      <x:c r="V238" s="24"/>
      <x:c r="W238" s="24"/>
      <x:c r="X238" s="40"/>
      <x:c r="Y238" s="40"/>
      <x:c r="Z238" s="39"/>
      <x:c r="AA238" s="39"/>
      <x:c r="AB238" s="24"/>
    </x:row>
    <x:row r="239" ht="23" customHeight="1">
      <x:c r="A239" s="20"/>
      <x:c r="B239" s="5"/>
      <x:c r="C239" s="4"/>
      <x:c r="D239" s="34" t="str">
        <x:f>IF(OR(A239="",U239="",COUNTIF('Project codes'!$A$7:$A$106,U239)&lt;&gt;1),"",_xlfn.XLOOKUP(U239,'Project codes'!$A$7:$A$106,'Project codes'!$I$7:$I$106,"",0))</x:f>
      </x:c>
      <x:c r="E239" s="4"/>
      <x:c r="F239" s="35" t="str">
        <x:f>IF(AND(ISNUMBER(N239),N239&gt;=0,O239="Complete"),N239/3600000,"")</x:f>
      </x:c>
      <x:c r="G239" s="4"/>
      <x:c r="H239" s="4"/>
      <x:c r="I239" s="36" t="str">
        <x:f>IF(COUNTA(A239:C239,E239,G239:H239,J239:T239,V239:AB239)=0,"",IF(A239="","Review: missing entry ID",IF(COUNTIF($A$7:$A$506,A239)&gt;1,"Review: duplicate entry ID",IF(NOT(ISNUMBER(B239)),"Review: work date",IF(OR(C239="",E239="",K239="",M239="",H239=""),"Review: source details",IF(J239&lt;&gt;'Estimate review'!$J$5,"Review: project scope",IF(OR(NOT(ISNUMBER(N239)),N239&lt;0,O239&lt;&gt;"Complete"),"Review: duration",IF(S239&lt;&gt;"Coded","Review: coding status",IF(OR(U239="",COUNTIF('Project codes'!$A$7:$A$106,U239)=0),"Review: SOW mapping",IF(COUNTIF('Project codes'!$A$7:$A$106,U239)&gt;1,"Review: duplicate code",IF(_xlfn.XLOOKUP(U239,'Project codes'!$A$7:$A$106,'Project codes'!$F$7:$F$106,"Review",0)="Hold","Review: allocation hold",IF(OR(D239="",COUNTIF('SOW register'!$A$7:$A$36,D239)&lt;&gt;1),"Review: SOW mapping",IF(AND(G239&lt;&gt;"Yes",G239&lt;&gt;"No"),"Review: billability",IF(AB239="","Review: billing evidence","OK"))))))))))))))</x:f>
      </x:c>
      <x:c r="J239" s="24"/>
      <x:c r="K239" s="38"/>
      <x:c r="L239" s="38"/>
      <x:c r="M239" s="38"/>
      <x:c r="N239" s="39"/>
      <x:c r="O239" s="24"/>
      <x:c r="P239" s="24"/>
      <x:c r="Q239" s="38"/>
      <x:c r="R239" s="38"/>
      <x:c r="S239" s="24"/>
      <x:c r="T239" s="24"/>
      <x:c r="U239" s="37" t="str">
        <x:f>IF(OR(J239="",Q239="",R239=""),"",J239&amp;"|"&amp;Q239&amp;"|"&amp;R239)</x:f>
      </x:c>
      <x:c r="V239" s="24"/>
      <x:c r="W239" s="24"/>
      <x:c r="X239" s="40"/>
      <x:c r="Y239" s="40"/>
      <x:c r="Z239" s="39"/>
      <x:c r="AA239" s="39"/>
      <x:c r="AB239" s="24"/>
    </x:row>
    <x:row r="240" ht="23" customHeight="1">
      <x:c r="A240" s="20"/>
      <x:c r="B240" s="5"/>
      <x:c r="C240" s="4"/>
      <x:c r="D240" s="34" t="str">
        <x:f>IF(OR(A240="",U240="",COUNTIF('Project codes'!$A$7:$A$106,U240)&lt;&gt;1),"",_xlfn.XLOOKUP(U240,'Project codes'!$A$7:$A$106,'Project codes'!$I$7:$I$106,"",0))</x:f>
      </x:c>
      <x:c r="E240" s="4"/>
      <x:c r="F240" s="35" t="str">
        <x:f>IF(AND(ISNUMBER(N240),N240&gt;=0,O240="Complete"),N240/3600000,"")</x:f>
      </x:c>
      <x:c r="G240" s="4"/>
      <x:c r="H240" s="4"/>
      <x:c r="I240" s="36" t="str">
        <x:f>IF(COUNTA(A240:C240,E240,G240:H240,J240:T240,V240:AB240)=0,"",IF(A240="","Review: missing entry ID",IF(COUNTIF($A$7:$A$506,A240)&gt;1,"Review: duplicate entry ID",IF(NOT(ISNUMBER(B240)),"Review: work date",IF(OR(C240="",E240="",K240="",M240="",H240=""),"Review: source details",IF(J240&lt;&gt;'Estimate review'!$J$5,"Review: project scope",IF(OR(NOT(ISNUMBER(N240)),N240&lt;0,O240&lt;&gt;"Complete"),"Review: duration",IF(S240&lt;&gt;"Coded","Review: coding status",IF(OR(U240="",COUNTIF('Project codes'!$A$7:$A$106,U240)=0),"Review: SOW mapping",IF(COUNTIF('Project codes'!$A$7:$A$106,U240)&gt;1,"Review: duplicate code",IF(_xlfn.XLOOKUP(U240,'Project codes'!$A$7:$A$106,'Project codes'!$F$7:$F$106,"Review",0)="Hold","Review: allocation hold",IF(OR(D240="",COUNTIF('SOW register'!$A$7:$A$36,D240)&lt;&gt;1),"Review: SOW mapping",IF(AND(G240&lt;&gt;"Yes",G240&lt;&gt;"No"),"Review: billability",IF(AB240="","Review: billing evidence","OK"))))))))))))))</x:f>
      </x:c>
      <x:c r="J240" s="24"/>
      <x:c r="K240" s="38"/>
      <x:c r="L240" s="38"/>
      <x:c r="M240" s="38"/>
      <x:c r="N240" s="39"/>
      <x:c r="O240" s="24"/>
      <x:c r="P240" s="24"/>
      <x:c r="Q240" s="38"/>
      <x:c r="R240" s="38"/>
      <x:c r="S240" s="24"/>
      <x:c r="T240" s="24"/>
      <x:c r="U240" s="37" t="str">
        <x:f>IF(OR(J240="",Q240="",R240=""),"",J240&amp;"|"&amp;Q240&amp;"|"&amp;R240)</x:f>
      </x:c>
      <x:c r="V240" s="24"/>
      <x:c r="W240" s="24"/>
      <x:c r="X240" s="40"/>
      <x:c r="Y240" s="40"/>
      <x:c r="Z240" s="39"/>
      <x:c r="AA240" s="39"/>
      <x:c r="AB240" s="24"/>
    </x:row>
    <x:row r="241" ht="23" customHeight="1">
      <x:c r="A241" s="20"/>
      <x:c r="B241" s="5"/>
      <x:c r="C241" s="4"/>
      <x:c r="D241" s="34" t="str">
        <x:f>IF(OR(A241="",U241="",COUNTIF('Project codes'!$A$7:$A$106,U241)&lt;&gt;1),"",_xlfn.XLOOKUP(U241,'Project codes'!$A$7:$A$106,'Project codes'!$I$7:$I$106,"",0))</x:f>
      </x:c>
      <x:c r="E241" s="4"/>
      <x:c r="F241" s="35" t="str">
        <x:f>IF(AND(ISNUMBER(N241),N241&gt;=0,O241="Complete"),N241/3600000,"")</x:f>
      </x:c>
      <x:c r="G241" s="4"/>
      <x:c r="H241" s="4"/>
      <x:c r="I241" s="36" t="str">
        <x:f>IF(COUNTA(A241:C241,E241,G241:H241,J241:T241,V241:AB241)=0,"",IF(A241="","Review: missing entry ID",IF(COUNTIF($A$7:$A$506,A241)&gt;1,"Review: duplicate entry ID",IF(NOT(ISNUMBER(B241)),"Review: work date",IF(OR(C241="",E241="",K241="",M241="",H241=""),"Review: source details",IF(J241&lt;&gt;'Estimate review'!$J$5,"Review: project scope",IF(OR(NOT(ISNUMBER(N241)),N241&lt;0,O241&lt;&gt;"Complete"),"Review: duration",IF(S241&lt;&gt;"Coded","Review: coding status",IF(OR(U241="",COUNTIF('Project codes'!$A$7:$A$106,U241)=0),"Review: SOW mapping",IF(COUNTIF('Project codes'!$A$7:$A$106,U241)&gt;1,"Review: duplicate code",IF(_xlfn.XLOOKUP(U241,'Project codes'!$A$7:$A$106,'Project codes'!$F$7:$F$106,"Review",0)="Hold","Review: allocation hold",IF(OR(D241="",COUNTIF('SOW register'!$A$7:$A$36,D241)&lt;&gt;1),"Review: SOW mapping",IF(AND(G241&lt;&gt;"Yes",G241&lt;&gt;"No"),"Review: billability",IF(AB241="","Review: billing evidence","OK"))))))))))))))</x:f>
      </x:c>
      <x:c r="J241" s="24"/>
      <x:c r="K241" s="38"/>
      <x:c r="L241" s="38"/>
      <x:c r="M241" s="38"/>
      <x:c r="N241" s="39"/>
      <x:c r="O241" s="24"/>
      <x:c r="P241" s="24"/>
      <x:c r="Q241" s="38"/>
      <x:c r="R241" s="38"/>
      <x:c r="S241" s="24"/>
      <x:c r="T241" s="24"/>
      <x:c r="U241" s="37" t="str">
        <x:f>IF(OR(J241="",Q241="",R241=""),"",J241&amp;"|"&amp;Q241&amp;"|"&amp;R241)</x:f>
      </x:c>
      <x:c r="V241" s="24"/>
      <x:c r="W241" s="24"/>
      <x:c r="X241" s="40"/>
      <x:c r="Y241" s="40"/>
      <x:c r="Z241" s="39"/>
      <x:c r="AA241" s="39"/>
      <x:c r="AB241" s="24"/>
    </x:row>
    <x:row r="242" ht="23" customHeight="1">
      <x:c r="A242" s="20"/>
      <x:c r="B242" s="5"/>
      <x:c r="C242" s="4"/>
      <x:c r="D242" s="34" t="str">
        <x:f>IF(OR(A242="",U242="",COUNTIF('Project codes'!$A$7:$A$106,U242)&lt;&gt;1),"",_xlfn.XLOOKUP(U242,'Project codes'!$A$7:$A$106,'Project codes'!$I$7:$I$106,"",0))</x:f>
      </x:c>
      <x:c r="E242" s="4"/>
      <x:c r="F242" s="35" t="str">
        <x:f>IF(AND(ISNUMBER(N242),N242&gt;=0,O242="Complete"),N242/3600000,"")</x:f>
      </x:c>
      <x:c r="G242" s="4"/>
      <x:c r="H242" s="4"/>
      <x:c r="I242" s="36" t="str">
        <x:f>IF(COUNTA(A242:C242,E242,G242:H242,J242:T242,V242:AB242)=0,"",IF(A242="","Review: missing entry ID",IF(COUNTIF($A$7:$A$506,A242)&gt;1,"Review: duplicate entry ID",IF(NOT(ISNUMBER(B242)),"Review: work date",IF(OR(C242="",E242="",K242="",M242="",H242=""),"Review: source details",IF(J242&lt;&gt;'Estimate review'!$J$5,"Review: project scope",IF(OR(NOT(ISNUMBER(N242)),N242&lt;0,O242&lt;&gt;"Complete"),"Review: duration",IF(S242&lt;&gt;"Coded","Review: coding status",IF(OR(U242="",COUNTIF('Project codes'!$A$7:$A$106,U242)=0),"Review: SOW mapping",IF(COUNTIF('Project codes'!$A$7:$A$106,U242)&gt;1,"Review: duplicate code",IF(_xlfn.XLOOKUP(U242,'Project codes'!$A$7:$A$106,'Project codes'!$F$7:$F$106,"Review",0)="Hold","Review: allocation hold",IF(OR(D242="",COUNTIF('SOW register'!$A$7:$A$36,D242)&lt;&gt;1),"Review: SOW mapping",IF(AND(G242&lt;&gt;"Yes",G242&lt;&gt;"No"),"Review: billability",IF(AB242="","Review: billing evidence","OK"))))))))))))))</x:f>
      </x:c>
      <x:c r="J242" s="24"/>
      <x:c r="K242" s="38"/>
      <x:c r="L242" s="38"/>
      <x:c r="M242" s="38"/>
      <x:c r="N242" s="39"/>
      <x:c r="O242" s="24"/>
      <x:c r="P242" s="24"/>
      <x:c r="Q242" s="38"/>
      <x:c r="R242" s="38"/>
      <x:c r="S242" s="24"/>
      <x:c r="T242" s="24"/>
      <x:c r="U242" s="37" t="str">
        <x:f>IF(OR(J242="",Q242="",R242=""),"",J242&amp;"|"&amp;Q242&amp;"|"&amp;R242)</x:f>
      </x:c>
      <x:c r="V242" s="24"/>
      <x:c r="W242" s="24"/>
      <x:c r="X242" s="40"/>
      <x:c r="Y242" s="40"/>
      <x:c r="Z242" s="39"/>
      <x:c r="AA242" s="39"/>
      <x:c r="AB242" s="24"/>
    </x:row>
    <x:row r="243" ht="23" customHeight="1">
      <x:c r="A243" s="20"/>
      <x:c r="B243" s="5"/>
      <x:c r="C243" s="4"/>
      <x:c r="D243" s="34" t="str">
        <x:f>IF(OR(A243="",U243="",COUNTIF('Project codes'!$A$7:$A$106,U243)&lt;&gt;1),"",_xlfn.XLOOKUP(U243,'Project codes'!$A$7:$A$106,'Project codes'!$I$7:$I$106,"",0))</x:f>
      </x:c>
      <x:c r="E243" s="4"/>
      <x:c r="F243" s="35" t="str">
        <x:f>IF(AND(ISNUMBER(N243),N243&gt;=0,O243="Complete"),N243/3600000,"")</x:f>
      </x:c>
      <x:c r="G243" s="4"/>
      <x:c r="H243" s="4"/>
      <x:c r="I243" s="36" t="str">
        <x:f>IF(COUNTA(A243:C243,E243,G243:H243,J243:T243,V243:AB243)=0,"",IF(A243="","Review: missing entry ID",IF(COUNTIF($A$7:$A$506,A243)&gt;1,"Review: duplicate entry ID",IF(NOT(ISNUMBER(B243)),"Review: work date",IF(OR(C243="",E243="",K243="",M243="",H243=""),"Review: source details",IF(J243&lt;&gt;'Estimate review'!$J$5,"Review: project scope",IF(OR(NOT(ISNUMBER(N243)),N243&lt;0,O243&lt;&gt;"Complete"),"Review: duration",IF(S243&lt;&gt;"Coded","Review: coding status",IF(OR(U243="",COUNTIF('Project codes'!$A$7:$A$106,U243)=0),"Review: SOW mapping",IF(COUNTIF('Project codes'!$A$7:$A$106,U243)&gt;1,"Review: duplicate code",IF(_xlfn.XLOOKUP(U243,'Project codes'!$A$7:$A$106,'Project codes'!$F$7:$F$106,"Review",0)="Hold","Review: allocation hold",IF(OR(D243="",COUNTIF('SOW register'!$A$7:$A$36,D243)&lt;&gt;1),"Review: SOW mapping",IF(AND(G243&lt;&gt;"Yes",G243&lt;&gt;"No"),"Review: billability",IF(AB243="","Review: billing evidence","OK"))))))))))))))</x:f>
      </x:c>
      <x:c r="J243" s="24"/>
      <x:c r="K243" s="38"/>
      <x:c r="L243" s="38"/>
      <x:c r="M243" s="38"/>
      <x:c r="N243" s="39"/>
      <x:c r="O243" s="24"/>
      <x:c r="P243" s="24"/>
      <x:c r="Q243" s="38"/>
      <x:c r="R243" s="38"/>
      <x:c r="S243" s="24"/>
      <x:c r="T243" s="24"/>
      <x:c r="U243" s="37" t="str">
        <x:f>IF(OR(J243="",Q243="",R243=""),"",J243&amp;"|"&amp;Q243&amp;"|"&amp;R243)</x:f>
      </x:c>
      <x:c r="V243" s="24"/>
      <x:c r="W243" s="24"/>
      <x:c r="X243" s="40"/>
      <x:c r="Y243" s="40"/>
      <x:c r="Z243" s="39"/>
      <x:c r="AA243" s="39"/>
      <x:c r="AB243" s="24"/>
    </x:row>
    <x:row r="244" ht="23" customHeight="1">
      <x:c r="A244" s="20"/>
      <x:c r="B244" s="5"/>
      <x:c r="C244" s="4"/>
      <x:c r="D244" s="34" t="str">
        <x:f>IF(OR(A244="",U244="",COUNTIF('Project codes'!$A$7:$A$106,U244)&lt;&gt;1),"",_xlfn.XLOOKUP(U244,'Project codes'!$A$7:$A$106,'Project codes'!$I$7:$I$106,"",0))</x:f>
      </x:c>
      <x:c r="E244" s="4"/>
      <x:c r="F244" s="35" t="str">
        <x:f>IF(AND(ISNUMBER(N244),N244&gt;=0,O244="Complete"),N244/3600000,"")</x:f>
      </x:c>
      <x:c r="G244" s="4"/>
      <x:c r="H244" s="4"/>
      <x:c r="I244" s="36" t="str">
        <x:f>IF(COUNTA(A244:C244,E244,G244:H244,J244:T244,V244:AB244)=0,"",IF(A244="","Review: missing entry ID",IF(COUNTIF($A$7:$A$506,A244)&gt;1,"Review: duplicate entry ID",IF(NOT(ISNUMBER(B244)),"Review: work date",IF(OR(C244="",E244="",K244="",M244="",H244=""),"Review: source details",IF(J244&lt;&gt;'Estimate review'!$J$5,"Review: project scope",IF(OR(NOT(ISNUMBER(N244)),N244&lt;0,O244&lt;&gt;"Complete"),"Review: duration",IF(S244&lt;&gt;"Coded","Review: coding status",IF(OR(U244="",COUNTIF('Project codes'!$A$7:$A$106,U244)=0),"Review: SOW mapping",IF(COUNTIF('Project codes'!$A$7:$A$106,U244)&gt;1,"Review: duplicate code",IF(_xlfn.XLOOKUP(U244,'Project codes'!$A$7:$A$106,'Project codes'!$F$7:$F$106,"Review",0)="Hold","Review: allocation hold",IF(OR(D244="",COUNTIF('SOW register'!$A$7:$A$36,D244)&lt;&gt;1),"Review: SOW mapping",IF(AND(G244&lt;&gt;"Yes",G244&lt;&gt;"No"),"Review: billability",IF(AB244="","Review: billing evidence","OK"))))))))))))))</x:f>
      </x:c>
      <x:c r="J244" s="24"/>
      <x:c r="K244" s="38"/>
      <x:c r="L244" s="38"/>
      <x:c r="M244" s="38"/>
      <x:c r="N244" s="39"/>
      <x:c r="O244" s="24"/>
      <x:c r="P244" s="24"/>
      <x:c r="Q244" s="38"/>
      <x:c r="R244" s="38"/>
      <x:c r="S244" s="24"/>
      <x:c r="T244" s="24"/>
      <x:c r="U244" s="37" t="str">
        <x:f>IF(OR(J244="",Q244="",R244=""),"",J244&amp;"|"&amp;Q244&amp;"|"&amp;R244)</x:f>
      </x:c>
      <x:c r="V244" s="24"/>
      <x:c r="W244" s="24"/>
      <x:c r="X244" s="40"/>
      <x:c r="Y244" s="40"/>
      <x:c r="Z244" s="39"/>
      <x:c r="AA244" s="39"/>
      <x:c r="AB244" s="24"/>
    </x:row>
    <x:row r="245" ht="23" customHeight="1">
      <x:c r="A245" s="20"/>
      <x:c r="B245" s="5"/>
      <x:c r="C245" s="4"/>
      <x:c r="D245" s="34" t="str">
        <x:f>IF(OR(A245="",U245="",COUNTIF('Project codes'!$A$7:$A$106,U245)&lt;&gt;1),"",_xlfn.XLOOKUP(U245,'Project codes'!$A$7:$A$106,'Project codes'!$I$7:$I$106,"",0))</x:f>
      </x:c>
      <x:c r="E245" s="4"/>
      <x:c r="F245" s="35" t="str">
        <x:f>IF(AND(ISNUMBER(N245),N245&gt;=0,O245="Complete"),N245/3600000,"")</x:f>
      </x:c>
      <x:c r="G245" s="4"/>
      <x:c r="H245" s="4"/>
      <x:c r="I245" s="36" t="str">
        <x:f>IF(COUNTA(A245:C245,E245,G245:H245,J245:T245,V245:AB245)=0,"",IF(A245="","Review: missing entry ID",IF(COUNTIF($A$7:$A$506,A245)&gt;1,"Review: duplicate entry ID",IF(NOT(ISNUMBER(B245)),"Review: work date",IF(OR(C245="",E245="",K245="",M245="",H245=""),"Review: source details",IF(J245&lt;&gt;'Estimate review'!$J$5,"Review: project scope",IF(OR(NOT(ISNUMBER(N245)),N245&lt;0,O245&lt;&gt;"Complete"),"Review: duration",IF(S245&lt;&gt;"Coded","Review: coding status",IF(OR(U245="",COUNTIF('Project codes'!$A$7:$A$106,U245)=0),"Review: SOW mapping",IF(COUNTIF('Project codes'!$A$7:$A$106,U245)&gt;1,"Review: duplicate code",IF(_xlfn.XLOOKUP(U245,'Project codes'!$A$7:$A$106,'Project codes'!$F$7:$F$106,"Review",0)="Hold","Review: allocation hold",IF(OR(D245="",COUNTIF('SOW register'!$A$7:$A$36,D245)&lt;&gt;1),"Review: SOW mapping",IF(AND(G245&lt;&gt;"Yes",G245&lt;&gt;"No"),"Review: billability",IF(AB245="","Review: billing evidence","OK"))))))))))))))</x:f>
      </x:c>
      <x:c r="J245" s="24"/>
      <x:c r="K245" s="38"/>
      <x:c r="L245" s="38"/>
      <x:c r="M245" s="38"/>
      <x:c r="N245" s="39"/>
      <x:c r="O245" s="24"/>
      <x:c r="P245" s="24"/>
      <x:c r="Q245" s="38"/>
      <x:c r="R245" s="38"/>
      <x:c r="S245" s="24"/>
      <x:c r="T245" s="24"/>
      <x:c r="U245" s="37" t="str">
        <x:f>IF(OR(J245="",Q245="",R245=""),"",J245&amp;"|"&amp;Q245&amp;"|"&amp;R245)</x:f>
      </x:c>
      <x:c r="V245" s="24"/>
      <x:c r="W245" s="24"/>
      <x:c r="X245" s="40"/>
      <x:c r="Y245" s="40"/>
      <x:c r="Z245" s="39"/>
      <x:c r="AA245" s="39"/>
      <x:c r="AB245" s="24"/>
    </x:row>
    <x:row r="246" ht="23" customHeight="1">
      <x:c r="A246" s="20"/>
      <x:c r="B246" s="5"/>
      <x:c r="C246" s="4"/>
      <x:c r="D246" s="34" t="str">
        <x:f>IF(OR(A246="",U246="",COUNTIF('Project codes'!$A$7:$A$106,U246)&lt;&gt;1),"",_xlfn.XLOOKUP(U246,'Project codes'!$A$7:$A$106,'Project codes'!$I$7:$I$106,"",0))</x:f>
      </x:c>
      <x:c r="E246" s="4"/>
      <x:c r="F246" s="35" t="str">
        <x:f>IF(AND(ISNUMBER(N246),N246&gt;=0,O246="Complete"),N246/3600000,"")</x:f>
      </x:c>
      <x:c r="G246" s="4"/>
      <x:c r="H246" s="4"/>
      <x:c r="I246" s="36" t="str">
        <x:f>IF(COUNTA(A246:C246,E246,G246:H246,J246:T246,V246:AB246)=0,"",IF(A246="","Review: missing entry ID",IF(COUNTIF($A$7:$A$506,A246)&gt;1,"Review: duplicate entry ID",IF(NOT(ISNUMBER(B246)),"Review: work date",IF(OR(C246="",E246="",K246="",M246="",H246=""),"Review: source details",IF(J246&lt;&gt;'Estimate review'!$J$5,"Review: project scope",IF(OR(NOT(ISNUMBER(N246)),N246&lt;0,O246&lt;&gt;"Complete"),"Review: duration",IF(S246&lt;&gt;"Coded","Review: coding status",IF(OR(U246="",COUNTIF('Project codes'!$A$7:$A$106,U246)=0),"Review: SOW mapping",IF(COUNTIF('Project codes'!$A$7:$A$106,U246)&gt;1,"Review: duplicate code",IF(_xlfn.XLOOKUP(U246,'Project codes'!$A$7:$A$106,'Project codes'!$F$7:$F$106,"Review",0)="Hold","Review: allocation hold",IF(OR(D246="",COUNTIF('SOW register'!$A$7:$A$36,D246)&lt;&gt;1),"Review: SOW mapping",IF(AND(G246&lt;&gt;"Yes",G246&lt;&gt;"No"),"Review: billability",IF(AB246="","Review: billing evidence","OK"))))))))))))))</x:f>
      </x:c>
      <x:c r="J246" s="24"/>
      <x:c r="K246" s="38"/>
      <x:c r="L246" s="38"/>
      <x:c r="M246" s="38"/>
      <x:c r="N246" s="39"/>
      <x:c r="O246" s="24"/>
      <x:c r="P246" s="24"/>
      <x:c r="Q246" s="38"/>
      <x:c r="R246" s="38"/>
      <x:c r="S246" s="24"/>
      <x:c r="T246" s="24"/>
      <x:c r="U246" s="37" t="str">
        <x:f>IF(OR(J246="",Q246="",R246=""),"",J246&amp;"|"&amp;Q246&amp;"|"&amp;R246)</x:f>
      </x:c>
      <x:c r="V246" s="24"/>
      <x:c r="W246" s="24"/>
      <x:c r="X246" s="40"/>
      <x:c r="Y246" s="40"/>
      <x:c r="Z246" s="39"/>
      <x:c r="AA246" s="39"/>
      <x:c r="AB246" s="24"/>
    </x:row>
    <x:row r="247" ht="23" customHeight="1">
      <x:c r="A247" s="20"/>
      <x:c r="B247" s="5"/>
      <x:c r="C247" s="4"/>
      <x:c r="D247" s="34" t="str">
        <x:f>IF(OR(A247="",U247="",COUNTIF('Project codes'!$A$7:$A$106,U247)&lt;&gt;1),"",_xlfn.XLOOKUP(U247,'Project codes'!$A$7:$A$106,'Project codes'!$I$7:$I$106,"",0))</x:f>
      </x:c>
      <x:c r="E247" s="4"/>
      <x:c r="F247" s="35" t="str">
        <x:f>IF(AND(ISNUMBER(N247),N247&gt;=0,O247="Complete"),N247/3600000,"")</x:f>
      </x:c>
      <x:c r="G247" s="4"/>
      <x:c r="H247" s="4"/>
      <x:c r="I247" s="36" t="str">
        <x:f>IF(COUNTA(A247:C247,E247,G247:H247,J247:T247,V247:AB247)=0,"",IF(A247="","Review: missing entry ID",IF(COUNTIF($A$7:$A$506,A247)&gt;1,"Review: duplicate entry ID",IF(NOT(ISNUMBER(B247)),"Review: work date",IF(OR(C247="",E247="",K247="",M247="",H247=""),"Review: source details",IF(J247&lt;&gt;'Estimate review'!$J$5,"Review: project scope",IF(OR(NOT(ISNUMBER(N247)),N247&lt;0,O247&lt;&gt;"Complete"),"Review: duration",IF(S247&lt;&gt;"Coded","Review: coding status",IF(OR(U247="",COUNTIF('Project codes'!$A$7:$A$106,U247)=0),"Review: SOW mapping",IF(COUNTIF('Project codes'!$A$7:$A$106,U247)&gt;1,"Review: duplicate code",IF(_xlfn.XLOOKUP(U247,'Project codes'!$A$7:$A$106,'Project codes'!$F$7:$F$106,"Review",0)="Hold","Review: allocation hold",IF(OR(D247="",COUNTIF('SOW register'!$A$7:$A$36,D247)&lt;&gt;1),"Review: SOW mapping",IF(AND(G247&lt;&gt;"Yes",G247&lt;&gt;"No"),"Review: billability",IF(AB247="","Review: billing evidence","OK"))))))))))))))</x:f>
      </x:c>
      <x:c r="J247" s="24"/>
      <x:c r="K247" s="38"/>
      <x:c r="L247" s="38"/>
      <x:c r="M247" s="38"/>
      <x:c r="N247" s="39"/>
      <x:c r="O247" s="24"/>
      <x:c r="P247" s="24"/>
      <x:c r="Q247" s="38"/>
      <x:c r="R247" s="38"/>
      <x:c r="S247" s="24"/>
      <x:c r="T247" s="24"/>
      <x:c r="U247" s="37" t="str">
        <x:f>IF(OR(J247="",Q247="",R247=""),"",J247&amp;"|"&amp;Q247&amp;"|"&amp;R247)</x:f>
      </x:c>
      <x:c r="V247" s="24"/>
      <x:c r="W247" s="24"/>
      <x:c r="X247" s="40"/>
      <x:c r="Y247" s="40"/>
      <x:c r="Z247" s="39"/>
      <x:c r="AA247" s="39"/>
      <x:c r="AB247" s="24"/>
    </x:row>
    <x:row r="248" ht="23" customHeight="1">
      <x:c r="A248" s="20"/>
      <x:c r="B248" s="5"/>
      <x:c r="C248" s="4"/>
      <x:c r="D248" s="34" t="str">
        <x:f>IF(OR(A248="",U248="",COUNTIF('Project codes'!$A$7:$A$106,U248)&lt;&gt;1),"",_xlfn.XLOOKUP(U248,'Project codes'!$A$7:$A$106,'Project codes'!$I$7:$I$106,"",0))</x:f>
      </x:c>
      <x:c r="E248" s="4"/>
      <x:c r="F248" s="35" t="str">
        <x:f>IF(AND(ISNUMBER(N248),N248&gt;=0,O248="Complete"),N248/3600000,"")</x:f>
      </x:c>
      <x:c r="G248" s="4"/>
      <x:c r="H248" s="4"/>
      <x:c r="I248" s="36" t="str">
        <x:f>IF(COUNTA(A248:C248,E248,G248:H248,J248:T248,V248:AB248)=0,"",IF(A248="","Review: missing entry ID",IF(COUNTIF($A$7:$A$506,A248)&gt;1,"Review: duplicate entry ID",IF(NOT(ISNUMBER(B248)),"Review: work date",IF(OR(C248="",E248="",K248="",M248="",H248=""),"Review: source details",IF(J248&lt;&gt;'Estimate review'!$J$5,"Review: project scope",IF(OR(NOT(ISNUMBER(N248)),N248&lt;0,O248&lt;&gt;"Complete"),"Review: duration",IF(S248&lt;&gt;"Coded","Review: coding status",IF(OR(U248="",COUNTIF('Project codes'!$A$7:$A$106,U248)=0),"Review: SOW mapping",IF(COUNTIF('Project codes'!$A$7:$A$106,U248)&gt;1,"Review: duplicate code",IF(_xlfn.XLOOKUP(U248,'Project codes'!$A$7:$A$106,'Project codes'!$F$7:$F$106,"Review",0)="Hold","Review: allocation hold",IF(OR(D248="",COUNTIF('SOW register'!$A$7:$A$36,D248)&lt;&gt;1),"Review: SOW mapping",IF(AND(G248&lt;&gt;"Yes",G248&lt;&gt;"No"),"Review: billability",IF(AB248="","Review: billing evidence","OK"))))))))))))))</x:f>
      </x:c>
      <x:c r="J248" s="24"/>
      <x:c r="K248" s="38"/>
      <x:c r="L248" s="38"/>
      <x:c r="M248" s="38"/>
      <x:c r="N248" s="39"/>
      <x:c r="O248" s="24"/>
      <x:c r="P248" s="24"/>
      <x:c r="Q248" s="38"/>
      <x:c r="R248" s="38"/>
      <x:c r="S248" s="24"/>
      <x:c r="T248" s="24"/>
      <x:c r="U248" s="37" t="str">
        <x:f>IF(OR(J248="",Q248="",R248=""),"",J248&amp;"|"&amp;Q248&amp;"|"&amp;R248)</x:f>
      </x:c>
      <x:c r="V248" s="24"/>
      <x:c r="W248" s="24"/>
      <x:c r="X248" s="40"/>
      <x:c r="Y248" s="40"/>
      <x:c r="Z248" s="39"/>
      <x:c r="AA248" s="39"/>
      <x:c r="AB248" s="24"/>
    </x:row>
    <x:row r="249" ht="23" customHeight="1">
      <x:c r="A249" s="20"/>
      <x:c r="B249" s="5"/>
      <x:c r="C249" s="4"/>
      <x:c r="D249" s="34" t="str">
        <x:f>IF(OR(A249="",U249="",COUNTIF('Project codes'!$A$7:$A$106,U249)&lt;&gt;1),"",_xlfn.XLOOKUP(U249,'Project codes'!$A$7:$A$106,'Project codes'!$I$7:$I$106,"",0))</x:f>
      </x:c>
      <x:c r="E249" s="4"/>
      <x:c r="F249" s="35" t="str">
        <x:f>IF(AND(ISNUMBER(N249),N249&gt;=0,O249="Complete"),N249/3600000,"")</x:f>
      </x:c>
      <x:c r="G249" s="4"/>
      <x:c r="H249" s="4"/>
      <x:c r="I249" s="36" t="str">
        <x:f>IF(COUNTA(A249:C249,E249,G249:H249,J249:T249,V249:AB249)=0,"",IF(A249="","Review: missing entry ID",IF(COUNTIF($A$7:$A$506,A249)&gt;1,"Review: duplicate entry ID",IF(NOT(ISNUMBER(B249)),"Review: work date",IF(OR(C249="",E249="",K249="",M249="",H249=""),"Review: source details",IF(J249&lt;&gt;'Estimate review'!$J$5,"Review: project scope",IF(OR(NOT(ISNUMBER(N249)),N249&lt;0,O249&lt;&gt;"Complete"),"Review: duration",IF(S249&lt;&gt;"Coded","Review: coding status",IF(OR(U249="",COUNTIF('Project codes'!$A$7:$A$106,U249)=0),"Review: SOW mapping",IF(COUNTIF('Project codes'!$A$7:$A$106,U249)&gt;1,"Review: duplicate code",IF(_xlfn.XLOOKUP(U249,'Project codes'!$A$7:$A$106,'Project codes'!$F$7:$F$106,"Review",0)="Hold","Review: allocation hold",IF(OR(D249="",COUNTIF('SOW register'!$A$7:$A$36,D249)&lt;&gt;1),"Review: SOW mapping",IF(AND(G249&lt;&gt;"Yes",G249&lt;&gt;"No"),"Review: billability",IF(AB249="","Review: billing evidence","OK"))))))))))))))</x:f>
      </x:c>
      <x:c r="J249" s="24"/>
      <x:c r="K249" s="38"/>
      <x:c r="L249" s="38"/>
      <x:c r="M249" s="38"/>
      <x:c r="N249" s="39"/>
      <x:c r="O249" s="24"/>
      <x:c r="P249" s="24"/>
      <x:c r="Q249" s="38"/>
      <x:c r="R249" s="38"/>
      <x:c r="S249" s="24"/>
      <x:c r="T249" s="24"/>
      <x:c r="U249" s="37" t="str">
        <x:f>IF(OR(J249="",Q249="",R249=""),"",J249&amp;"|"&amp;Q249&amp;"|"&amp;R249)</x:f>
      </x:c>
      <x:c r="V249" s="24"/>
      <x:c r="W249" s="24"/>
      <x:c r="X249" s="40"/>
      <x:c r="Y249" s="40"/>
      <x:c r="Z249" s="39"/>
      <x:c r="AA249" s="39"/>
      <x:c r="AB249" s="24"/>
    </x:row>
    <x:row r="250" ht="23" customHeight="1">
      <x:c r="A250" s="20"/>
      <x:c r="B250" s="5"/>
      <x:c r="C250" s="4"/>
      <x:c r="D250" s="34" t="str">
        <x:f>IF(OR(A250="",U250="",COUNTIF('Project codes'!$A$7:$A$106,U250)&lt;&gt;1),"",_xlfn.XLOOKUP(U250,'Project codes'!$A$7:$A$106,'Project codes'!$I$7:$I$106,"",0))</x:f>
      </x:c>
      <x:c r="E250" s="4"/>
      <x:c r="F250" s="35" t="str">
        <x:f>IF(AND(ISNUMBER(N250),N250&gt;=0,O250="Complete"),N250/3600000,"")</x:f>
      </x:c>
      <x:c r="G250" s="4"/>
      <x:c r="H250" s="4"/>
      <x:c r="I250" s="36" t="str">
        <x:f>IF(COUNTA(A250:C250,E250,G250:H250,J250:T250,V250:AB250)=0,"",IF(A250="","Review: missing entry ID",IF(COUNTIF($A$7:$A$506,A250)&gt;1,"Review: duplicate entry ID",IF(NOT(ISNUMBER(B250)),"Review: work date",IF(OR(C250="",E250="",K250="",M250="",H250=""),"Review: source details",IF(J250&lt;&gt;'Estimate review'!$J$5,"Review: project scope",IF(OR(NOT(ISNUMBER(N250)),N250&lt;0,O250&lt;&gt;"Complete"),"Review: duration",IF(S250&lt;&gt;"Coded","Review: coding status",IF(OR(U250="",COUNTIF('Project codes'!$A$7:$A$106,U250)=0),"Review: SOW mapping",IF(COUNTIF('Project codes'!$A$7:$A$106,U250)&gt;1,"Review: duplicate code",IF(_xlfn.XLOOKUP(U250,'Project codes'!$A$7:$A$106,'Project codes'!$F$7:$F$106,"Review",0)="Hold","Review: allocation hold",IF(OR(D250="",COUNTIF('SOW register'!$A$7:$A$36,D250)&lt;&gt;1),"Review: SOW mapping",IF(AND(G250&lt;&gt;"Yes",G250&lt;&gt;"No"),"Review: billability",IF(AB250="","Review: billing evidence","OK"))))))))))))))</x:f>
      </x:c>
      <x:c r="J250" s="24"/>
      <x:c r="K250" s="38"/>
      <x:c r="L250" s="38"/>
      <x:c r="M250" s="38"/>
      <x:c r="N250" s="39"/>
      <x:c r="O250" s="24"/>
      <x:c r="P250" s="24"/>
      <x:c r="Q250" s="38"/>
      <x:c r="R250" s="38"/>
      <x:c r="S250" s="24"/>
      <x:c r="T250" s="24"/>
      <x:c r="U250" s="37" t="str">
        <x:f>IF(OR(J250="",Q250="",R250=""),"",J250&amp;"|"&amp;Q250&amp;"|"&amp;R250)</x:f>
      </x:c>
      <x:c r="V250" s="24"/>
      <x:c r="W250" s="24"/>
      <x:c r="X250" s="40"/>
      <x:c r="Y250" s="40"/>
      <x:c r="Z250" s="39"/>
      <x:c r="AA250" s="39"/>
      <x:c r="AB250" s="24"/>
    </x:row>
    <x:row r="251" ht="23" customHeight="1">
      <x:c r="A251" s="20"/>
      <x:c r="B251" s="5"/>
      <x:c r="C251" s="4"/>
      <x:c r="D251" s="34" t="str">
        <x:f>IF(OR(A251="",U251="",COUNTIF('Project codes'!$A$7:$A$106,U251)&lt;&gt;1),"",_xlfn.XLOOKUP(U251,'Project codes'!$A$7:$A$106,'Project codes'!$I$7:$I$106,"",0))</x:f>
      </x:c>
      <x:c r="E251" s="4"/>
      <x:c r="F251" s="35" t="str">
        <x:f>IF(AND(ISNUMBER(N251),N251&gt;=0,O251="Complete"),N251/3600000,"")</x:f>
      </x:c>
      <x:c r="G251" s="4"/>
      <x:c r="H251" s="4"/>
      <x:c r="I251" s="36" t="str">
        <x:f>IF(COUNTA(A251:C251,E251,G251:H251,J251:T251,V251:AB251)=0,"",IF(A251="","Review: missing entry ID",IF(COUNTIF($A$7:$A$506,A251)&gt;1,"Review: duplicate entry ID",IF(NOT(ISNUMBER(B251)),"Review: work date",IF(OR(C251="",E251="",K251="",M251="",H251=""),"Review: source details",IF(J251&lt;&gt;'Estimate review'!$J$5,"Review: project scope",IF(OR(NOT(ISNUMBER(N251)),N251&lt;0,O251&lt;&gt;"Complete"),"Review: duration",IF(S251&lt;&gt;"Coded","Review: coding status",IF(OR(U251="",COUNTIF('Project codes'!$A$7:$A$106,U251)=0),"Review: SOW mapping",IF(COUNTIF('Project codes'!$A$7:$A$106,U251)&gt;1,"Review: duplicate code",IF(_xlfn.XLOOKUP(U251,'Project codes'!$A$7:$A$106,'Project codes'!$F$7:$F$106,"Review",0)="Hold","Review: allocation hold",IF(OR(D251="",COUNTIF('SOW register'!$A$7:$A$36,D251)&lt;&gt;1),"Review: SOW mapping",IF(AND(G251&lt;&gt;"Yes",G251&lt;&gt;"No"),"Review: billability",IF(AB251="","Review: billing evidence","OK"))))))))))))))</x:f>
      </x:c>
      <x:c r="J251" s="24"/>
      <x:c r="K251" s="38"/>
      <x:c r="L251" s="38"/>
      <x:c r="M251" s="38"/>
      <x:c r="N251" s="39"/>
      <x:c r="O251" s="24"/>
      <x:c r="P251" s="24"/>
      <x:c r="Q251" s="38"/>
      <x:c r="R251" s="38"/>
      <x:c r="S251" s="24"/>
      <x:c r="T251" s="24"/>
      <x:c r="U251" s="37" t="str">
        <x:f>IF(OR(J251="",Q251="",R251=""),"",J251&amp;"|"&amp;Q251&amp;"|"&amp;R251)</x:f>
      </x:c>
      <x:c r="V251" s="24"/>
      <x:c r="W251" s="24"/>
      <x:c r="X251" s="40"/>
      <x:c r="Y251" s="40"/>
      <x:c r="Z251" s="39"/>
      <x:c r="AA251" s="39"/>
      <x:c r="AB251" s="24"/>
    </x:row>
    <x:row r="252" ht="23" customHeight="1">
      <x:c r="A252" s="20"/>
      <x:c r="B252" s="5"/>
      <x:c r="C252" s="4"/>
      <x:c r="D252" s="34" t="str">
        <x:f>IF(OR(A252="",U252="",COUNTIF('Project codes'!$A$7:$A$106,U252)&lt;&gt;1),"",_xlfn.XLOOKUP(U252,'Project codes'!$A$7:$A$106,'Project codes'!$I$7:$I$106,"",0))</x:f>
      </x:c>
      <x:c r="E252" s="4"/>
      <x:c r="F252" s="35" t="str">
        <x:f>IF(AND(ISNUMBER(N252),N252&gt;=0,O252="Complete"),N252/3600000,"")</x:f>
      </x:c>
      <x:c r="G252" s="4"/>
      <x:c r="H252" s="4"/>
      <x:c r="I252" s="36" t="str">
        <x:f>IF(COUNTA(A252:C252,E252,G252:H252,J252:T252,V252:AB252)=0,"",IF(A252="","Review: missing entry ID",IF(COUNTIF($A$7:$A$506,A252)&gt;1,"Review: duplicate entry ID",IF(NOT(ISNUMBER(B252)),"Review: work date",IF(OR(C252="",E252="",K252="",M252="",H252=""),"Review: source details",IF(J252&lt;&gt;'Estimate review'!$J$5,"Review: project scope",IF(OR(NOT(ISNUMBER(N252)),N252&lt;0,O252&lt;&gt;"Complete"),"Review: duration",IF(S252&lt;&gt;"Coded","Review: coding status",IF(OR(U252="",COUNTIF('Project codes'!$A$7:$A$106,U252)=0),"Review: SOW mapping",IF(COUNTIF('Project codes'!$A$7:$A$106,U252)&gt;1,"Review: duplicate code",IF(_xlfn.XLOOKUP(U252,'Project codes'!$A$7:$A$106,'Project codes'!$F$7:$F$106,"Review",0)="Hold","Review: allocation hold",IF(OR(D252="",COUNTIF('SOW register'!$A$7:$A$36,D252)&lt;&gt;1),"Review: SOW mapping",IF(AND(G252&lt;&gt;"Yes",G252&lt;&gt;"No"),"Review: billability",IF(AB252="","Review: billing evidence","OK"))))))))))))))</x:f>
      </x:c>
      <x:c r="J252" s="24"/>
      <x:c r="K252" s="38"/>
      <x:c r="L252" s="38"/>
      <x:c r="M252" s="38"/>
      <x:c r="N252" s="39"/>
      <x:c r="O252" s="24"/>
      <x:c r="P252" s="24"/>
      <x:c r="Q252" s="38"/>
      <x:c r="R252" s="38"/>
      <x:c r="S252" s="24"/>
      <x:c r="T252" s="24"/>
      <x:c r="U252" s="37" t="str">
        <x:f>IF(OR(J252="",Q252="",R252=""),"",J252&amp;"|"&amp;Q252&amp;"|"&amp;R252)</x:f>
      </x:c>
      <x:c r="V252" s="24"/>
      <x:c r="W252" s="24"/>
      <x:c r="X252" s="40"/>
      <x:c r="Y252" s="40"/>
      <x:c r="Z252" s="39"/>
      <x:c r="AA252" s="39"/>
      <x:c r="AB252" s="24"/>
    </x:row>
    <x:row r="253" ht="23" customHeight="1">
      <x:c r="A253" s="20"/>
      <x:c r="B253" s="5"/>
      <x:c r="C253" s="4"/>
      <x:c r="D253" s="34" t="str">
        <x:f>IF(OR(A253="",U253="",COUNTIF('Project codes'!$A$7:$A$106,U253)&lt;&gt;1),"",_xlfn.XLOOKUP(U253,'Project codes'!$A$7:$A$106,'Project codes'!$I$7:$I$106,"",0))</x:f>
      </x:c>
      <x:c r="E253" s="4"/>
      <x:c r="F253" s="35" t="str">
        <x:f>IF(AND(ISNUMBER(N253),N253&gt;=0,O253="Complete"),N253/3600000,"")</x:f>
      </x:c>
      <x:c r="G253" s="4"/>
      <x:c r="H253" s="4"/>
      <x:c r="I253" s="36" t="str">
        <x:f>IF(COUNTA(A253:C253,E253,G253:H253,J253:T253,V253:AB253)=0,"",IF(A253="","Review: missing entry ID",IF(COUNTIF($A$7:$A$506,A253)&gt;1,"Review: duplicate entry ID",IF(NOT(ISNUMBER(B253)),"Review: work date",IF(OR(C253="",E253="",K253="",M253="",H253=""),"Review: source details",IF(J253&lt;&gt;'Estimate review'!$J$5,"Review: project scope",IF(OR(NOT(ISNUMBER(N253)),N253&lt;0,O253&lt;&gt;"Complete"),"Review: duration",IF(S253&lt;&gt;"Coded","Review: coding status",IF(OR(U253="",COUNTIF('Project codes'!$A$7:$A$106,U253)=0),"Review: SOW mapping",IF(COUNTIF('Project codes'!$A$7:$A$106,U253)&gt;1,"Review: duplicate code",IF(_xlfn.XLOOKUP(U253,'Project codes'!$A$7:$A$106,'Project codes'!$F$7:$F$106,"Review",0)="Hold","Review: allocation hold",IF(OR(D253="",COUNTIF('SOW register'!$A$7:$A$36,D253)&lt;&gt;1),"Review: SOW mapping",IF(AND(G253&lt;&gt;"Yes",G253&lt;&gt;"No"),"Review: billability",IF(AB253="","Review: billing evidence","OK"))))))))))))))</x:f>
      </x:c>
      <x:c r="J253" s="24"/>
      <x:c r="K253" s="38"/>
      <x:c r="L253" s="38"/>
      <x:c r="M253" s="38"/>
      <x:c r="N253" s="39"/>
      <x:c r="O253" s="24"/>
      <x:c r="P253" s="24"/>
      <x:c r="Q253" s="38"/>
      <x:c r="R253" s="38"/>
      <x:c r="S253" s="24"/>
      <x:c r="T253" s="24"/>
      <x:c r="U253" s="37" t="str">
        <x:f>IF(OR(J253="",Q253="",R253=""),"",J253&amp;"|"&amp;Q253&amp;"|"&amp;R253)</x:f>
      </x:c>
      <x:c r="V253" s="24"/>
      <x:c r="W253" s="24"/>
      <x:c r="X253" s="40"/>
      <x:c r="Y253" s="40"/>
      <x:c r="Z253" s="39"/>
      <x:c r="AA253" s="39"/>
      <x:c r="AB253" s="24"/>
    </x:row>
    <x:row r="254" ht="23" customHeight="1">
      <x:c r="A254" s="20"/>
      <x:c r="B254" s="5"/>
      <x:c r="C254" s="4"/>
      <x:c r="D254" s="34" t="str">
        <x:f>IF(OR(A254="",U254="",COUNTIF('Project codes'!$A$7:$A$106,U254)&lt;&gt;1),"",_xlfn.XLOOKUP(U254,'Project codes'!$A$7:$A$106,'Project codes'!$I$7:$I$106,"",0))</x:f>
      </x:c>
      <x:c r="E254" s="4"/>
      <x:c r="F254" s="35" t="str">
        <x:f>IF(AND(ISNUMBER(N254),N254&gt;=0,O254="Complete"),N254/3600000,"")</x:f>
      </x:c>
      <x:c r="G254" s="4"/>
      <x:c r="H254" s="4"/>
      <x:c r="I254" s="36" t="str">
        <x:f>IF(COUNTA(A254:C254,E254,G254:H254,J254:T254,V254:AB254)=0,"",IF(A254="","Review: missing entry ID",IF(COUNTIF($A$7:$A$506,A254)&gt;1,"Review: duplicate entry ID",IF(NOT(ISNUMBER(B254)),"Review: work date",IF(OR(C254="",E254="",K254="",M254="",H254=""),"Review: source details",IF(J254&lt;&gt;'Estimate review'!$J$5,"Review: project scope",IF(OR(NOT(ISNUMBER(N254)),N254&lt;0,O254&lt;&gt;"Complete"),"Review: duration",IF(S254&lt;&gt;"Coded","Review: coding status",IF(OR(U254="",COUNTIF('Project codes'!$A$7:$A$106,U254)=0),"Review: SOW mapping",IF(COUNTIF('Project codes'!$A$7:$A$106,U254)&gt;1,"Review: duplicate code",IF(_xlfn.XLOOKUP(U254,'Project codes'!$A$7:$A$106,'Project codes'!$F$7:$F$106,"Review",0)="Hold","Review: allocation hold",IF(OR(D254="",COUNTIF('SOW register'!$A$7:$A$36,D254)&lt;&gt;1),"Review: SOW mapping",IF(AND(G254&lt;&gt;"Yes",G254&lt;&gt;"No"),"Review: billability",IF(AB254="","Review: billing evidence","OK"))))))))))))))</x:f>
      </x:c>
      <x:c r="J254" s="24"/>
      <x:c r="K254" s="38"/>
      <x:c r="L254" s="38"/>
      <x:c r="M254" s="38"/>
      <x:c r="N254" s="39"/>
      <x:c r="O254" s="24"/>
      <x:c r="P254" s="24"/>
      <x:c r="Q254" s="38"/>
      <x:c r="R254" s="38"/>
      <x:c r="S254" s="24"/>
      <x:c r="T254" s="24"/>
      <x:c r="U254" s="37" t="str">
        <x:f>IF(OR(J254="",Q254="",R254=""),"",J254&amp;"|"&amp;Q254&amp;"|"&amp;R254)</x:f>
      </x:c>
      <x:c r="V254" s="24"/>
      <x:c r="W254" s="24"/>
      <x:c r="X254" s="40"/>
      <x:c r="Y254" s="40"/>
      <x:c r="Z254" s="39"/>
      <x:c r="AA254" s="39"/>
      <x:c r="AB254" s="24"/>
    </x:row>
    <x:row r="255" ht="23" customHeight="1">
      <x:c r="A255" s="20"/>
      <x:c r="B255" s="5"/>
      <x:c r="C255" s="4"/>
      <x:c r="D255" s="34" t="str">
        <x:f>IF(OR(A255="",U255="",COUNTIF('Project codes'!$A$7:$A$106,U255)&lt;&gt;1),"",_xlfn.XLOOKUP(U255,'Project codes'!$A$7:$A$106,'Project codes'!$I$7:$I$106,"",0))</x:f>
      </x:c>
      <x:c r="E255" s="4"/>
      <x:c r="F255" s="35" t="str">
        <x:f>IF(AND(ISNUMBER(N255),N255&gt;=0,O255="Complete"),N255/3600000,"")</x:f>
      </x:c>
      <x:c r="G255" s="4"/>
      <x:c r="H255" s="4"/>
      <x:c r="I255" s="36" t="str">
        <x:f>IF(COUNTA(A255:C255,E255,G255:H255,J255:T255,V255:AB255)=0,"",IF(A255="","Review: missing entry ID",IF(COUNTIF($A$7:$A$506,A255)&gt;1,"Review: duplicate entry ID",IF(NOT(ISNUMBER(B255)),"Review: work date",IF(OR(C255="",E255="",K255="",M255="",H255=""),"Review: source details",IF(J255&lt;&gt;'Estimate review'!$J$5,"Review: project scope",IF(OR(NOT(ISNUMBER(N255)),N255&lt;0,O255&lt;&gt;"Complete"),"Review: duration",IF(S255&lt;&gt;"Coded","Review: coding status",IF(OR(U255="",COUNTIF('Project codes'!$A$7:$A$106,U255)=0),"Review: SOW mapping",IF(COUNTIF('Project codes'!$A$7:$A$106,U255)&gt;1,"Review: duplicate code",IF(_xlfn.XLOOKUP(U255,'Project codes'!$A$7:$A$106,'Project codes'!$F$7:$F$106,"Review",0)="Hold","Review: allocation hold",IF(OR(D255="",COUNTIF('SOW register'!$A$7:$A$36,D255)&lt;&gt;1),"Review: SOW mapping",IF(AND(G255&lt;&gt;"Yes",G255&lt;&gt;"No"),"Review: billability",IF(AB255="","Review: billing evidence","OK"))))))))))))))</x:f>
      </x:c>
      <x:c r="J255" s="24"/>
      <x:c r="K255" s="38"/>
      <x:c r="L255" s="38"/>
      <x:c r="M255" s="38"/>
      <x:c r="N255" s="39"/>
      <x:c r="O255" s="24"/>
      <x:c r="P255" s="24"/>
      <x:c r="Q255" s="38"/>
      <x:c r="R255" s="38"/>
      <x:c r="S255" s="24"/>
      <x:c r="T255" s="24"/>
      <x:c r="U255" s="37" t="str">
        <x:f>IF(OR(J255="",Q255="",R255=""),"",J255&amp;"|"&amp;Q255&amp;"|"&amp;R255)</x:f>
      </x:c>
      <x:c r="V255" s="24"/>
      <x:c r="W255" s="24"/>
      <x:c r="X255" s="40"/>
      <x:c r="Y255" s="40"/>
      <x:c r="Z255" s="39"/>
      <x:c r="AA255" s="39"/>
      <x:c r="AB255" s="24"/>
    </x:row>
    <x:row r="256" ht="23" customHeight="1">
      <x:c r="A256" s="20"/>
      <x:c r="B256" s="5"/>
      <x:c r="C256" s="4"/>
      <x:c r="D256" s="34" t="str">
        <x:f>IF(OR(A256="",U256="",COUNTIF('Project codes'!$A$7:$A$106,U256)&lt;&gt;1),"",_xlfn.XLOOKUP(U256,'Project codes'!$A$7:$A$106,'Project codes'!$I$7:$I$106,"",0))</x:f>
      </x:c>
      <x:c r="E256" s="4"/>
      <x:c r="F256" s="35" t="str">
        <x:f>IF(AND(ISNUMBER(N256),N256&gt;=0,O256="Complete"),N256/3600000,"")</x:f>
      </x:c>
      <x:c r="G256" s="4"/>
      <x:c r="H256" s="4"/>
      <x:c r="I256" s="36" t="str">
        <x:f>IF(COUNTA(A256:C256,E256,G256:H256,J256:T256,V256:AB256)=0,"",IF(A256="","Review: missing entry ID",IF(COUNTIF($A$7:$A$506,A256)&gt;1,"Review: duplicate entry ID",IF(NOT(ISNUMBER(B256)),"Review: work date",IF(OR(C256="",E256="",K256="",M256="",H256=""),"Review: source details",IF(J256&lt;&gt;'Estimate review'!$J$5,"Review: project scope",IF(OR(NOT(ISNUMBER(N256)),N256&lt;0,O256&lt;&gt;"Complete"),"Review: duration",IF(S256&lt;&gt;"Coded","Review: coding status",IF(OR(U256="",COUNTIF('Project codes'!$A$7:$A$106,U256)=0),"Review: SOW mapping",IF(COUNTIF('Project codes'!$A$7:$A$106,U256)&gt;1,"Review: duplicate code",IF(_xlfn.XLOOKUP(U256,'Project codes'!$A$7:$A$106,'Project codes'!$F$7:$F$106,"Review",0)="Hold","Review: allocation hold",IF(OR(D256="",COUNTIF('SOW register'!$A$7:$A$36,D256)&lt;&gt;1),"Review: SOW mapping",IF(AND(G256&lt;&gt;"Yes",G256&lt;&gt;"No"),"Review: billability",IF(AB256="","Review: billing evidence","OK"))))))))))))))</x:f>
      </x:c>
      <x:c r="J256" s="24"/>
      <x:c r="K256" s="38"/>
      <x:c r="L256" s="38"/>
      <x:c r="M256" s="38"/>
      <x:c r="N256" s="39"/>
      <x:c r="O256" s="24"/>
      <x:c r="P256" s="24"/>
      <x:c r="Q256" s="38"/>
      <x:c r="R256" s="38"/>
      <x:c r="S256" s="24"/>
      <x:c r="T256" s="24"/>
      <x:c r="U256" s="37" t="str">
        <x:f>IF(OR(J256="",Q256="",R256=""),"",J256&amp;"|"&amp;Q256&amp;"|"&amp;R256)</x:f>
      </x:c>
      <x:c r="V256" s="24"/>
      <x:c r="W256" s="24"/>
      <x:c r="X256" s="40"/>
      <x:c r="Y256" s="40"/>
      <x:c r="Z256" s="39"/>
      <x:c r="AA256" s="39"/>
      <x:c r="AB256" s="24"/>
    </x:row>
    <x:row r="257" ht="23" customHeight="1">
      <x:c r="A257" s="20"/>
      <x:c r="B257" s="5"/>
      <x:c r="C257" s="4"/>
      <x:c r="D257" s="34" t="str">
        <x:f>IF(OR(A257="",U257="",COUNTIF('Project codes'!$A$7:$A$106,U257)&lt;&gt;1),"",_xlfn.XLOOKUP(U257,'Project codes'!$A$7:$A$106,'Project codes'!$I$7:$I$106,"",0))</x:f>
      </x:c>
      <x:c r="E257" s="4"/>
      <x:c r="F257" s="35" t="str">
        <x:f>IF(AND(ISNUMBER(N257),N257&gt;=0,O257="Complete"),N257/3600000,"")</x:f>
      </x:c>
      <x:c r="G257" s="4"/>
      <x:c r="H257" s="4"/>
      <x:c r="I257" s="36" t="str">
        <x:f>IF(COUNTA(A257:C257,E257,G257:H257,J257:T257,V257:AB257)=0,"",IF(A257="","Review: missing entry ID",IF(COUNTIF($A$7:$A$506,A257)&gt;1,"Review: duplicate entry ID",IF(NOT(ISNUMBER(B257)),"Review: work date",IF(OR(C257="",E257="",K257="",M257="",H257=""),"Review: source details",IF(J257&lt;&gt;'Estimate review'!$J$5,"Review: project scope",IF(OR(NOT(ISNUMBER(N257)),N257&lt;0,O257&lt;&gt;"Complete"),"Review: duration",IF(S257&lt;&gt;"Coded","Review: coding status",IF(OR(U257="",COUNTIF('Project codes'!$A$7:$A$106,U257)=0),"Review: SOW mapping",IF(COUNTIF('Project codes'!$A$7:$A$106,U257)&gt;1,"Review: duplicate code",IF(_xlfn.XLOOKUP(U257,'Project codes'!$A$7:$A$106,'Project codes'!$F$7:$F$106,"Review",0)="Hold","Review: allocation hold",IF(OR(D257="",COUNTIF('SOW register'!$A$7:$A$36,D257)&lt;&gt;1),"Review: SOW mapping",IF(AND(G257&lt;&gt;"Yes",G257&lt;&gt;"No"),"Review: billability",IF(AB257="","Review: billing evidence","OK"))))))))))))))</x:f>
      </x:c>
      <x:c r="J257" s="24"/>
      <x:c r="K257" s="38"/>
      <x:c r="L257" s="38"/>
      <x:c r="M257" s="38"/>
      <x:c r="N257" s="39"/>
      <x:c r="O257" s="24"/>
      <x:c r="P257" s="24"/>
      <x:c r="Q257" s="38"/>
      <x:c r="R257" s="38"/>
      <x:c r="S257" s="24"/>
      <x:c r="T257" s="24"/>
      <x:c r="U257" s="37" t="str">
        <x:f>IF(OR(J257="",Q257="",R257=""),"",J257&amp;"|"&amp;Q257&amp;"|"&amp;R257)</x:f>
      </x:c>
      <x:c r="V257" s="24"/>
      <x:c r="W257" s="24"/>
      <x:c r="X257" s="40"/>
      <x:c r="Y257" s="40"/>
      <x:c r="Z257" s="39"/>
      <x:c r="AA257" s="39"/>
      <x:c r="AB257" s="24"/>
    </x:row>
    <x:row r="258" ht="23" customHeight="1">
      <x:c r="A258" s="20"/>
      <x:c r="B258" s="5"/>
      <x:c r="C258" s="4"/>
      <x:c r="D258" s="34" t="str">
        <x:f>IF(OR(A258="",U258="",COUNTIF('Project codes'!$A$7:$A$106,U258)&lt;&gt;1),"",_xlfn.XLOOKUP(U258,'Project codes'!$A$7:$A$106,'Project codes'!$I$7:$I$106,"",0))</x:f>
      </x:c>
      <x:c r="E258" s="4"/>
      <x:c r="F258" s="35" t="str">
        <x:f>IF(AND(ISNUMBER(N258),N258&gt;=0,O258="Complete"),N258/3600000,"")</x:f>
      </x:c>
      <x:c r="G258" s="4"/>
      <x:c r="H258" s="4"/>
      <x:c r="I258" s="36" t="str">
        <x:f>IF(COUNTA(A258:C258,E258,G258:H258,J258:T258,V258:AB258)=0,"",IF(A258="","Review: missing entry ID",IF(COUNTIF($A$7:$A$506,A258)&gt;1,"Review: duplicate entry ID",IF(NOT(ISNUMBER(B258)),"Review: work date",IF(OR(C258="",E258="",K258="",M258="",H258=""),"Review: source details",IF(J258&lt;&gt;'Estimate review'!$J$5,"Review: project scope",IF(OR(NOT(ISNUMBER(N258)),N258&lt;0,O258&lt;&gt;"Complete"),"Review: duration",IF(S258&lt;&gt;"Coded","Review: coding status",IF(OR(U258="",COUNTIF('Project codes'!$A$7:$A$106,U258)=0),"Review: SOW mapping",IF(COUNTIF('Project codes'!$A$7:$A$106,U258)&gt;1,"Review: duplicate code",IF(_xlfn.XLOOKUP(U258,'Project codes'!$A$7:$A$106,'Project codes'!$F$7:$F$106,"Review",0)="Hold","Review: allocation hold",IF(OR(D258="",COUNTIF('SOW register'!$A$7:$A$36,D258)&lt;&gt;1),"Review: SOW mapping",IF(AND(G258&lt;&gt;"Yes",G258&lt;&gt;"No"),"Review: billability",IF(AB258="","Review: billing evidence","OK"))))))))))))))</x:f>
      </x:c>
      <x:c r="J258" s="24"/>
      <x:c r="K258" s="38"/>
      <x:c r="L258" s="38"/>
      <x:c r="M258" s="38"/>
      <x:c r="N258" s="39"/>
      <x:c r="O258" s="24"/>
      <x:c r="P258" s="24"/>
      <x:c r="Q258" s="38"/>
      <x:c r="R258" s="38"/>
      <x:c r="S258" s="24"/>
      <x:c r="T258" s="24"/>
      <x:c r="U258" s="37" t="str">
        <x:f>IF(OR(J258="",Q258="",R258=""),"",J258&amp;"|"&amp;Q258&amp;"|"&amp;R258)</x:f>
      </x:c>
      <x:c r="V258" s="24"/>
      <x:c r="W258" s="24"/>
      <x:c r="X258" s="40"/>
      <x:c r="Y258" s="40"/>
      <x:c r="Z258" s="39"/>
      <x:c r="AA258" s="39"/>
      <x:c r="AB258" s="24"/>
    </x:row>
    <x:row r="259" ht="23" customHeight="1">
      <x:c r="A259" s="20"/>
      <x:c r="B259" s="5"/>
      <x:c r="C259" s="4"/>
      <x:c r="D259" s="34" t="str">
        <x:f>IF(OR(A259="",U259="",COUNTIF('Project codes'!$A$7:$A$106,U259)&lt;&gt;1),"",_xlfn.XLOOKUP(U259,'Project codes'!$A$7:$A$106,'Project codes'!$I$7:$I$106,"",0))</x:f>
      </x:c>
      <x:c r="E259" s="4"/>
      <x:c r="F259" s="35" t="str">
        <x:f>IF(AND(ISNUMBER(N259),N259&gt;=0,O259="Complete"),N259/3600000,"")</x:f>
      </x:c>
      <x:c r="G259" s="4"/>
      <x:c r="H259" s="4"/>
      <x:c r="I259" s="36" t="str">
        <x:f>IF(COUNTA(A259:C259,E259,G259:H259,J259:T259,V259:AB259)=0,"",IF(A259="","Review: missing entry ID",IF(COUNTIF($A$7:$A$506,A259)&gt;1,"Review: duplicate entry ID",IF(NOT(ISNUMBER(B259)),"Review: work date",IF(OR(C259="",E259="",K259="",M259="",H259=""),"Review: source details",IF(J259&lt;&gt;'Estimate review'!$J$5,"Review: project scope",IF(OR(NOT(ISNUMBER(N259)),N259&lt;0,O259&lt;&gt;"Complete"),"Review: duration",IF(S259&lt;&gt;"Coded","Review: coding status",IF(OR(U259="",COUNTIF('Project codes'!$A$7:$A$106,U259)=0),"Review: SOW mapping",IF(COUNTIF('Project codes'!$A$7:$A$106,U259)&gt;1,"Review: duplicate code",IF(_xlfn.XLOOKUP(U259,'Project codes'!$A$7:$A$106,'Project codes'!$F$7:$F$106,"Review",0)="Hold","Review: allocation hold",IF(OR(D259="",COUNTIF('SOW register'!$A$7:$A$36,D259)&lt;&gt;1),"Review: SOW mapping",IF(AND(G259&lt;&gt;"Yes",G259&lt;&gt;"No"),"Review: billability",IF(AB259="","Review: billing evidence","OK"))))))))))))))</x:f>
      </x:c>
      <x:c r="J259" s="24"/>
      <x:c r="K259" s="38"/>
      <x:c r="L259" s="38"/>
      <x:c r="M259" s="38"/>
      <x:c r="N259" s="39"/>
      <x:c r="O259" s="24"/>
      <x:c r="P259" s="24"/>
      <x:c r="Q259" s="38"/>
      <x:c r="R259" s="38"/>
      <x:c r="S259" s="24"/>
      <x:c r="T259" s="24"/>
      <x:c r="U259" s="37" t="str">
        <x:f>IF(OR(J259="",Q259="",R259=""),"",J259&amp;"|"&amp;Q259&amp;"|"&amp;R259)</x:f>
      </x:c>
      <x:c r="V259" s="24"/>
      <x:c r="W259" s="24"/>
      <x:c r="X259" s="40"/>
      <x:c r="Y259" s="40"/>
      <x:c r="Z259" s="39"/>
      <x:c r="AA259" s="39"/>
      <x:c r="AB259" s="24"/>
    </x:row>
    <x:row r="260" ht="23" customHeight="1">
      <x:c r="A260" s="20"/>
      <x:c r="B260" s="5"/>
      <x:c r="C260" s="4"/>
      <x:c r="D260" s="34" t="str">
        <x:f>IF(OR(A260="",U260="",COUNTIF('Project codes'!$A$7:$A$106,U260)&lt;&gt;1),"",_xlfn.XLOOKUP(U260,'Project codes'!$A$7:$A$106,'Project codes'!$I$7:$I$106,"",0))</x:f>
      </x:c>
      <x:c r="E260" s="4"/>
      <x:c r="F260" s="35" t="str">
        <x:f>IF(AND(ISNUMBER(N260),N260&gt;=0,O260="Complete"),N260/3600000,"")</x:f>
      </x:c>
      <x:c r="G260" s="4"/>
      <x:c r="H260" s="4"/>
      <x:c r="I260" s="36" t="str">
        <x:f>IF(COUNTA(A260:C260,E260,G260:H260,J260:T260,V260:AB260)=0,"",IF(A260="","Review: missing entry ID",IF(COUNTIF($A$7:$A$506,A260)&gt;1,"Review: duplicate entry ID",IF(NOT(ISNUMBER(B260)),"Review: work date",IF(OR(C260="",E260="",K260="",M260="",H260=""),"Review: source details",IF(J260&lt;&gt;'Estimate review'!$J$5,"Review: project scope",IF(OR(NOT(ISNUMBER(N260)),N260&lt;0,O260&lt;&gt;"Complete"),"Review: duration",IF(S260&lt;&gt;"Coded","Review: coding status",IF(OR(U260="",COUNTIF('Project codes'!$A$7:$A$106,U260)=0),"Review: SOW mapping",IF(COUNTIF('Project codes'!$A$7:$A$106,U260)&gt;1,"Review: duplicate code",IF(_xlfn.XLOOKUP(U260,'Project codes'!$A$7:$A$106,'Project codes'!$F$7:$F$106,"Review",0)="Hold","Review: allocation hold",IF(OR(D260="",COUNTIF('SOW register'!$A$7:$A$36,D260)&lt;&gt;1),"Review: SOW mapping",IF(AND(G260&lt;&gt;"Yes",G260&lt;&gt;"No"),"Review: billability",IF(AB260="","Review: billing evidence","OK"))))))))))))))</x:f>
      </x:c>
      <x:c r="J260" s="24"/>
      <x:c r="K260" s="38"/>
      <x:c r="L260" s="38"/>
      <x:c r="M260" s="38"/>
      <x:c r="N260" s="39"/>
      <x:c r="O260" s="24"/>
      <x:c r="P260" s="24"/>
      <x:c r="Q260" s="38"/>
      <x:c r="R260" s="38"/>
      <x:c r="S260" s="24"/>
      <x:c r="T260" s="24"/>
      <x:c r="U260" s="37" t="str">
        <x:f>IF(OR(J260="",Q260="",R260=""),"",J260&amp;"|"&amp;Q260&amp;"|"&amp;R260)</x:f>
      </x:c>
      <x:c r="V260" s="24"/>
      <x:c r="W260" s="24"/>
      <x:c r="X260" s="40"/>
      <x:c r="Y260" s="40"/>
      <x:c r="Z260" s="39"/>
      <x:c r="AA260" s="39"/>
      <x:c r="AB260" s="24"/>
    </x:row>
    <x:row r="261" ht="23" customHeight="1">
      <x:c r="A261" s="20"/>
      <x:c r="B261" s="5"/>
      <x:c r="C261" s="4"/>
      <x:c r="D261" s="34" t="str">
        <x:f>IF(OR(A261="",U261="",COUNTIF('Project codes'!$A$7:$A$106,U261)&lt;&gt;1),"",_xlfn.XLOOKUP(U261,'Project codes'!$A$7:$A$106,'Project codes'!$I$7:$I$106,"",0))</x:f>
      </x:c>
      <x:c r="E261" s="4"/>
      <x:c r="F261" s="35" t="str">
        <x:f>IF(AND(ISNUMBER(N261),N261&gt;=0,O261="Complete"),N261/3600000,"")</x:f>
      </x:c>
      <x:c r="G261" s="4"/>
      <x:c r="H261" s="4"/>
      <x:c r="I261" s="36" t="str">
        <x:f>IF(COUNTA(A261:C261,E261,G261:H261,J261:T261,V261:AB261)=0,"",IF(A261="","Review: missing entry ID",IF(COUNTIF($A$7:$A$506,A261)&gt;1,"Review: duplicate entry ID",IF(NOT(ISNUMBER(B261)),"Review: work date",IF(OR(C261="",E261="",K261="",M261="",H261=""),"Review: source details",IF(J261&lt;&gt;'Estimate review'!$J$5,"Review: project scope",IF(OR(NOT(ISNUMBER(N261)),N261&lt;0,O261&lt;&gt;"Complete"),"Review: duration",IF(S261&lt;&gt;"Coded","Review: coding status",IF(OR(U261="",COUNTIF('Project codes'!$A$7:$A$106,U261)=0),"Review: SOW mapping",IF(COUNTIF('Project codes'!$A$7:$A$106,U261)&gt;1,"Review: duplicate code",IF(_xlfn.XLOOKUP(U261,'Project codes'!$A$7:$A$106,'Project codes'!$F$7:$F$106,"Review",0)="Hold","Review: allocation hold",IF(OR(D261="",COUNTIF('SOW register'!$A$7:$A$36,D261)&lt;&gt;1),"Review: SOW mapping",IF(AND(G261&lt;&gt;"Yes",G261&lt;&gt;"No"),"Review: billability",IF(AB261="","Review: billing evidence","OK"))))))))))))))</x:f>
      </x:c>
      <x:c r="J261" s="24"/>
      <x:c r="K261" s="38"/>
      <x:c r="L261" s="38"/>
      <x:c r="M261" s="38"/>
      <x:c r="N261" s="39"/>
      <x:c r="O261" s="24"/>
      <x:c r="P261" s="24"/>
      <x:c r="Q261" s="38"/>
      <x:c r="R261" s="38"/>
      <x:c r="S261" s="24"/>
      <x:c r="T261" s="24"/>
      <x:c r="U261" s="37" t="str">
        <x:f>IF(OR(J261="",Q261="",R261=""),"",J261&amp;"|"&amp;Q261&amp;"|"&amp;R261)</x:f>
      </x:c>
      <x:c r="V261" s="24"/>
      <x:c r="W261" s="24"/>
      <x:c r="X261" s="40"/>
      <x:c r="Y261" s="40"/>
      <x:c r="Z261" s="39"/>
      <x:c r="AA261" s="39"/>
      <x:c r="AB261" s="24"/>
    </x:row>
    <x:row r="262" ht="23" customHeight="1">
      <x:c r="A262" s="20"/>
      <x:c r="B262" s="5"/>
      <x:c r="C262" s="4"/>
      <x:c r="D262" s="34" t="str">
        <x:f>IF(OR(A262="",U262="",COUNTIF('Project codes'!$A$7:$A$106,U262)&lt;&gt;1),"",_xlfn.XLOOKUP(U262,'Project codes'!$A$7:$A$106,'Project codes'!$I$7:$I$106,"",0))</x:f>
      </x:c>
      <x:c r="E262" s="4"/>
      <x:c r="F262" s="35" t="str">
        <x:f>IF(AND(ISNUMBER(N262),N262&gt;=0,O262="Complete"),N262/3600000,"")</x:f>
      </x:c>
      <x:c r="G262" s="4"/>
      <x:c r="H262" s="4"/>
      <x:c r="I262" s="36" t="str">
        <x:f>IF(COUNTA(A262:C262,E262,G262:H262,J262:T262,V262:AB262)=0,"",IF(A262="","Review: missing entry ID",IF(COUNTIF($A$7:$A$506,A262)&gt;1,"Review: duplicate entry ID",IF(NOT(ISNUMBER(B262)),"Review: work date",IF(OR(C262="",E262="",K262="",M262="",H262=""),"Review: source details",IF(J262&lt;&gt;'Estimate review'!$J$5,"Review: project scope",IF(OR(NOT(ISNUMBER(N262)),N262&lt;0,O262&lt;&gt;"Complete"),"Review: duration",IF(S262&lt;&gt;"Coded","Review: coding status",IF(OR(U262="",COUNTIF('Project codes'!$A$7:$A$106,U262)=0),"Review: SOW mapping",IF(COUNTIF('Project codes'!$A$7:$A$106,U262)&gt;1,"Review: duplicate code",IF(_xlfn.XLOOKUP(U262,'Project codes'!$A$7:$A$106,'Project codes'!$F$7:$F$106,"Review",0)="Hold","Review: allocation hold",IF(OR(D262="",COUNTIF('SOW register'!$A$7:$A$36,D262)&lt;&gt;1),"Review: SOW mapping",IF(AND(G262&lt;&gt;"Yes",G262&lt;&gt;"No"),"Review: billability",IF(AB262="","Review: billing evidence","OK"))))))))))))))</x:f>
      </x:c>
      <x:c r="J262" s="24"/>
      <x:c r="K262" s="38"/>
      <x:c r="L262" s="38"/>
      <x:c r="M262" s="38"/>
      <x:c r="N262" s="39"/>
      <x:c r="O262" s="24"/>
      <x:c r="P262" s="24"/>
      <x:c r="Q262" s="38"/>
      <x:c r="R262" s="38"/>
      <x:c r="S262" s="24"/>
      <x:c r="T262" s="24"/>
      <x:c r="U262" s="37" t="str">
        <x:f>IF(OR(J262="",Q262="",R262=""),"",J262&amp;"|"&amp;Q262&amp;"|"&amp;R262)</x:f>
      </x:c>
      <x:c r="V262" s="24"/>
      <x:c r="W262" s="24"/>
      <x:c r="X262" s="40"/>
      <x:c r="Y262" s="40"/>
      <x:c r="Z262" s="39"/>
      <x:c r="AA262" s="39"/>
      <x:c r="AB262" s="24"/>
    </x:row>
    <x:row r="263" ht="23" customHeight="1">
      <x:c r="A263" s="20"/>
      <x:c r="B263" s="5"/>
      <x:c r="C263" s="4"/>
      <x:c r="D263" s="34" t="str">
        <x:f>IF(OR(A263="",U263="",COUNTIF('Project codes'!$A$7:$A$106,U263)&lt;&gt;1),"",_xlfn.XLOOKUP(U263,'Project codes'!$A$7:$A$106,'Project codes'!$I$7:$I$106,"",0))</x:f>
      </x:c>
      <x:c r="E263" s="4"/>
      <x:c r="F263" s="35" t="str">
        <x:f>IF(AND(ISNUMBER(N263),N263&gt;=0,O263="Complete"),N263/3600000,"")</x:f>
      </x:c>
      <x:c r="G263" s="4"/>
      <x:c r="H263" s="4"/>
      <x:c r="I263" s="36" t="str">
        <x:f>IF(COUNTA(A263:C263,E263,G263:H263,J263:T263,V263:AB263)=0,"",IF(A263="","Review: missing entry ID",IF(COUNTIF($A$7:$A$506,A263)&gt;1,"Review: duplicate entry ID",IF(NOT(ISNUMBER(B263)),"Review: work date",IF(OR(C263="",E263="",K263="",M263="",H263=""),"Review: source details",IF(J263&lt;&gt;'Estimate review'!$J$5,"Review: project scope",IF(OR(NOT(ISNUMBER(N263)),N263&lt;0,O263&lt;&gt;"Complete"),"Review: duration",IF(S263&lt;&gt;"Coded","Review: coding status",IF(OR(U263="",COUNTIF('Project codes'!$A$7:$A$106,U263)=0),"Review: SOW mapping",IF(COUNTIF('Project codes'!$A$7:$A$106,U263)&gt;1,"Review: duplicate code",IF(_xlfn.XLOOKUP(U263,'Project codes'!$A$7:$A$106,'Project codes'!$F$7:$F$106,"Review",0)="Hold","Review: allocation hold",IF(OR(D263="",COUNTIF('SOW register'!$A$7:$A$36,D263)&lt;&gt;1),"Review: SOW mapping",IF(AND(G263&lt;&gt;"Yes",G263&lt;&gt;"No"),"Review: billability",IF(AB263="","Review: billing evidence","OK"))))))))))))))</x:f>
      </x:c>
      <x:c r="J263" s="24"/>
      <x:c r="K263" s="38"/>
      <x:c r="L263" s="38"/>
      <x:c r="M263" s="38"/>
      <x:c r="N263" s="39"/>
      <x:c r="O263" s="24"/>
      <x:c r="P263" s="24"/>
      <x:c r="Q263" s="38"/>
      <x:c r="R263" s="38"/>
      <x:c r="S263" s="24"/>
      <x:c r="T263" s="24"/>
      <x:c r="U263" s="37" t="str">
        <x:f>IF(OR(J263="",Q263="",R263=""),"",J263&amp;"|"&amp;Q263&amp;"|"&amp;R263)</x:f>
      </x:c>
      <x:c r="V263" s="24"/>
      <x:c r="W263" s="24"/>
      <x:c r="X263" s="40"/>
      <x:c r="Y263" s="40"/>
      <x:c r="Z263" s="39"/>
      <x:c r="AA263" s="39"/>
      <x:c r="AB263" s="24"/>
    </x:row>
    <x:row r="264" ht="23" customHeight="1">
      <x:c r="A264" s="20"/>
      <x:c r="B264" s="5"/>
      <x:c r="C264" s="4"/>
      <x:c r="D264" s="34" t="str">
        <x:f>IF(OR(A264="",U264="",COUNTIF('Project codes'!$A$7:$A$106,U264)&lt;&gt;1),"",_xlfn.XLOOKUP(U264,'Project codes'!$A$7:$A$106,'Project codes'!$I$7:$I$106,"",0))</x:f>
      </x:c>
      <x:c r="E264" s="4"/>
      <x:c r="F264" s="35" t="str">
        <x:f>IF(AND(ISNUMBER(N264),N264&gt;=0,O264="Complete"),N264/3600000,"")</x:f>
      </x:c>
      <x:c r="G264" s="4"/>
      <x:c r="H264" s="4"/>
      <x:c r="I264" s="36" t="str">
        <x:f>IF(COUNTA(A264:C264,E264,G264:H264,J264:T264,V264:AB264)=0,"",IF(A264="","Review: missing entry ID",IF(COUNTIF($A$7:$A$506,A264)&gt;1,"Review: duplicate entry ID",IF(NOT(ISNUMBER(B264)),"Review: work date",IF(OR(C264="",E264="",K264="",M264="",H264=""),"Review: source details",IF(J264&lt;&gt;'Estimate review'!$J$5,"Review: project scope",IF(OR(NOT(ISNUMBER(N264)),N264&lt;0,O264&lt;&gt;"Complete"),"Review: duration",IF(S264&lt;&gt;"Coded","Review: coding status",IF(OR(U264="",COUNTIF('Project codes'!$A$7:$A$106,U264)=0),"Review: SOW mapping",IF(COUNTIF('Project codes'!$A$7:$A$106,U264)&gt;1,"Review: duplicate code",IF(_xlfn.XLOOKUP(U264,'Project codes'!$A$7:$A$106,'Project codes'!$F$7:$F$106,"Review",0)="Hold","Review: allocation hold",IF(OR(D264="",COUNTIF('SOW register'!$A$7:$A$36,D264)&lt;&gt;1),"Review: SOW mapping",IF(AND(G264&lt;&gt;"Yes",G264&lt;&gt;"No"),"Review: billability",IF(AB264="","Review: billing evidence","OK"))))))))))))))</x:f>
      </x:c>
      <x:c r="J264" s="24"/>
      <x:c r="K264" s="38"/>
      <x:c r="L264" s="38"/>
      <x:c r="M264" s="38"/>
      <x:c r="N264" s="39"/>
      <x:c r="O264" s="24"/>
      <x:c r="P264" s="24"/>
      <x:c r="Q264" s="38"/>
      <x:c r="R264" s="38"/>
      <x:c r="S264" s="24"/>
      <x:c r="T264" s="24"/>
      <x:c r="U264" s="37" t="str">
        <x:f>IF(OR(J264="",Q264="",R264=""),"",J264&amp;"|"&amp;Q264&amp;"|"&amp;R264)</x:f>
      </x:c>
      <x:c r="V264" s="24"/>
      <x:c r="W264" s="24"/>
      <x:c r="X264" s="40"/>
      <x:c r="Y264" s="40"/>
      <x:c r="Z264" s="39"/>
      <x:c r="AA264" s="39"/>
      <x:c r="AB264" s="24"/>
    </x:row>
    <x:row r="265" ht="23" customHeight="1">
      <x:c r="A265" s="20"/>
      <x:c r="B265" s="5"/>
      <x:c r="C265" s="4"/>
      <x:c r="D265" s="34" t="str">
        <x:f>IF(OR(A265="",U265="",COUNTIF('Project codes'!$A$7:$A$106,U265)&lt;&gt;1),"",_xlfn.XLOOKUP(U265,'Project codes'!$A$7:$A$106,'Project codes'!$I$7:$I$106,"",0))</x:f>
      </x:c>
      <x:c r="E265" s="4"/>
      <x:c r="F265" s="35" t="str">
        <x:f>IF(AND(ISNUMBER(N265),N265&gt;=0,O265="Complete"),N265/3600000,"")</x:f>
      </x:c>
      <x:c r="G265" s="4"/>
      <x:c r="H265" s="4"/>
      <x:c r="I265" s="36" t="str">
        <x:f>IF(COUNTA(A265:C265,E265,G265:H265,J265:T265,V265:AB265)=0,"",IF(A265="","Review: missing entry ID",IF(COUNTIF($A$7:$A$506,A265)&gt;1,"Review: duplicate entry ID",IF(NOT(ISNUMBER(B265)),"Review: work date",IF(OR(C265="",E265="",K265="",M265="",H265=""),"Review: source details",IF(J265&lt;&gt;'Estimate review'!$J$5,"Review: project scope",IF(OR(NOT(ISNUMBER(N265)),N265&lt;0,O265&lt;&gt;"Complete"),"Review: duration",IF(S265&lt;&gt;"Coded","Review: coding status",IF(OR(U265="",COUNTIF('Project codes'!$A$7:$A$106,U265)=0),"Review: SOW mapping",IF(COUNTIF('Project codes'!$A$7:$A$106,U265)&gt;1,"Review: duplicate code",IF(_xlfn.XLOOKUP(U265,'Project codes'!$A$7:$A$106,'Project codes'!$F$7:$F$106,"Review",0)="Hold","Review: allocation hold",IF(OR(D265="",COUNTIF('SOW register'!$A$7:$A$36,D265)&lt;&gt;1),"Review: SOW mapping",IF(AND(G265&lt;&gt;"Yes",G265&lt;&gt;"No"),"Review: billability",IF(AB265="","Review: billing evidence","OK"))))))))))))))</x:f>
      </x:c>
      <x:c r="J265" s="24"/>
      <x:c r="K265" s="38"/>
      <x:c r="L265" s="38"/>
      <x:c r="M265" s="38"/>
      <x:c r="N265" s="39"/>
      <x:c r="O265" s="24"/>
      <x:c r="P265" s="24"/>
      <x:c r="Q265" s="38"/>
      <x:c r="R265" s="38"/>
      <x:c r="S265" s="24"/>
      <x:c r="T265" s="24"/>
      <x:c r="U265" s="37" t="str">
        <x:f>IF(OR(J265="",Q265="",R265=""),"",J265&amp;"|"&amp;Q265&amp;"|"&amp;R265)</x:f>
      </x:c>
      <x:c r="V265" s="24"/>
      <x:c r="W265" s="24"/>
      <x:c r="X265" s="40"/>
      <x:c r="Y265" s="40"/>
      <x:c r="Z265" s="39"/>
      <x:c r="AA265" s="39"/>
      <x:c r="AB265" s="24"/>
    </x:row>
    <x:row r="266" ht="23" customHeight="1">
      <x:c r="A266" s="20"/>
      <x:c r="B266" s="5"/>
      <x:c r="C266" s="4"/>
      <x:c r="D266" s="34" t="str">
        <x:f>IF(OR(A266="",U266="",COUNTIF('Project codes'!$A$7:$A$106,U266)&lt;&gt;1),"",_xlfn.XLOOKUP(U266,'Project codes'!$A$7:$A$106,'Project codes'!$I$7:$I$106,"",0))</x:f>
      </x:c>
      <x:c r="E266" s="4"/>
      <x:c r="F266" s="35" t="str">
        <x:f>IF(AND(ISNUMBER(N266),N266&gt;=0,O266="Complete"),N266/3600000,"")</x:f>
      </x:c>
      <x:c r="G266" s="4"/>
      <x:c r="H266" s="4"/>
      <x:c r="I266" s="36" t="str">
        <x:f>IF(COUNTA(A266:C266,E266,G266:H266,J266:T266,V266:AB266)=0,"",IF(A266="","Review: missing entry ID",IF(COUNTIF($A$7:$A$506,A266)&gt;1,"Review: duplicate entry ID",IF(NOT(ISNUMBER(B266)),"Review: work date",IF(OR(C266="",E266="",K266="",M266="",H266=""),"Review: source details",IF(J266&lt;&gt;'Estimate review'!$J$5,"Review: project scope",IF(OR(NOT(ISNUMBER(N266)),N266&lt;0,O266&lt;&gt;"Complete"),"Review: duration",IF(S266&lt;&gt;"Coded","Review: coding status",IF(OR(U266="",COUNTIF('Project codes'!$A$7:$A$106,U266)=0),"Review: SOW mapping",IF(COUNTIF('Project codes'!$A$7:$A$106,U266)&gt;1,"Review: duplicate code",IF(_xlfn.XLOOKUP(U266,'Project codes'!$A$7:$A$106,'Project codes'!$F$7:$F$106,"Review",0)="Hold","Review: allocation hold",IF(OR(D266="",COUNTIF('SOW register'!$A$7:$A$36,D266)&lt;&gt;1),"Review: SOW mapping",IF(AND(G266&lt;&gt;"Yes",G266&lt;&gt;"No"),"Review: billability",IF(AB266="","Review: billing evidence","OK"))))))))))))))</x:f>
      </x:c>
      <x:c r="J266" s="24"/>
      <x:c r="K266" s="38"/>
      <x:c r="L266" s="38"/>
      <x:c r="M266" s="38"/>
      <x:c r="N266" s="39"/>
      <x:c r="O266" s="24"/>
      <x:c r="P266" s="24"/>
      <x:c r="Q266" s="38"/>
      <x:c r="R266" s="38"/>
      <x:c r="S266" s="24"/>
      <x:c r="T266" s="24"/>
      <x:c r="U266" s="37" t="str">
        <x:f>IF(OR(J266="",Q266="",R266=""),"",J266&amp;"|"&amp;Q266&amp;"|"&amp;R266)</x:f>
      </x:c>
      <x:c r="V266" s="24"/>
      <x:c r="W266" s="24"/>
      <x:c r="X266" s="40"/>
      <x:c r="Y266" s="40"/>
      <x:c r="Z266" s="39"/>
      <x:c r="AA266" s="39"/>
      <x:c r="AB266" s="24"/>
    </x:row>
    <x:row r="267" ht="23" customHeight="1">
      <x:c r="A267" s="20"/>
      <x:c r="B267" s="5"/>
      <x:c r="C267" s="4"/>
      <x:c r="D267" s="34" t="str">
        <x:f>IF(OR(A267="",U267="",COUNTIF('Project codes'!$A$7:$A$106,U267)&lt;&gt;1),"",_xlfn.XLOOKUP(U267,'Project codes'!$A$7:$A$106,'Project codes'!$I$7:$I$106,"",0))</x:f>
      </x:c>
      <x:c r="E267" s="4"/>
      <x:c r="F267" s="35" t="str">
        <x:f>IF(AND(ISNUMBER(N267),N267&gt;=0,O267="Complete"),N267/3600000,"")</x:f>
      </x:c>
      <x:c r="G267" s="4"/>
      <x:c r="H267" s="4"/>
      <x:c r="I267" s="36" t="str">
        <x:f>IF(COUNTA(A267:C267,E267,G267:H267,J267:T267,V267:AB267)=0,"",IF(A267="","Review: missing entry ID",IF(COUNTIF($A$7:$A$506,A267)&gt;1,"Review: duplicate entry ID",IF(NOT(ISNUMBER(B267)),"Review: work date",IF(OR(C267="",E267="",K267="",M267="",H267=""),"Review: source details",IF(J267&lt;&gt;'Estimate review'!$J$5,"Review: project scope",IF(OR(NOT(ISNUMBER(N267)),N267&lt;0,O267&lt;&gt;"Complete"),"Review: duration",IF(S267&lt;&gt;"Coded","Review: coding status",IF(OR(U267="",COUNTIF('Project codes'!$A$7:$A$106,U267)=0),"Review: SOW mapping",IF(COUNTIF('Project codes'!$A$7:$A$106,U267)&gt;1,"Review: duplicate code",IF(_xlfn.XLOOKUP(U267,'Project codes'!$A$7:$A$106,'Project codes'!$F$7:$F$106,"Review",0)="Hold","Review: allocation hold",IF(OR(D267="",COUNTIF('SOW register'!$A$7:$A$36,D267)&lt;&gt;1),"Review: SOW mapping",IF(AND(G267&lt;&gt;"Yes",G267&lt;&gt;"No"),"Review: billability",IF(AB267="","Review: billing evidence","OK"))))))))))))))</x:f>
      </x:c>
      <x:c r="J267" s="24"/>
      <x:c r="K267" s="38"/>
      <x:c r="L267" s="38"/>
      <x:c r="M267" s="38"/>
      <x:c r="N267" s="39"/>
      <x:c r="O267" s="24"/>
      <x:c r="P267" s="24"/>
      <x:c r="Q267" s="38"/>
      <x:c r="R267" s="38"/>
      <x:c r="S267" s="24"/>
      <x:c r="T267" s="24"/>
      <x:c r="U267" s="37" t="str">
        <x:f>IF(OR(J267="",Q267="",R267=""),"",J267&amp;"|"&amp;Q267&amp;"|"&amp;R267)</x:f>
      </x:c>
      <x:c r="V267" s="24"/>
      <x:c r="W267" s="24"/>
      <x:c r="X267" s="40"/>
      <x:c r="Y267" s="40"/>
      <x:c r="Z267" s="39"/>
      <x:c r="AA267" s="39"/>
      <x:c r="AB267" s="24"/>
    </x:row>
    <x:row r="268" ht="23" customHeight="1">
      <x:c r="A268" s="20"/>
      <x:c r="B268" s="5"/>
      <x:c r="C268" s="4"/>
      <x:c r="D268" s="34" t="str">
        <x:f>IF(OR(A268="",U268="",COUNTIF('Project codes'!$A$7:$A$106,U268)&lt;&gt;1),"",_xlfn.XLOOKUP(U268,'Project codes'!$A$7:$A$106,'Project codes'!$I$7:$I$106,"",0))</x:f>
      </x:c>
      <x:c r="E268" s="4"/>
      <x:c r="F268" s="35" t="str">
        <x:f>IF(AND(ISNUMBER(N268),N268&gt;=0,O268="Complete"),N268/3600000,"")</x:f>
      </x:c>
      <x:c r="G268" s="4"/>
      <x:c r="H268" s="4"/>
      <x:c r="I268" s="36" t="str">
        <x:f>IF(COUNTA(A268:C268,E268,G268:H268,J268:T268,V268:AB268)=0,"",IF(A268="","Review: missing entry ID",IF(COUNTIF($A$7:$A$506,A268)&gt;1,"Review: duplicate entry ID",IF(NOT(ISNUMBER(B268)),"Review: work date",IF(OR(C268="",E268="",K268="",M268="",H268=""),"Review: source details",IF(J268&lt;&gt;'Estimate review'!$J$5,"Review: project scope",IF(OR(NOT(ISNUMBER(N268)),N268&lt;0,O268&lt;&gt;"Complete"),"Review: duration",IF(S268&lt;&gt;"Coded","Review: coding status",IF(OR(U268="",COUNTIF('Project codes'!$A$7:$A$106,U268)=0),"Review: SOW mapping",IF(COUNTIF('Project codes'!$A$7:$A$106,U268)&gt;1,"Review: duplicate code",IF(_xlfn.XLOOKUP(U268,'Project codes'!$A$7:$A$106,'Project codes'!$F$7:$F$106,"Review",0)="Hold","Review: allocation hold",IF(OR(D268="",COUNTIF('SOW register'!$A$7:$A$36,D268)&lt;&gt;1),"Review: SOW mapping",IF(AND(G268&lt;&gt;"Yes",G268&lt;&gt;"No"),"Review: billability",IF(AB268="","Review: billing evidence","OK"))))))))))))))</x:f>
      </x:c>
      <x:c r="J268" s="24"/>
      <x:c r="K268" s="38"/>
      <x:c r="L268" s="38"/>
      <x:c r="M268" s="38"/>
      <x:c r="N268" s="39"/>
      <x:c r="O268" s="24"/>
      <x:c r="P268" s="24"/>
      <x:c r="Q268" s="38"/>
      <x:c r="R268" s="38"/>
      <x:c r="S268" s="24"/>
      <x:c r="T268" s="24"/>
      <x:c r="U268" s="37" t="str">
        <x:f>IF(OR(J268="",Q268="",R268=""),"",J268&amp;"|"&amp;Q268&amp;"|"&amp;R268)</x:f>
      </x:c>
      <x:c r="V268" s="24"/>
      <x:c r="W268" s="24"/>
      <x:c r="X268" s="40"/>
      <x:c r="Y268" s="40"/>
      <x:c r="Z268" s="39"/>
      <x:c r="AA268" s="39"/>
      <x:c r="AB268" s="24"/>
    </x:row>
    <x:row r="269" ht="23" customHeight="1">
      <x:c r="A269" s="20"/>
      <x:c r="B269" s="5"/>
      <x:c r="C269" s="4"/>
      <x:c r="D269" s="34" t="str">
        <x:f>IF(OR(A269="",U269="",COUNTIF('Project codes'!$A$7:$A$106,U269)&lt;&gt;1),"",_xlfn.XLOOKUP(U269,'Project codes'!$A$7:$A$106,'Project codes'!$I$7:$I$106,"",0))</x:f>
      </x:c>
      <x:c r="E269" s="4"/>
      <x:c r="F269" s="35" t="str">
        <x:f>IF(AND(ISNUMBER(N269),N269&gt;=0,O269="Complete"),N269/3600000,"")</x:f>
      </x:c>
      <x:c r="G269" s="4"/>
      <x:c r="H269" s="4"/>
      <x:c r="I269" s="36" t="str">
        <x:f>IF(COUNTA(A269:C269,E269,G269:H269,J269:T269,V269:AB269)=0,"",IF(A269="","Review: missing entry ID",IF(COUNTIF($A$7:$A$506,A269)&gt;1,"Review: duplicate entry ID",IF(NOT(ISNUMBER(B269)),"Review: work date",IF(OR(C269="",E269="",K269="",M269="",H269=""),"Review: source details",IF(J269&lt;&gt;'Estimate review'!$J$5,"Review: project scope",IF(OR(NOT(ISNUMBER(N269)),N269&lt;0,O269&lt;&gt;"Complete"),"Review: duration",IF(S269&lt;&gt;"Coded","Review: coding status",IF(OR(U269="",COUNTIF('Project codes'!$A$7:$A$106,U269)=0),"Review: SOW mapping",IF(COUNTIF('Project codes'!$A$7:$A$106,U269)&gt;1,"Review: duplicate code",IF(_xlfn.XLOOKUP(U269,'Project codes'!$A$7:$A$106,'Project codes'!$F$7:$F$106,"Review",0)="Hold","Review: allocation hold",IF(OR(D269="",COUNTIF('SOW register'!$A$7:$A$36,D269)&lt;&gt;1),"Review: SOW mapping",IF(AND(G269&lt;&gt;"Yes",G269&lt;&gt;"No"),"Review: billability",IF(AB269="","Review: billing evidence","OK"))))))))))))))</x:f>
      </x:c>
      <x:c r="J269" s="24"/>
      <x:c r="K269" s="38"/>
      <x:c r="L269" s="38"/>
      <x:c r="M269" s="38"/>
      <x:c r="N269" s="39"/>
      <x:c r="O269" s="24"/>
      <x:c r="P269" s="24"/>
      <x:c r="Q269" s="38"/>
      <x:c r="R269" s="38"/>
      <x:c r="S269" s="24"/>
      <x:c r="T269" s="24"/>
      <x:c r="U269" s="37" t="str">
        <x:f>IF(OR(J269="",Q269="",R269=""),"",J269&amp;"|"&amp;Q269&amp;"|"&amp;R269)</x:f>
      </x:c>
      <x:c r="V269" s="24"/>
      <x:c r="W269" s="24"/>
      <x:c r="X269" s="40"/>
      <x:c r="Y269" s="40"/>
      <x:c r="Z269" s="39"/>
      <x:c r="AA269" s="39"/>
      <x:c r="AB269" s="24"/>
    </x:row>
    <x:row r="270" ht="23" customHeight="1">
      <x:c r="A270" s="20"/>
      <x:c r="B270" s="5"/>
      <x:c r="C270" s="4"/>
      <x:c r="D270" s="34" t="str">
        <x:f>IF(OR(A270="",U270="",COUNTIF('Project codes'!$A$7:$A$106,U270)&lt;&gt;1),"",_xlfn.XLOOKUP(U270,'Project codes'!$A$7:$A$106,'Project codes'!$I$7:$I$106,"",0))</x:f>
      </x:c>
      <x:c r="E270" s="4"/>
      <x:c r="F270" s="35" t="str">
        <x:f>IF(AND(ISNUMBER(N270),N270&gt;=0,O270="Complete"),N270/3600000,"")</x:f>
      </x:c>
      <x:c r="G270" s="4"/>
      <x:c r="H270" s="4"/>
      <x:c r="I270" s="36" t="str">
        <x:f>IF(COUNTA(A270:C270,E270,G270:H270,J270:T270,V270:AB270)=0,"",IF(A270="","Review: missing entry ID",IF(COUNTIF($A$7:$A$506,A270)&gt;1,"Review: duplicate entry ID",IF(NOT(ISNUMBER(B270)),"Review: work date",IF(OR(C270="",E270="",K270="",M270="",H270=""),"Review: source details",IF(J270&lt;&gt;'Estimate review'!$J$5,"Review: project scope",IF(OR(NOT(ISNUMBER(N270)),N270&lt;0,O270&lt;&gt;"Complete"),"Review: duration",IF(S270&lt;&gt;"Coded","Review: coding status",IF(OR(U270="",COUNTIF('Project codes'!$A$7:$A$106,U270)=0),"Review: SOW mapping",IF(COUNTIF('Project codes'!$A$7:$A$106,U270)&gt;1,"Review: duplicate code",IF(_xlfn.XLOOKUP(U270,'Project codes'!$A$7:$A$106,'Project codes'!$F$7:$F$106,"Review",0)="Hold","Review: allocation hold",IF(OR(D270="",COUNTIF('SOW register'!$A$7:$A$36,D270)&lt;&gt;1),"Review: SOW mapping",IF(AND(G270&lt;&gt;"Yes",G270&lt;&gt;"No"),"Review: billability",IF(AB270="","Review: billing evidence","OK"))))))))))))))</x:f>
      </x:c>
      <x:c r="J270" s="24"/>
      <x:c r="K270" s="38"/>
      <x:c r="L270" s="38"/>
      <x:c r="M270" s="38"/>
      <x:c r="N270" s="39"/>
      <x:c r="O270" s="24"/>
      <x:c r="P270" s="24"/>
      <x:c r="Q270" s="38"/>
      <x:c r="R270" s="38"/>
      <x:c r="S270" s="24"/>
      <x:c r="T270" s="24"/>
      <x:c r="U270" s="37" t="str">
        <x:f>IF(OR(J270="",Q270="",R270=""),"",J270&amp;"|"&amp;Q270&amp;"|"&amp;R270)</x:f>
      </x:c>
      <x:c r="V270" s="24"/>
      <x:c r="W270" s="24"/>
      <x:c r="X270" s="40"/>
      <x:c r="Y270" s="40"/>
      <x:c r="Z270" s="39"/>
      <x:c r="AA270" s="39"/>
      <x:c r="AB270" s="24"/>
    </x:row>
    <x:row r="271" ht="23" customHeight="1">
      <x:c r="A271" s="20"/>
      <x:c r="B271" s="5"/>
      <x:c r="C271" s="4"/>
      <x:c r="D271" s="34" t="str">
        <x:f>IF(OR(A271="",U271="",COUNTIF('Project codes'!$A$7:$A$106,U271)&lt;&gt;1),"",_xlfn.XLOOKUP(U271,'Project codes'!$A$7:$A$106,'Project codes'!$I$7:$I$106,"",0))</x:f>
      </x:c>
      <x:c r="E271" s="4"/>
      <x:c r="F271" s="35" t="str">
        <x:f>IF(AND(ISNUMBER(N271),N271&gt;=0,O271="Complete"),N271/3600000,"")</x:f>
      </x:c>
      <x:c r="G271" s="4"/>
      <x:c r="H271" s="4"/>
      <x:c r="I271" s="36" t="str">
        <x:f>IF(COUNTA(A271:C271,E271,G271:H271,J271:T271,V271:AB271)=0,"",IF(A271="","Review: missing entry ID",IF(COUNTIF($A$7:$A$506,A271)&gt;1,"Review: duplicate entry ID",IF(NOT(ISNUMBER(B271)),"Review: work date",IF(OR(C271="",E271="",K271="",M271="",H271=""),"Review: source details",IF(J271&lt;&gt;'Estimate review'!$J$5,"Review: project scope",IF(OR(NOT(ISNUMBER(N271)),N271&lt;0,O271&lt;&gt;"Complete"),"Review: duration",IF(S271&lt;&gt;"Coded","Review: coding status",IF(OR(U271="",COUNTIF('Project codes'!$A$7:$A$106,U271)=0),"Review: SOW mapping",IF(COUNTIF('Project codes'!$A$7:$A$106,U271)&gt;1,"Review: duplicate code",IF(_xlfn.XLOOKUP(U271,'Project codes'!$A$7:$A$106,'Project codes'!$F$7:$F$106,"Review",0)="Hold","Review: allocation hold",IF(OR(D271="",COUNTIF('SOW register'!$A$7:$A$36,D271)&lt;&gt;1),"Review: SOW mapping",IF(AND(G271&lt;&gt;"Yes",G271&lt;&gt;"No"),"Review: billability",IF(AB271="","Review: billing evidence","OK"))))))))))))))</x:f>
      </x:c>
      <x:c r="J271" s="24"/>
      <x:c r="K271" s="38"/>
      <x:c r="L271" s="38"/>
      <x:c r="M271" s="38"/>
      <x:c r="N271" s="39"/>
      <x:c r="O271" s="24"/>
      <x:c r="P271" s="24"/>
      <x:c r="Q271" s="38"/>
      <x:c r="R271" s="38"/>
      <x:c r="S271" s="24"/>
      <x:c r="T271" s="24"/>
      <x:c r="U271" s="37" t="str">
        <x:f>IF(OR(J271="",Q271="",R271=""),"",J271&amp;"|"&amp;Q271&amp;"|"&amp;R271)</x:f>
      </x:c>
      <x:c r="V271" s="24"/>
      <x:c r="W271" s="24"/>
      <x:c r="X271" s="40"/>
      <x:c r="Y271" s="40"/>
      <x:c r="Z271" s="39"/>
      <x:c r="AA271" s="39"/>
      <x:c r="AB271" s="24"/>
    </x:row>
    <x:row r="272" ht="23" customHeight="1">
      <x:c r="A272" s="20"/>
      <x:c r="B272" s="5"/>
      <x:c r="C272" s="4"/>
      <x:c r="D272" s="34" t="str">
        <x:f>IF(OR(A272="",U272="",COUNTIF('Project codes'!$A$7:$A$106,U272)&lt;&gt;1),"",_xlfn.XLOOKUP(U272,'Project codes'!$A$7:$A$106,'Project codes'!$I$7:$I$106,"",0))</x:f>
      </x:c>
      <x:c r="E272" s="4"/>
      <x:c r="F272" s="35" t="str">
        <x:f>IF(AND(ISNUMBER(N272),N272&gt;=0,O272="Complete"),N272/3600000,"")</x:f>
      </x:c>
      <x:c r="G272" s="4"/>
      <x:c r="H272" s="4"/>
      <x:c r="I272" s="36" t="str">
        <x:f>IF(COUNTA(A272:C272,E272,G272:H272,J272:T272,V272:AB272)=0,"",IF(A272="","Review: missing entry ID",IF(COUNTIF($A$7:$A$506,A272)&gt;1,"Review: duplicate entry ID",IF(NOT(ISNUMBER(B272)),"Review: work date",IF(OR(C272="",E272="",K272="",M272="",H272=""),"Review: source details",IF(J272&lt;&gt;'Estimate review'!$J$5,"Review: project scope",IF(OR(NOT(ISNUMBER(N272)),N272&lt;0,O272&lt;&gt;"Complete"),"Review: duration",IF(S272&lt;&gt;"Coded","Review: coding status",IF(OR(U272="",COUNTIF('Project codes'!$A$7:$A$106,U272)=0),"Review: SOW mapping",IF(COUNTIF('Project codes'!$A$7:$A$106,U272)&gt;1,"Review: duplicate code",IF(_xlfn.XLOOKUP(U272,'Project codes'!$A$7:$A$106,'Project codes'!$F$7:$F$106,"Review",0)="Hold","Review: allocation hold",IF(OR(D272="",COUNTIF('SOW register'!$A$7:$A$36,D272)&lt;&gt;1),"Review: SOW mapping",IF(AND(G272&lt;&gt;"Yes",G272&lt;&gt;"No"),"Review: billability",IF(AB272="","Review: billing evidence","OK"))))))))))))))</x:f>
      </x:c>
      <x:c r="J272" s="24"/>
      <x:c r="K272" s="38"/>
      <x:c r="L272" s="38"/>
      <x:c r="M272" s="38"/>
      <x:c r="N272" s="39"/>
      <x:c r="O272" s="24"/>
      <x:c r="P272" s="24"/>
      <x:c r="Q272" s="38"/>
      <x:c r="R272" s="38"/>
      <x:c r="S272" s="24"/>
      <x:c r="T272" s="24"/>
      <x:c r="U272" s="37" t="str">
        <x:f>IF(OR(J272="",Q272="",R272=""),"",J272&amp;"|"&amp;Q272&amp;"|"&amp;R272)</x:f>
      </x:c>
      <x:c r="V272" s="24"/>
      <x:c r="W272" s="24"/>
      <x:c r="X272" s="40"/>
      <x:c r="Y272" s="40"/>
      <x:c r="Z272" s="39"/>
      <x:c r="AA272" s="39"/>
      <x:c r="AB272" s="24"/>
    </x:row>
    <x:row r="273" ht="23" customHeight="1">
      <x:c r="A273" s="20"/>
      <x:c r="B273" s="5"/>
      <x:c r="C273" s="4"/>
      <x:c r="D273" s="34" t="str">
        <x:f>IF(OR(A273="",U273="",COUNTIF('Project codes'!$A$7:$A$106,U273)&lt;&gt;1),"",_xlfn.XLOOKUP(U273,'Project codes'!$A$7:$A$106,'Project codes'!$I$7:$I$106,"",0))</x:f>
      </x:c>
      <x:c r="E273" s="4"/>
      <x:c r="F273" s="35" t="str">
        <x:f>IF(AND(ISNUMBER(N273),N273&gt;=0,O273="Complete"),N273/3600000,"")</x:f>
      </x:c>
      <x:c r="G273" s="4"/>
      <x:c r="H273" s="4"/>
      <x:c r="I273" s="36" t="str">
        <x:f>IF(COUNTA(A273:C273,E273,G273:H273,J273:T273,V273:AB273)=0,"",IF(A273="","Review: missing entry ID",IF(COUNTIF($A$7:$A$506,A273)&gt;1,"Review: duplicate entry ID",IF(NOT(ISNUMBER(B273)),"Review: work date",IF(OR(C273="",E273="",K273="",M273="",H273=""),"Review: source details",IF(J273&lt;&gt;'Estimate review'!$J$5,"Review: project scope",IF(OR(NOT(ISNUMBER(N273)),N273&lt;0,O273&lt;&gt;"Complete"),"Review: duration",IF(S273&lt;&gt;"Coded","Review: coding status",IF(OR(U273="",COUNTIF('Project codes'!$A$7:$A$106,U273)=0),"Review: SOW mapping",IF(COUNTIF('Project codes'!$A$7:$A$106,U273)&gt;1,"Review: duplicate code",IF(_xlfn.XLOOKUP(U273,'Project codes'!$A$7:$A$106,'Project codes'!$F$7:$F$106,"Review",0)="Hold","Review: allocation hold",IF(OR(D273="",COUNTIF('SOW register'!$A$7:$A$36,D273)&lt;&gt;1),"Review: SOW mapping",IF(AND(G273&lt;&gt;"Yes",G273&lt;&gt;"No"),"Review: billability",IF(AB273="","Review: billing evidence","OK"))))))))))))))</x:f>
      </x:c>
      <x:c r="J273" s="24"/>
      <x:c r="K273" s="38"/>
      <x:c r="L273" s="38"/>
      <x:c r="M273" s="38"/>
      <x:c r="N273" s="39"/>
      <x:c r="O273" s="24"/>
      <x:c r="P273" s="24"/>
      <x:c r="Q273" s="38"/>
      <x:c r="R273" s="38"/>
      <x:c r="S273" s="24"/>
      <x:c r="T273" s="24"/>
      <x:c r="U273" s="37" t="str">
        <x:f>IF(OR(J273="",Q273="",R273=""),"",J273&amp;"|"&amp;Q273&amp;"|"&amp;R273)</x:f>
      </x:c>
      <x:c r="V273" s="24"/>
      <x:c r="W273" s="24"/>
      <x:c r="X273" s="40"/>
      <x:c r="Y273" s="40"/>
      <x:c r="Z273" s="39"/>
      <x:c r="AA273" s="39"/>
      <x:c r="AB273" s="24"/>
    </x:row>
    <x:row r="274" ht="23" customHeight="1">
      <x:c r="A274" s="20"/>
      <x:c r="B274" s="5"/>
      <x:c r="C274" s="4"/>
      <x:c r="D274" s="34" t="str">
        <x:f>IF(OR(A274="",U274="",COUNTIF('Project codes'!$A$7:$A$106,U274)&lt;&gt;1),"",_xlfn.XLOOKUP(U274,'Project codes'!$A$7:$A$106,'Project codes'!$I$7:$I$106,"",0))</x:f>
      </x:c>
      <x:c r="E274" s="4"/>
      <x:c r="F274" s="35" t="str">
        <x:f>IF(AND(ISNUMBER(N274),N274&gt;=0,O274="Complete"),N274/3600000,"")</x:f>
      </x:c>
      <x:c r="G274" s="4"/>
      <x:c r="H274" s="4"/>
      <x:c r="I274" s="36" t="str">
        <x:f>IF(COUNTA(A274:C274,E274,G274:H274,J274:T274,V274:AB274)=0,"",IF(A274="","Review: missing entry ID",IF(COUNTIF($A$7:$A$506,A274)&gt;1,"Review: duplicate entry ID",IF(NOT(ISNUMBER(B274)),"Review: work date",IF(OR(C274="",E274="",K274="",M274="",H274=""),"Review: source details",IF(J274&lt;&gt;'Estimate review'!$J$5,"Review: project scope",IF(OR(NOT(ISNUMBER(N274)),N274&lt;0,O274&lt;&gt;"Complete"),"Review: duration",IF(S274&lt;&gt;"Coded","Review: coding status",IF(OR(U274="",COUNTIF('Project codes'!$A$7:$A$106,U274)=0),"Review: SOW mapping",IF(COUNTIF('Project codes'!$A$7:$A$106,U274)&gt;1,"Review: duplicate code",IF(_xlfn.XLOOKUP(U274,'Project codes'!$A$7:$A$106,'Project codes'!$F$7:$F$106,"Review",0)="Hold","Review: allocation hold",IF(OR(D274="",COUNTIF('SOW register'!$A$7:$A$36,D274)&lt;&gt;1),"Review: SOW mapping",IF(AND(G274&lt;&gt;"Yes",G274&lt;&gt;"No"),"Review: billability",IF(AB274="","Review: billing evidence","OK"))))))))))))))</x:f>
      </x:c>
      <x:c r="J274" s="24"/>
      <x:c r="K274" s="38"/>
      <x:c r="L274" s="38"/>
      <x:c r="M274" s="38"/>
      <x:c r="N274" s="39"/>
      <x:c r="O274" s="24"/>
      <x:c r="P274" s="24"/>
      <x:c r="Q274" s="38"/>
      <x:c r="R274" s="38"/>
      <x:c r="S274" s="24"/>
      <x:c r="T274" s="24"/>
      <x:c r="U274" s="37" t="str">
        <x:f>IF(OR(J274="",Q274="",R274=""),"",J274&amp;"|"&amp;Q274&amp;"|"&amp;R274)</x:f>
      </x:c>
      <x:c r="V274" s="24"/>
      <x:c r="W274" s="24"/>
      <x:c r="X274" s="40"/>
      <x:c r="Y274" s="40"/>
      <x:c r="Z274" s="39"/>
      <x:c r="AA274" s="39"/>
      <x:c r="AB274" s="24"/>
    </x:row>
    <x:row r="275" ht="23" customHeight="1">
      <x:c r="A275" s="20"/>
      <x:c r="B275" s="5"/>
      <x:c r="C275" s="4"/>
      <x:c r="D275" s="34" t="str">
        <x:f>IF(OR(A275="",U275="",COUNTIF('Project codes'!$A$7:$A$106,U275)&lt;&gt;1),"",_xlfn.XLOOKUP(U275,'Project codes'!$A$7:$A$106,'Project codes'!$I$7:$I$106,"",0))</x:f>
      </x:c>
      <x:c r="E275" s="4"/>
      <x:c r="F275" s="35" t="str">
        <x:f>IF(AND(ISNUMBER(N275),N275&gt;=0,O275="Complete"),N275/3600000,"")</x:f>
      </x:c>
      <x:c r="G275" s="4"/>
      <x:c r="H275" s="4"/>
      <x:c r="I275" s="36" t="str">
        <x:f>IF(COUNTA(A275:C275,E275,G275:H275,J275:T275,V275:AB275)=0,"",IF(A275="","Review: missing entry ID",IF(COUNTIF($A$7:$A$506,A275)&gt;1,"Review: duplicate entry ID",IF(NOT(ISNUMBER(B275)),"Review: work date",IF(OR(C275="",E275="",K275="",M275="",H275=""),"Review: source details",IF(J275&lt;&gt;'Estimate review'!$J$5,"Review: project scope",IF(OR(NOT(ISNUMBER(N275)),N275&lt;0,O275&lt;&gt;"Complete"),"Review: duration",IF(S275&lt;&gt;"Coded","Review: coding status",IF(OR(U275="",COUNTIF('Project codes'!$A$7:$A$106,U275)=0),"Review: SOW mapping",IF(COUNTIF('Project codes'!$A$7:$A$106,U275)&gt;1,"Review: duplicate code",IF(_xlfn.XLOOKUP(U275,'Project codes'!$A$7:$A$106,'Project codes'!$F$7:$F$106,"Review",0)="Hold","Review: allocation hold",IF(OR(D275="",COUNTIF('SOW register'!$A$7:$A$36,D275)&lt;&gt;1),"Review: SOW mapping",IF(AND(G275&lt;&gt;"Yes",G275&lt;&gt;"No"),"Review: billability",IF(AB275="","Review: billing evidence","OK"))))))))))))))</x:f>
      </x:c>
      <x:c r="J275" s="24"/>
      <x:c r="K275" s="38"/>
      <x:c r="L275" s="38"/>
      <x:c r="M275" s="38"/>
      <x:c r="N275" s="39"/>
      <x:c r="O275" s="24"/>
      <x:c r="P275" s="24"/>
      <x:c r="Q275" s="38"/>
      <x:c r="R275" s="38"/>
      <x:c r="S275" s="24"/>
      <x:c r="T275" s="24"/>
      <x:c r="U275" s="37" t="str">
        <x:f>IF(OR(J275="",Q275="",R275=""),"",J275&amp;"|"&amp;Q275&amp;"|"&amp;R275)</x:f>
      </x:c>
      <x:c r="V275" s="24"/>
      <x:c r="W275" s="24"/>
      <x:c r="X275" s="40"/>
      <x:c r="Y275" s="40"/>
      <x:c r="Z275" s="39"/>
      <x:c r="AA275" s="39"/>
      <x:c r="AB275" s="24"/>
    </x:row>
    <x:row r="276" ht="23" customHeight="1">
      <x:c r="A276" s="20"/>
      <x:c r="B276" s="5"/>
      <x:c r="C276" s="4"/>
      <x:c r="D276" s="34" t="str">
        <x:f>IF(OR(A276="",U276="",COUNTIF('Project codes'!$A$7:$A$106,U276)&lt;&gt;1),"",_xlfn.XLOOKUP(U276,'Project codes'!$A$7:$A$106,'Project codes'!$I$7:$I$106,"",0))</x:f>
      </x:c>
      <x:c r="E276" s="4"/>
      <x:c r="F276" s="35" t="str">
        <x:f>IF(AND(ISNUMBER(N276),N276&gt;=0,O276="Complete"),N276/3600000,"")</x:f>
      </x:c>
      <x:c r="G276" s="4"/>
      <x:c r="H276" s="4"/>
      <x:c r="I276" s="36" t="str">
        <x:f>IF(COUNTA(A276:C276,E276,G276:H276,J276:T276,V276:AB276)=0,"",IF(A276="","Review: missing entry ID",IF(COUNTIF($A$7:$A$506,A276)&gt;1,"Review: duplicate entry ID",IF(NOT(ISNUMBER(B276)),"Review: work date",IF(OR(C276="",E276="",K276="",M276="",H276=""),"Review: source details",IF(J276&lt;&gt;'Estimate review'!$J$5,"Review: project scope",IF(OR(NOT(ISNUMBER(N276)),N276&lt;0,O276&lt;&gt;"Complete"),"Review: duration",IF(S276&lt;&gt;"Coded","Review: coding status",IF(OR(U276="",COUNTIF('Project codes'!$A$7:$A$106,U276)=0),"Review: SOW mapping",IF(COUNTIF('Project codes'!$A$7:$A$106,U276)&gt;1,"Review: duplicate code",IF(_xlfn.XLOOKUP(U276,'Project codes'!$A$7:$A$106,'Project codes'!$F$7:$F$106,"Review",0)="Hold","Review: allocation hold",IF(OR(D276="",COUNTIF('SOW register'!$A$7:$A$36,D276)&lt;&gt;1),"Review: SOW mapping",IF(AND(G276&lt;&gt;"Yes",G276&lt;&gt;"No"),"Review: billability",IF(AB276="","Review: billing evidence","OK"))))))))))))))</x:f>
      </x:c>
      <x:c r="J276" s="24"/>
      <x:c r="K276" s="38"/>
      <x:c r="L276" s="38"/>
      <x:c r="M276" s="38"/>
      <x:c r="N276" s="39"/>
      <x:c r="O276" s="24"/>
      <x:c r="P276" s="24"/>
      <x:c r="Q276" s="38"/>
      <x:c r="R276" s="38"/>
      <x:c r="S276" s="24"/>
      <x:c r="T276" s="24"/>
      <x:c r="U276" s="37" t="str">
        <x:f>IF(OR(J276="",Q276="",R276=""),"",J276&amp;"|"&amp;Q276&amp;"|"&amp;R276)</x:f>
      </x:c>
      <x:c r="V276" s="24"/>
      <x:c r="W276" s="24"/>
      <x:c r="X276" s="40"/>
      <x:c r="Y276" s="40"/>
      <x:c r="Z276" s="39"/>
      <x:c r="AA276" s="39"/>
      <x:c r="AB276" s="24"/>
    </x:row>
    <x:row r="277" ht="23" customHeight="1">
      <x:c r="A277" s="20"/>
      <x:c r="B277" s="5"/>
      <x:c r="C277" s="4"/>
      <x:c r="D277" s="34" t="str">
        <x:f>IF(OR(A277="",U277="",COUNTIF('Project codes'!$A$7:$A$106,U277)&lt;&gt;1),"",_xlfn.XLOOKUP(U277,'Project codes'!$A$7:$A$106,'Project codes'!$I$7:$I$106,"",0))</x:f>
      </x:c>
      <x:c r="E277" s="4"/>
      <x:c r="F277" s="35" t="str">
        <x:f>IF(AND(ISNUMBER(N277),N277&gt;=0,O277="Complete"),N277/3600000,"")</x:f>
      </x:c>
      <x:c r="G277" s="4"/>
      <x:c r="H277" s="4"/>
      <x:c r="I277" s="36" t="str">
        <x:f>IF(COUNTA(A277:C277,E277,G277:H277,J277:T277,V277:AB277)=0,"",IF(A277="","Review: missing entry ID",IF(COUNTIF($A$7:$A$506,A277)&gt;1,"Review: duplicate entry ID",IF(NOT(ISNUMBER(B277)),"Review: work date",IF(OR(C277="",E277="",K277="",M277="",H277=""),"Review: source details",IF(J277&lt;&gt;'Estimate review'!$J$5,"Review: project scope",IF(OR(NOT(ISNUMBER(N277)),N277&lt;0,O277&lt;&gt;"Complete"),"Review: duration",IF(S277&lt;&gt;"Coded","Review: coding status",IF(OR(U277="",COUNTIF('Project codes'!$A$7:$A$106,U277)=0),"Review: SOW mapping",IF(COUNTIF('Project codes'!$A$7:$A$106,U277)&gt;1,"Review: duplicate code",IF(_xlfn.XLOOKUP(U277,'Project codes'!$A$7:$A$106,'Project codes'!$F$7:$F$106,"Review",0)="Hold","Review: allocation hold",IF(OR(D277="",COUNTIF('SOW register'!$A$7:$A$36,D277)&lt;&gt;1),"Review: SOW mapping",IF(AND(G277&lt;&gt;"Yes",G277&lt;&gt;"No"),"Review: billability",IF(AB277="","Review: billing evidence","OK"))))))))))))))</x:f>
      </x:c>
      <x:c r="J277" s="24"/>
      <x:c r="K277" s="38"/>
      <x:c r="L277" s="38"/>
      <x:c r="M277" s="38"/>
      <x:c r="N277" s="39"/>
      <x:c r="O277" s="24"/>
      <x:c r="P277" s="24"/>
      <x:c r="Q277" s="38"/>
      <x:c r="R277" s="38"/>
      <x:c r="S277" s="24"/>
      <x:c r="T277" s="24"/>
      <x:c r="U277" s="37" t="str">
        <x:f>IF(OR(J277="",Q277="",R277=""),"",J277&amp;"|"&amp;Q277&amp;"|"&amp;R277)</x:f>
      </x:c>
      <x:c r="V277" s="24"/>
      <x:c r="W277" s="24"/>
      <x:c r="X277" s="40"/>
      <x:c r="Y277" s="40"/>
      <x:c r="Z277" s="39"/>
      <x:c r="AA277" s="39"/>
      <x:c r="AB277" s="24"/>
    </x:row>
    <x:row r="278" ht="23" customHeight="1">
      <x:c r="A278" s="20"/>
      <x:c r="B278" s="5"/>
      <x:c r="C278" s="4"/>
      <x:c r="D278" s="34" t="str">
        <x:f>IF(OR(A278="",U278="",COUNTIF('Project codes'!$A$7:$A$106,U278)&lt;&gt;1),"",_xlfn.XLOOKUP(U278,'Project codes'!$A$7:$A$106,'Project codes'!$I$7:$I$106,"",0))</x:f>
      </x:c>
      <x:c r="E278" s="4"/>
      <x:c r="F278" s="35" t="str">
        <x:f>IF(AND(ISNUMBER(N278),N278&gt;=0,O278="Complete"),N278/3600000,"")</x:f>
      </x:c>
      <x:c r="G278" s="4"/>
      <x:c r="H278" s="4"/>
      <x:c r="I278" s="36" t="str">
        <x:f>IF(COUNTA(A278:C278,E278,G278:H278,J278:T278,V278:AB278)=0,"",IF(A278="","Review: missing entry ID",IF(COUNTIF($A$7:$A$506,A278)&gt;1,"Review: duplicate entry ID",IF(NOT(ISNUMBER(B278)),"Review: work date",IF(OR(C278="",E278="",K278="",M278="",H278=""),"Review: source details",IF(J278&lt;&gt;'Estimate review'!$J$5,"Review: project scope",IF(OR(NOT(ISNUMBER(N278)),N278&lt;0,O278&lt;&gt;"Complete"),"Review: duration",IF(S278&lt;&gt;"Coded","Review: coding status",IF(OR(U278="",COUNTIF('Project codes'!$A$7:$A$106,U278)=0),"Review: SOW mapping",IF(COUNTIF('Project codes'!$A$7:$A$106,U278)&gt;1,"Review: duplicate code",IF(_xlfn.XLOOKUP(U278,'Project codes'!$A$7:$A$106,'Project codes'!$F$7:$F$106,"Review",0)="Hold","Review: allocation hold",IF(OR(D278="",COUNTIF('SOW register'!$A$7:$A$36,D278)&lt;&gt;1),"Review: SOW mapping",IF(AND(G278&lt;&gt;"Yes",G278&lt;&gt;"No"),"Review: billability",IF(AB278="","Review: billing evidence","OK"))))))))))))))</x:f>
      </x:c>
      <x:c r="J278" s="24"/>
      <x:c r="K278" s="38"/>
      <x:c r="L278" s="38"/>
      <x:c r="M278" s="38"/>
      <x:c r="N278" s="39"/>
      <x:c r="O278" s="24"/>
      <x:c r="P278" s="24"/>
      <x:c r="Q278" s="38"/>
      <x:c r="R278" s="38"/>
      <x:c r="S278" s="24"/>
      <x:c r="T278" s="24"/>
      <x:c r="U278" s="37" t="str">
        <x:f>IF(OR(J278="",Q278="",R278=""),"",J278&amp;"|"&amp;Q278&amp;"|"&amp;R278)</x:f>
      </x:c>
      <x:c r="V278" s="24"/>
      <x:c r="W278" s="24"/>
      <x:c r="X278" s="40"/>
      <x:c r="Y278" s="40"/>
      <x:c r="Z278" s="39"/>
      <x:c r="AA278" s="39"/>
      <x:c r="AB278" s="24"/>
    </x:row>
    <x:row r="279" ht="23" customHeight="1">
      <x:c r="A279" s="20"/>
      <x:c r="B279" s="5"/>
      <x:c r="C279" s="4"/>
      <x:c r="D279" s="34" t="str">
        <x:f>IF(OR(A279="",U279="",COUNTIF('Project codes'!$A$7:$A$106,U279)&lt;&gt;1),"",_xlfn.XLOOKUP(U279,'Project codes'!$A$7:$A$106,'Project codes'!$I$7:$I$106,"",0))</x:f>
      </x:c>
      <x:c r="E279" s="4"/>
      <x:c r="F279" s="35" t="str">
        <x:f>IF(AND(ISNUMBER(N279),N279&gt;=0,O279="Complete"),N279/3600000,"")</x:f>
      </x:c>
      <x:c r="G279" s="4"/>
      <x:c r="H279" s="4"/>
      <x:c r="I279" s="36" t="str">
        <x:f>IF(COUNTA(A279:C279,E279,G279:H279,J279:T279,V279:AB279)=0,"",IF(A279="","Review: missing entry ID",IF(COUNTIF($A$7:$A$506,A279)&gt;1,"Review: duplicate entry ID",IF(NOT(ISNUMBER(B279)),"Review: work date",IF(OR(C279="",E279="",K279="",M279="",H279=""),"Review: source details",IF(J279&lt;&gt;'Estimate review'!$J$5,"Review: project scope",IF(OR(NOT(ISNUMBER(N279)),N279&lt;0,O279&lt;&gt;"Complete"),"Review: duration",IF(S279&lt;&gt;"Coded","Review: coding status",IF(OR(U279="",COUNTIF('Project codes'!$A$7:$A$106,U279)=0),"Review: SOW mapping",IF(COUNTIF('Project codes'!$A$7:$A$106,U279)&gt;1,"Review: duplicate code",IF(_xlfn.XLOOKUP(U279,'Project codes'!$A$7:$A$106,'Project codes'!$F$7:$F$106,"Review",0)="Hold","Review: allocation hold",IF(OR(D279="",COUNTIF('SOW register'!$A$7:$A$36,D279)&lt;&gt;1),"Review: SOW mapping",IF(AND(G279&lt;&gt;"Yes",G279&lt;&gt;"No"),"Review: billability",IF(AB279="","Review: billing evidence","OK"))))))))))))))</x:f>
      </x:c>
      <x:c r="J279" s="24"/>
      <x:c r="K279" s="38"/>
      <x:c r="L279" s="38"/>
      <x:c r="M279" s="38"/>
      <x:c r="N279" s="39"/>
      <x:c r="O279" s="24"/>
      <x:c r="P279" s="24"/>
      <x:c r="Q279" s="38"/>
      <x:c r="R279" s="38"/>
      <x:c r="S279" s="24"/>
      <x:c r="T279" s="24"/>
      <x:c r="U279" s="37" t="str">
        <x:f>IF(OR(J279="",Q279="",R279=""),"",J279&amp;"|"&amp;Q279&amp;"|"&amp;R279)</x:f>
      </x:c>
      <x:c r="V279" s="24"/>
      <x:c r="W279" s="24"/>
      <x:c r="X279" s="40"/>
      <x:c r="Y279" s="40"/>
      <x:c r="Z279" s="39"/>
      <x:c r="AA279" s="39"/>
      <x:c r="AB279" s="24"/>
    </x:row>
    <x:row r="280" ht="23" customHeight="1">
      <x:c r="A280" s="20"/>
      <x:c r="B280" s="5"/>
      <x:c r="C280" s="4"/>
      <x:c r="D280" s="34" t="str">
        <x:f>IF(OR(A280="",U280="",COUNTIF('Project codes'!$A$7:$A$106,U280)&lt;&gt;1),"",_xlfn.XLOOKUP(U280,'Project codes'!$A$7:$A$106,'Project codes'!$I$7:$I$106,"",0))</x:f>
      </x:c>
      <x:c r="E280" s="4"/>
      <x:c r="F280" s="35" t="str">
        <x:f>IF(AND(ISNUMBER(N280),N280&gt;=0,O280="Complete"),N280/3600000,"")</x:f>
      </x:c>
      <x:c r="G280" s="4"/>
      <x:c r="H280" s="4"/>
      <x:c r="I280" s="36" t="str">
        <x:f>IF(COUNTA(A280:C280,E280,G280:H280,J280:T280,V280:AB280)=0,"",IF(A280="","Review: missing entry ID",IF(COUNTIF($A$7:$A$506,A280)&gt;1,"Review: duplicate entry ID",IF(NOT(ISNUMBER(B280)),"Review: work date",IF(OR(C280="",E280="",K280="",M280="",H280=""),"Review: source details",IF(J280&lt;&gt;'Estimate review'!$J$5,"Review: project scope",IF(OR(NOT(ISNUMBER(N280)),N280&lt;0,O280&lt;&gt;"Complete"),"Review: duration",IF(S280&lt;&gt;"Coded","Review: coding status",IF(OR(U280="",COUNTIF('Project codes'!$A$7:$A$106,U280)=0),"Review: SOW mapping",IF(COUNTIF('Project codes'!$A$7:$A$106,U280)&gt;1,"Review: duplicate code",IF(_xlfn.XLOOKUP(U280,'Project codes'!$A$7:$A$106,'Project codes'!$F$7:$F$106,"Review",0)="Hold","Review: allocation hold",IF(OR(D280="",COUNTIF('SOW register'!$A$7:$A$36,D280)&lt;&gt;1),"Review: SOW mapping",IF(AND(G280&lt;&gt;"Yes",G280&lt;&gt;"No"),"Review: billability",IF(AB280="","Review: billing evidence","OK"))))))))))))))</x:f>
      </x:c>
      <x:c r="J280" s="24"/>
      <x:c r="K280" s="38"/>
      <x:c r="L280" s="38"/>
      <x:c r="M280" s="38"/>
      <x:c r="N280" s="39"/>
      <x:c r="O280" s="24"/>
      <x:c r="P280" s="24"/>
      <x:c r="Q280" s="38"/>
      <x:c r="R280" s="38"/>
      <x:c r="S280" s="24"/>
      <x:c r="T280" s="24"/>
      <x:c r="U280" s="37" t="str">
        <x:f>IF(OR(J280="",Q280="",R280=""),"",J280&amp;"|"&amp;Q280&amp;"|"&amp;R280)</x:f>
      </x:c>
      <x:c r="V280" s="24"/>
      <x:c r="W280" s="24"/>
      <x:c r="X280" s="40"/>
      <x:c r="Y280" s="40"/>
      <x:c r="Z280" s="39"/>
      <x:c r="AA280" s="39"/>
      <x:c r="AB280" s="24"/>
    </x:row>
    <x:row r="281" ht="23" customHeight="1">
      <x:c r="A281" s="20"/>
      <x:c r="B281" s="5"/>
      <x:c r="C281" s="4"/>
      <x:c r="D281" s="34" t="str">
        <x:f>IF(OR(A281="",U281="",COUNTIF('Project codes'!$A$7:$A$106,U281)&lt;&gt;1),"",_xlfn.XLOOKUP(U281,'Project codes'!$A$7:$A$106,'Project codes'!$I$7:$I$106,"",0))</x:f>
      </x:c>
      <x:c r="E281" s="4"/>
      <x:c r="F281" s="35" t="str">
        <x:f>IF(AND(ISNUMBER(N281),N281&gt;=0,O281="Complete"),N281/3600000,"")</x:f>
      </x:c>
      <x:c r="G281" s="4"/>
      <x:c r="H281" s="4"/>
      <x:c r="I281" s="36" t="str">
        <x:f>IF(COUNTA(A281:C281,E281,G281:H281,J281:T281,V281:AB281)=0,"",IF(A281="","Review: missing entry ID",IF(COUNTIF($A$7:$A$506,A281)&gt;1,"Review: duplicate entry ID",IF(NOT(ISNUMBER(B281)),"Review: work date",IF(OR(C281="",E281="",K281="",M281="",H281=""),"Review: source details",IF(J281&lt;&gt;'Estimate review'!$J$5,"Review: project scope",IF(OR(NOT(ISNUMBER(N281)),N281&lt;0,O281&lt;&gt;"Complete"),"Review: duration",IF(S281&lt;&gt;"Coded","Review: coding status",IF(OR(U281="",COUNTIF('Project codes'!$A$7:$A$106,U281)=0),"Review: SOW mapping",IF(COUNTIF('Project codes'!$A$7:$A$106,U281)&gt;1,"Review: duplicate code",IF(_xlfn.XLOOKUP(U281,'Project codes'!$A$7:$A$106,'Project codes'!$F$7:$F$106,"Review",0)="Hold","Review: allocation hold",IF(OR(D281="",COUNTIF('SOW register'!$A$7:$A$36,D281)&lt;&gt;1),"Review: SOW mapping",IF(AND(G281&lt;&gt;"Yes",G281&lt;&gt;"No"),"Review: billability",IF(AB281="","Review: billing evidence","OK"))))))))))))))</x:f>
      </x:c>
      <x:c r="J281" s="24"/>
      <x:c r="K281" s="38"/>
      <x:c r="L281" s="38"/>
      <x:c r="M281" s="38"/>
      <x:c r="N281" s="39"/>
      <x:c r="O281" s="24"/>
      <x:c r="P281" s="24"/>
      <x:c r="Q281" s="38"/>
      <x:c r="R281" s="38"/>
      <x:c r="S281" s="24"/>
      <x:c r="T281" s="24"/>
      <x:c r="U281" s="37" t="str">
        <x:f>IF(OR(J281="",Q281="",R281=""),"",J281&amp;"|"&amp;Q281&amp;"|"&amp;R281)</x:f>
      </x:c>
      <x:c r="V281" s="24"/>
      <x:c r="W281" s="24"/>
      <x:c r="X281" s="40"/>
      <x:c r="Y281" s="40"/>
      <x:c r="Z281" s="39"/>
      <x:c r="AA281" s="39"/>
      <x:c r="AB281" s="24"/>
    </x:row>
    <x:row r="282" ht="23" customHeight="1">
      <x:c r="A282" s="20"/>
      <x:c r="B282" s="5"/>
      <x:c r="C282" s="4"/>
      <x:c r="D282" s="34" t="str">
        <x:f>IF(OR(A282="",U282="",COUNTIF('Project codes'!$A$7:$A$106,U282)&lt;&gt;1),"",_xlfn.XLOOKUP(U282,'Project codes'!$A$7:$A$106,'Project codes'!$I$7:$I$106,"",0))</x:f>
      </x:c>
      <x:c r="E282" s="4"/>
      <x:c r="F282" s="35" t="str">
        <x:f>IF(AND(ISNUMBER(N282),N282&gt;=0,O282="Complete"),N282/3600000,"")</x:f>
      </x:c>
      <x:c r="G282" s="4"/>
      <x:c r="H282" s="4"/>
      <x:c r="I282" s="36" t="str">
        <x:f>IF(COUNTA(A282:C282,E282,G282:H282,J282:T282,V282:AB282)=0,"",IF(A282="","Review: missing entry ID",IF(COUNTIF($A$7:$A$506,A282)&gt;1,"Review: duplicate entry ID",IF(NOT(ISNUMBER(B282)),"Review: work date",IF(OR(C282="",E282="",K282="",M282="",H282=""),"Review: source details",IF(J282&lt;&gt;'Estimate review'!$J$5,"Review: project scope",IF(OR(NOT(ISNUMBER(N282)),N282&lt;0,O282&lt;&gt;"Complete"),"Review: duration",IF(S282&lt;&gt;"Coded","Review: coding status",IF(OR(U282="",COUNTIF('Project codes'!$A$7:$A$106,U282)=0),"Review: SOW mapping",IF(COUNTIF('Project codes'!$A$7:$A$106,U282)&gt;1,"Review: duplicate code",IF(_xlfn.XLOOKUP(U282,'Project codes'!$A$7:$A$106,'Project codes'!$F$7:$F$106,"Review",0)="Hold","Review: allocation hold",IF(OR(D282="",COUNTIF('SOW register'!$A$7:$A$36,D282)&lt;&gt;1),"Review: SOW mapping",IF(AND(G282&lt;&gt;"Yes",G282&lt;&gt;"No"),"Review: billability",IF(AB282="","Review: billing evidence","OK"))))))))))))))</x:f>
      </x:c>
      <x:c r="J282" s="24"/>
      <x:c r="K282" s="38"/>
      <x:c r="L282" s="38"/>
      <x:c r="M282" s="38"/>
      <x:c r="N282" s="39"/>
      <x:c r="O282" s="24"/>
      <x:c r="P282" s="24"/>
      <x:c r="Q282" s="38"/>
      <x:c r="R282" s="38"/>
      <x:c r="S282" s="24"/>
      <x:c r="T282" s="24"/>
      <x:c r="U282" s="37" t="str">
        <x:f>IF(OR(J282="",Q282="",R282=""),"",J282&amp;"|"&amp;Q282&amp;"|"&amp;R282)</x:f>
      </x:c>
      <x:c r="V282" s="24"/>
      <x:c r="W282" s="24"/>
      <x:c r="X282" s="40"/>
      <x:c r="Y282" s="40"/>
      <x:c r="Z282" s="39"/>
      <x:c r="AA282" s="39"/>
      <x:c r="AB282" s="24"/>
    </x:row>
    <x:row r="283" ht="23" customHeight="1">
      <x:c r="A283" s="20"/>
      <x:c r="B283" s="5"/>
      <x:c r="C283" s="4"/>
      <x:c r="D283" s="34" t="str">
        <x:f>IF(OR(A283="",U283="",COUNTIF('Project codes'!$A$7:$A$106,U283)&lt;&gt;1),"",_xlfn.XLOOKUP(U283,'Project codes'!$A$7:$A$106,'Project codes'!$I$7:$I$106,"",0))</x:f>
      </x:c>
      <x:c r="E283" s="4"/>
      <x:c r="F283" s="35" t="str">
        <x:f>IF(AND(ISNUMBER(N283),N283&gt;=0,O283="Complete"),N283/3600000,"")</x:f>
      </x:c>
      <x:c r="G283" s="4"/>
      <x:c r="H283" s="4"/>
      <x:c r="I283" s="36" t="str">
        <x:f>IF(COUNTA(A283:C283,E283,G283:H283,J283:T283,V283:AB283)=0,"",IF(A283="","Review: missing entry ID",IF(COUNTIF($A$7:$A$506,A283)&gt;1,"Review: duplicate entry ID",IF(NOT(ISNUMBER(B283)),"Review: work date",IF(OR(C283="",E283="",K283="",M283="",H283=""),"Review: source details",IF(J283&lt;&gt;'Estimate review'!$J$5,"Review: project scope",IF(OR(NOT(ISNUMBER(N283)),N283&lt;0,O283&lt;&gt;"Complete"),"Review: duration",IF(S283&lt;&gt;"Coded","Review: coding status",IF(OR(U283="",COUNTIF('Project codes'!$A$7:$A$106,U283)=0),"Review: SOW mapping",IF(COUNTIF('Project codes'!$A$7:$A$106,U283)&gt;1,"Review: duplicate code",IF(_xlfn.XLOOKUP(U283,'Project codes'!$A$7:$A$106,'Project codes'!$F$7:$F$106,"Review",0)="Hold","Review: allocation hold",IF(OR(D283="",COUNTIF('SOW register'!$A$7:$A$36,D283)&lt;&gt;1),"Review: SOW mapping",IF(AND(G283&lt;&gt;"Yes",G283&lt;&gt;"No"),"Review: billability",IF(AB283="","Review: billing evidence","OK"))))))))))))))</x:f>
      </x:c>
      <x:c r="J283" s="24"/>
      <x:c r="K283" s="38"/>
      <x:c r="L283" s="38"/>
      <x:c r="M283" s="38"/>
      <x:c r="N283" s="39"/>
      <x:c r="O283" s="24"/>
      <x:c r="P283" s="24"/>
      <x:c r="Q283" s="38"/>
      <x:c r="R283" s="38"/>
      <x:c r="S283" s="24"/>
      <x:c r="T283" s="24"/>
      <x:c r="U283" s="37" t="str">
        <x:f>IF(OR(J283="",Q283="",R283=""),"",J283&amp;"|"&amp;Q283&amp;"|"&amp;R283)</x:f>
      </x:c>
      <x:c r="V283" s="24"/>
      <x:c r="W283" s="24"/>
      <x:c r="X283" s="40"/>
      <x:c r="Y283" s="40"/>
      <x:c r="Z283" s="39"/>
      <x:c r="AA283" s="39"/>
      <x:c r="AB283" s="24"/>
    </x:row>
    <x:row r="284" ht="23" customHeight="1">
      <x:c r="A284" s="20"/>
      <x:c r="B284" s="5"/>
      <x:c r="C284" s="4"/>
      <x:c r="D284" s="34" t="str">
        <x:f>IF(OR(A284="",U284="",COUNTIF('Project codes'!$A$7:$A$106,U284)&lt;&gt;1),"",_xlfn.XLOOKUP(U284,'Project codes'!$A$7:$A$106,'Project codes'!$I$7:$I$106,"",0))</x:f>
      </x:c>
      <x:c r="E284" s="4"/>
      <x:c r="F284" s="35" t="str">
        <x:f>IF(AND(ISNUMBER(N284),N284&gt;=0,O284="Complete"),N284/3600000,"")</x:f>
      </x:c>
      <x:c r="G284" s="4"/>
      <x:c r="H284" s="4"/>
      <x:c r="I284" s="36" t="str">
        <x:f>IF(COUNTA(A284:C284,E284,G284:H284,J284:T284,V284:AB284)=0,"",IF(A284="","Review: missing entry ID",IF(COUNTIF($A$7:$A$506,A284)&gt;1,"Review: duplicate entry ID",IF(NOT(ISNUMBER(B284)),"Review: work date",IF(OR(C284="",E284="",K284="",M284="",H284=""),"Review: source details",IF(J284&lt;&gt;'Estimate review'!$J$5,"Review: project scope",IF(OR(NOT(ISNUMBER(N284)),N284&lt;0,O284&lt;&gt;"Complete"),"Review: duration",IF(S284&lt;&gt;"Coded","Review: coding status",IF(OR(U284="",COUNTIF('Project codes'!$A$7:$A$106,U284)=0),"Review: SOW mapping",IF(COUNTIF('Project codes'!$A$7:$A$106,U284)&gt;1,"Review: duplicate code",IF(_xlfn.XLOOKUP(U284,'Project codes'!$A$7:$A$106,'Project codes'!$F$7:$F$106,"Review",0)="Hold","Review: allocation hold",IF(OR(D284="",COUNTIF('SOW register'!$A$7:$A$36,D284)&lt;&gt;1),"Review: SOW mapping",IF(AND(G284&lt;&gt;"Yes",G284&lt;&gt;"No"),"Review: billability",IF(AB284="","Review: billing evidence","OK"))))))))))))))</x:f>
      </x:c>
      <x:c r="J284" s="24"/>
      <x:c r="K284" s="38"/>
      <x:c r="L284" s="38"/>
      <x:c r="M284" s="38"/>
      <x:c r="N284" s="39"/>
      <x:c r="O284" s="24"/>
      <x:c r="P284" s="24"/>
      <x:c r="Q284" s="38"/>
      <x:c r="R284" s="38"/>
      <x:c r="S284" s="24"/>
      <x:c r="T284" s="24"/>
      <x:c r="U284" s="37" t="str">
        <x:f>IF(OR(J284="",Q284="",R284=""),"",J284&amp;"|"&amp;Q284&amp;"|"&amp;R284)</x:f>
      </x:c>
      <x:c r="V284" s="24"/>
      <x:c r="W284" s="24"/>
      <x:c r="X284" s="40"/>
      <x:c r="Y284" s="40"/>
      <x:c r="Z284" s="39"/>
      <x:c r="AA284" s="39"/>
      <x:c r="AB284" s="24"/>
    </x:row>
    <x:row r="285" ht="23" customHeight="1">
      <x:c r="A285" s="20"/>
      <x:c r="B285" s="5"/>
      <x:c r="C285" s="4"/>
      <x:c r="D285" s="34" t="str">
        <x:f>IF(OR(A285="",U285="",COUNTIF('Project codes'!$A$7:$A$106,U285)&lt;&gt;1),"",_xlfn.XLOOKUP(U285,'Project codes'!$A$7:$A$106,'Project codes'!$I$7:$I$106,"",0))</x:f>
      </x:c>
      <x:c r="E285" s="4"/>
      <x:c r="F285" s="35" t="str">
        <x:f>IF(AND(ISNUMBER(N285),N285&gt;=0,O285="Complete"),N285/3600000,"")</x:f>
      </x:c>
      <x:c r="G285" s="4"/>
      <x:c r="H285" s="4"/>
      <x:c r="I285" s="36" t="str">
        <x:f>IF(COUNTA(A285:C285,E285,G285:H285,J285:T285,V285:AB285)=0,"",IF(A285="","Review: missing entry ID",IF(COUNTIF($A$7:$A$506,A285)&gt;1,"Review: duplicate entry ID",IF(NOT(ISNUMBER(B285)),"Review: work date",IF(OR(C285="",E285="",K285="",M285="",H285=""),"Review: source details",IF(J285&lt;&gt;'Estimate review'!$J$5,"Review: project scope",IF(OR(NOT(ISNUMBER(N285)),N285&lt;0,O285&lt;&gt;"Complete"),"Review: duration",IF(S285&lt;&gt;"Coded","Review: coding status",IF(OR(U285="",COUNTIF('Project codes'!$A$7:$A$106,U285)=0),"Review: SOW mapping",IF(COUNTIF('Project codes'!$A$7:$A$106,U285)&gt;1,"Review: duplicate code",IF(_xlfn.XLOOKUP(U285,'Project codes'!$A$7:$A$106,'Project codes'!$F$7:$F$106,"Review",0)="Hold","Review: allocation hold",IF(OR(D285="",COUNTIF('SOW register'!$A$7:$A$36,D285)&lt;&gt;1),"Review: SOW mapping",IF(AND(G285&lt;&gt;"Yes",G285&lt;&gt;"No"),"Review: billability",IF(AB285="","Review: billing evidence","OK"))))))))))))))</x:f>
      </x:c>
      <x:c r="J285" s="24"/>
      <x:c r="K285" s="38"/>
      <x:c r="L285" s="38"/>
      <x:c r="M285" s="38"/>
      <x:c r="N285" s="39"/>
      <x:c r="O285" s="24"/>
      <x:c r="P285" s="24"/>
      <x:c r="Q285" s="38"/>
      <x:c r="R285" s="38"/>
      <x:c r="S285" s="24"/>
      <x:c r="T285" s="24"/>
      <x:c r="U285" s="37" t="str">
        <x:f>IF(OR(J285="",Q285="",R285=""),"",J285&amp;"|"&amp;Q285&amp;"|"&amp;R285)</x:f>
      </x:c>
      <x:c r="V285" s="24"/>
      <x:c r="W285" s="24"/>
      <x:c r="X285" s="40"/>
      <x:c r="Y285" s="40"/>
      <x:c r="Z285" s="39"/>
      <x:c r="AA285" s="39"/>
      <x:c r="AB285" s="24"/>
    </x:row>
    <x:row r="286" ht="23" customHeight="1">
      <x:c r="A286" s="20"/>
      <x:c r="B286" s="5"/>
      <x:c r="C286" s="4"/>
      <x:c r="D286" s="34" t="str">
        <x:f>IF(OR(A286="",U286="",COUNTIF('Project codes'!$A$7:$A$106,U286)&lt;&gt;1),"",_xlfn.XLOOKUP(U286,'Project codes'!$A$7:$A$106,'Project codes'!$I$7:$I$106,"",0))</x:f>
      </x:c>
      <x:c r="E286" s="4"/>
      <x:c r="F286" s="35" t="str">
        <x:f>IF(AND(ISNUMBER(N286),N286&gt;=0,O286="Complete"),N286/3600000,"")</x:f>
      </x:c>
      <x:c r="G286" s="4"/>
      <x:c r="H286" s="4"/>
      <x:c r="I286" s="36" t="str">
        <x:f>IF(COUNTA(A286:C286,E286,G286:H286,J286:T286,V286:AB286)=0,"",IF(A286="","Review: missing entry ID",IF(COUNTIF($A$7:$A$506,A286)&gt;1,"Review: duplicate entry ID",IF(NOT(ISNUMBER(B286)),"Review: work date",IF(OR(C286="",E286="",K286="",M286="",H286=""),"Review: source details",IF(J286&lt;&gt;'Estimate review'!$J$5,"Review: project scope",IF(OR(NOT(ISNUMBER(N286)),N286&lt;0,O286&lt;&gt;"Complete"),"Review: duration",IF(S286&lt;&gt;"Coded","Review: coding status",IF(OR(U286="",COUNTIF('Project codes'!$A$7:$A$106,U286)=0),"Review: SOW mapping",IF(COUNTIF('Project codes'!$A$7:$A$106,U286)&gt;1,"Review: duplicate code",IF(_xlfn.XLOOKUP(U286,'Project codes'!$A$7:$A$106,'Project codes'!$F$7:$F$106,"Review",0)="Hold","Review: allocation hold",IF(OR(D286="",COUNTIF('SOW register'!$A$7:$A$36,D286)&lt;&gt;1),"Review: SOW mapping",IF(AND(G286&lt;&gt;"Yes",G286&lt;&gt;"No"),"Review: billability",IF(AB286="","Review: billing evidence","OK"))))))))))))))</x:f>
      </x:c>
      <x:c r="J286" s="24"/>
      <x:c r="K286" s="38"/>
      <x:c r="L286" s="38"/>
      <x:c r="M286" s="38"/>
      <x:c r="N286" s="39"/>
      <x:c r="O286" s="24"/>
      <x:c r="P286" s="24"/>
      <x:c r="Q286" s="38"/>
      <x:c r="R286" s="38"/>
      <x:c r="S286" s="24"/>
      <x:c r="T286" s="24"/>
      <x:c r="U286" s="37" t="str">
        <x:f>IF(OR(J286="",Q286="",R286=""),"",J286&amp;"|"&amp;Q286&amp;"|"&amp;R286)</x:f>
      </x:c>
      <x:c r="V286" s="24"/>
      <x:c r="W286" s="24"/>
      <x:c r="X286" s="40"/>
      <x:c r="Y286" s="40"/>
      <x:c r="Z286" s="39"/>
      <x:c r="AA286" s="39"/>
      <x:c r="AB286" s="24"/>
    </x:row>
    <x:row r="287" ht="23" customHeight="1">
      <x:c r="A287" s="20"/>
      <x:c r="B287" s="5"/>
      <x:c r="C287" s="4"/>
      <x:c r="D287" s="34" t="str">
        <x:f>IF(OR(A287="",U287="",COUNTIF('Project codes'!$A$7:$A$106,U287)&lt;&gt;1),"",_xlfn.XLOOKUP(U287,'Project codes'!$A$7:$A$106,'Project codes'!$I$7:$I$106,"",0))</x:f>
      </x:c>
      <x:c r="E287" s="4"/>
      <x:c r="F287" s="35" t="str">
        <x:f>IF(AND(ISNUMBER(N287),N287&gt;=0,O287="Complete"),N287/3600000,"")</x:f>
      </x:c>
      <x:c r="G287" s="4"/>
      <x:c r="H287" s="4"/>
      <x:c r="I287" s="36" t="str">
        <x:f>IF(COUNTA(A287:C287,E287,G287:H287,J287:T287,V287:AB287)=0,"",IF(A287="","Review: missing entry ID",IF(COUNTIF($A$7:$A$506,A287)&gt;1,"Review: duplicate entry ID",IF(NOT(ISNUMBER(B287)),"Review: work date",IF(OR(C287="",E287="",K287="",M287="",H287=""),"Review: source details",IF(J287&lt;&gt;'Estimate review'!$J$5,"Review: project scope",IF(OR(NOT(ISNUMBER(N287)),N287&lt;0,O287&lt;&gt;"Complete"),"Review: duration",IF(S287&lt;&gt;"Coded","Review: coding status",IF(OR(U287="",COUNTIF('Project codes'!$A$7:$A$106,U287)=0),"Review: SOW mapping",IF(COUNTIF('Project codes'!$A$7:$A$106,U287)&gt;1,"Review: duplicate code",IF(_xlfn.XLOOKUP(U287,'Project codes'!$A$7:$A$106,'Project codes'!$F$7:$F$106,"Review",0)="Hold","Review: allocation hold",IF(OR(D287="",COUNTIF('SOW register'!$A$7:$A$36,D287)&lt;&gt;1),"Review: SOW mapping",IF(AND(G287&lt;&gt;"Yes",G287&lt;&gt;"No"),"Review: billability",IF(AB287="","Review: billing evidence","OK"))))))))))))))</x:f>
      </x:c>
      <x:c r="J287" s="24"/>
      <x:c r="K287" s="38"/>
      <x:c r="L287" s="38"/>
      <x:c r="M287" s="38"/>
      <x:c r="N287" s="39"/>
      <x:c r="O287" s="24"/>
      <x:c r="P287" s="24"/>
      <x:c r="Q287" s="38"/>
      <x:c r="R287" s="38"/>
      <x:c r="S287" s="24"/>
      <x:c r="T287" s="24"/>
      <x:c r="U287" s="37" t="str">
        <x:f>IF(OR(J287="",Q287="",R287=""),"",J287&amp;"|"&amp;Q287&amp;"|"&amp;R287)</x:f>
      </x:c>
      <x:c r="V287" s="24"/>
      <x:c r="W287" s="24"/>
      <x:c r="X287" s="40"/>
      <x:c r="Y287" s="40"/>
      <x:c r="Z287" s="39"/>
      <x:c r="AA287" s="39"/>
      <x:c r="AB287" s="24"/>
    </x:row>
    <x:row r="288" ht="23" customHeight="1">
      <x:c r="A288" s="20"/>
      <x:c r="B288" s="5"/>
      <x:c r="C288" s="4"/>
      <x:c r="D288" s="34" t="str">
        <x:f>IF(OR(A288="",U288="",COUNTIF('Project codes'!$A$7:$A$106,U288)&lt;&gt;1),"",_xlfn.XLOOKUP(U288,'Project codes'!$A$7:$A$106,'Project codes'!$I$7:$I$106,"",0))</x:f>
      </x:c>
      <x:c r="E288" s="4"/>
      <x:c r="F288" s="35" t="str">
        <x:f>IF(AND(ISNUMBER(N288),N288&gt;=0,O288="Complete"),N288/3600000,"")</x:f>
      </x:c>
      <x:c r="G288" s="4"/>
      <x:c r="H288" s="4"/>
      <x:c r="I288" s="36" t="str">
        <x:f>IF(COUNTA(A288:C288,E288,G288:H288,J288:T288,V288:AB288)=0,"",IF(A288="","Review: missing entry ID",IF(COUNTIF($A$7:$A$506,A288)&gt;1,"Review: duplicate entry ID",IF(NOT(ISNUMBER(B288)),"Review: work date",IF(OR(C288="",E288="",K288="",M288="",H288=""),"Review: source details",IF(J288&lt;&gt;'Estimate review'!$J$5,"Review: project scope",IF(OR(NOT(ISNUMBER(N288)),N288&lt;0,O288&lt;&gt;"Complete"),"Review: duration",IF(S288&lt;&gt;"Coded","Review: coding status",IF(OR(U288="",COUNTIF('Project codes'!$A$7:$A$106,U288)=0),"Review: SOW mapping",IF(COUNTIF('Project codes'!$A$7:$A$106,U288)&gt;1,"Review: duplicate code",IF(_xlfn.XLOOKUP(U288,'Project codes'!$A$7:$A$106,'Project codes'!$F$7:$F$106,"Review",0)="Hold","Review: allocation hold",IF(OR(D288="",COUNTIF('SOW register'!$A$7:$A$36,D288)&lt;&gt;1),"Review: SOW mapping",IF(AND(G288&lt;&gt;"Yes",G288&lt;&gt;"No"),"Review: billability",IF(AB288="","Review: billing evidence","OK"))))))))))))))</x:f>
      </x:c>
      <x:c r="J288" s="24"/>
      <x:c r="K288" s="38"/>
      <x:c r="L288" s="38"/>
      <x:c r="M288" s="38"/>
      <x:c r="N288" s="39"/>
      <x:c r="O288" s="24"/>
      <x:c r="P288" s="24"/>
      <x:c r="Q288" s="38"/>
      <x:c r="R288" s="38"/>
      <x:c r="S288" s="24"/>
      <x:c r="T288" s="24"/>
      <x:c r="U288" s="37" t="str">
        <x:f>IF(OR(J288="",Q288="",R288=""),"",J288&amp;"|"&amp;Q288&amp;"|"&amp;R288)</x:f>
      </x:c>
      <x:c r="V288" s="24"/>
      <x:c r="W288" s="24"/>
      <x:c r="X288" s="40"/>
      <x:c r="Y288" s="40"/>
      <x:c r="Z288" s="39"/>
      <x:c r="AA288" s="39"/>
      <x:c r="AB288" s="24"/>
    </x:row>
    <x:row r="289" ht="23" customHeight="1">
      <x:c r="A289" s="20"/>
      <x:c r="B289" s="5"/>
      <x:c r="C289" s="4"/>
      <x:c r="D289" s="34" t="str">
        <x:f>IF(OR(A289="",U289="",COUNTIF('Project codes'!$A$7:$A$106,U289)&lt;&gt;1),"",_xlfn.XLOOKUP(U289,'Project codes'!$A$7:$A$106,'Project codes'!$I$7:$I$106,"",0))</x:f>
      </x:c>
      <x:c r="E289" s="4"/>
      <x:c r="F289" s="35" t="str">
        <x:f>IF(AND(ISNUMBER(N289),N289&gt;=0,O289="Complete"),N289/3600000,"")</x:f>
      </x:c>
      <x:c r="G289" s="4"/>
      <x:c r="H289" s="4"/>
      <x:c r="I289" s="36" t="str">
        <x:f>IF(COUNTA(A289:C289,E289,G289:H289,J289:T289,V289:AB289)=0,"",IF(A289="","Review: missing entry ID",IF(COUNTIF($A$7:$A$506,A289)&gt;1,"Review: duplicate entry ID",IF(NOT(ISNUMBER(B289)),"Review: work date",IF(OR(C289="",E289="",K289="",M289="",H289=""),"Review: source details",IF(J289&lt;&gt;'Estimate review'!$J$5,"Review: project scope",IF(OR(NOT(ISNUMBER(N289)),N289&lt;0,O289&lt;&gt;"Complete"),"Review: duration",IF(S289&lt;&gt;"Coded","Review: coding status",IF(OR(U289="",COUNTIF('Project codes'!$A$7:$A$106,U289)=0),"Review: SOW mapping",IF(COUNTIF('Project codes'!$A$7:$A$106,U289)&gt;1,"Review: duplicate code",IF(_xlfn.XLOOKUP(U289,'Project codes'!$A$7:$A$106,'Project codes'!$F$7:$F$106,"Review",0)="Hold","Review: allocation hold",IF(OR(D289="",COUNTIF('SOW register'!$A$7:$A$36,D289)&lt;&gt;1),"Review: SOW mapping",IF(AND(G289&lt;&gt;"Yes",G289&lt;&gt;"No"),"Review: billability",IF(AB289="","Review: billing evidence","OK"))))))))))))))</x:f>
      </x:c>
      <x:c r="J289" s="24"/>
      <x:c r="K289" s="38"/>
      <x:c r="L289" s="38"/>
      <x:c r="M289" s="38"/>
      <x:c r="N289" s="39"/>
      <x:c r="O289" s="24"/>
      <x:c r="P289" s="24"/>
      <x:c r="Q289" s="38"/>
      <x:c r="R289" s="38"/>
      <x:c r="S289" s="24"/>
      <x:c r="T289" s="24"/>
      <x:c r="U289" s="37" t="str">
        <x:f>IF(OR(J289="",Q289="",R289=""),"",J289&amp;"|"&amp;Q289&amp;"|"&amp;R289)</x:f>
      </x:c>
      <x:c r="V289" s="24"/>
      <x:c r="W289" s="24"/>
      <x:c r="X289" s="40"/>
      <x:c r="Y289" s="40"/>
      <x:c r="Z289" s="39"/>
      <x:c r="AA289" s="39"/>
      <x:c r="AB289" s="24"/>
    </x:row>
    <x:row r="290" ht="23" customHeight="1">
      <x:c r="A290" s="20"/>
      <x:c r="B290" s="5"/>
      <x:c r="C290" s="4"/>
      <x:c r="D290" s="34" t="str">
        <x:f>IF(OR(A290="",U290="",COUNTIF('Project codes'!$A$7:$A$106,U290)&lt;&gt;1),"",_xlfn.XLOOKUP(U290,'Project codes'!$A$7:$A$106,'Project codes'!$I$7:$I$106,"",0))</x:f>
      </x:c>
      <x:c r="E290" s="4"/>
      <x:c r="F290" s="35" t="str">
        <x:f>IF(AND(ISNUMBER(N290),N290&gt;=0,O290="Complete"),N290/3600000,"")</x:f>
      </x:c>
      <x:c r="G290" s="4"/>
      <x:c r="H290" s="4"/>
      <x:c r="I290" s="36" t="str">
        <x:f>IF(COUNTA(A290:C290,E290,G290:H290,J290:T290,V290:AB290)=0,"",IF(A290="","Review: missing entry ID",IF(COUNTIF($A$7:$A$506,A290)&gt;1,"Review: duplicate entry ID",IF(NOT(ISNUMBER(B290)),"Review: work date",IF(OR(C290="",E290="",K290="",M290="",H290=""),"Review: source details",IF(J290&lt;&gt;'Estimate review'!$J$5,"Review: project scope",IF(OR(NOT(ISNUMBER(N290)),N290&lt;0,O290&lt;&gt;"Complete"),"Review: duration",IF(S290&lt;&gt;"Coded","Review: coding status",IF(OR(U290="",COUNTIF('Project codes'!$A$7:$A$106,U290)=0),"Review: SOW mapping",IF(COUNTIF('Project codes'!$A$7:$A$106,U290)&gt;1,"Review: duplicate code",IF(_xlfn.XLOOKUP(U290,'Project codes'!$A$7:$A$106,'Project codes'!$F$7:$F$106,"Review",0)="Hold","Review: allocation hold",IF(OR(D290="",COUNTIF('SOW register'!$A$7:$A$36,D290)&lt;&gt;1),"Review: SOW mapping",IF(AND(G290&lt;&gt;"Yes",G290&lt;&gt;"No"),"Review: billability",IF(AB290="","Review: billing evidence","OK"))))))))))))))</x:f>
      </x:c>
      <x:c r="J290" s="24"/>
      <x:c r="K290" s="38"/>
      <x:c r="L290" s="38"/>
      <x:c r="M290" s="38"/>
      <x:c r="N290" s="39"/>
      <x:c r="O290" s="24"/>
      <x:c r="P290" s="24"/>
      <x:c r="Q290" s="38"/>
      <x:c r="R290" s="38"/>
      <x:c r="S290" s="24"/>
      <x:c r="T290" s="24"/>
      <x:c r="U290" s="37" t="str">
        <x:f>IF(OR(J290="",Q290="",R290=""),"",J290&amp;"|"&amp;Q290&amp;"|"&amp;R290)</x:f>
      </x:c>
      <x:c r="V290" s="24"/>
      <x:c r="W290" s="24"/>
      <x:c r="X290" s="40"/>
      <x:c r="Y290" s="40"/>
      <x:c r="Z290" s="39"/>
      <x:c r="AA290" s="39"/>
      <x:c r="AB290" s="24"/>
    </x:row>
    <x:row r="291" ht="23" customHeight="1">
      <x:c r="A291" s="20"/>
      <x:c r="B291" s="5"/>
      <x:c r="C291" s="4"/>
      <x:c r="D291" s="34" t="str">
        <x:f>IF(OR(A291="",U291="",COUNTIF('Project codes'!$A$7:$A$106,U291)&lt;&gt;1),"",_xlfn.XLOOKUP(U291,'Project codes'!$A$7:$A$106,'Project codes'!$I$7:$I$106,"",0))</x:f>
      </x:c>
      <x:c r="E291" s="4"/>
      <x:c r="F291" s="35" t="str">
        <x:f>IF(AND(ISNUMBER(N291),N291&gt;=0,O291="Complete"),N291/3600000,"")</x:f>
      </x:c>
      <x:c r="G291" s="4"/>
      <x:c r="H291" s="4"/>
      <x:c r="I291" s="36" t="str">
        <x:f>IF(COUNTA(A291:C291,E291,G291:H291,J291:T291,V291:AB291)=0,"",IF(A291="","Review: missing entry ID",IF(COUNTIF($A$7:$A$506,A291)&gt;1,"Review: duplicate entry ID",IF(NOT(ISNUMBER(B291)),"Review: work date",IF(OR(C291="",E291="",K291="",M291="",H291=""),"Review: source details",IF(J291&lt;&gt;'Estimate review'!$J$5,"Review: project scope",IF(OR(NOT(ISNUMBER(N291)),N291&lt;0,O291&lt;&gt;"Complete"),"Review: duration",IF(S291&lt;&gt;"Coded","Review: coding status",IF(OR(U291="",COUNTIF('Project codes'!$A$7:$A$106,U291)=0),"Review: SOW mapping",IF(COUNTIF('Project codes'!$A$7:$A$106,U291)&gt;1,"Review: duplicate code",IF(_xlfn.XLOOKUP(U291,'Project codes'!$A$7:$A$106,'Project codes'!$F$7:$F$106,"Review",0)="Hold","Review: allocation hold",IF(OR(D291="",COUNTIF('SOW register'!$A$7:$A$36,D291)&lt;&gt;1),"Review: SOW mapping",IF(AND(G291&lt;&gt;"Yes",G291&lt;&gt;"No"),"Review: billability",IF(AB291="","Review: billing evidence","OK"))))))))))))))</x:f>
      </x:c>
      <x:c r="J291" s="24"/>
      <x:c r="K291" s="38"/>
      <x:c r="L291" s="38"/>
      <x:c r="M291" s="38"/>
      <x:c r="N291" s="39"/>
      <x:c r="O291" s="24"/>
      <x:c r="P291" s="24"/>
      <x:c r="Q291" s="38"/>
      <x:c r="R291" s="38"/>
      <x:c r="S291" s="24"/>
      <x:c r="T291" s="24"/>
      <x:c r="U291" s="37" t="str">
        <x:f>IF(OR(J291="",Q291="",R291=""),"",J291&amp;"|"&amp;Q291&amp;"|"&amp;R291)</x:f>
      </x:c>
      <x:c r="V291" s="24"/>
      <x:c r="W291" s="24"/>
      <x:c r="X291" s="40"/>
      <x:c r="Y291" s="40"/>
      <x:c r="Z291" s="39"/>
      <x:c r="AA291" s="39"/>
      <x:c r="AB291" s="24"/>
    </x:row>
    <x:row r="292" ht="23" customHeight="1">
      <x:c r="A292" s="20"/>
      <x:c r="B292" s="5"/>
      <x:c r="C292" s="4"/>
      <x:c r="D292" s="34" t="str">
        <x:f>IF(OR(A292="",U292="",COUNTIF('Project codes'!$A$7:$A$106,U292)&lt;&gt;1),"",_xlfn.XLOOKUP(U292,'Project codes'!$A$7:$A$106,'Project codes'!$I$7:$I$106,"",0))</x:f>
      </x:c>
      <x:c r="E292" s="4"/>
      <x:c r="F292" s="35" t="str">
        <x:f>IF(AND(ISNUMBER(N292),N292&gt;=0,O292="Complete"),N292/3600000,"")</x:f>
      </x:c>
      <x:c r="G292" s="4"/>
      <x:c r="H292" s="4"/>
      <x:c r="I292" s="36" t="str">
        <x:f>IF(COUNTA(A292:C292,E292,G292:H292,J292:T292,V292:AB292)=0,"",IF(A292="","Review: missing entry ID",IF(COUNTIF($A$7:$A$506,A292)&gt;1,"Review: duplicate entry ID",IF(NOT(ISNUMBER(B292)),"Review: work date",IF(OR(C292="",E292="",K292="",M292="",H292=""),"Review: source details",IF(J292&lt;&gt;'Estimate review'!$J$5,"Review: project scope",IF(OR(NOT(ISNUMBER(N292)),N292&lt;0,O292&lt;&gt;"Complete"),"Review: duration",IF(S292&lt;&gt;"Coded","Review: coding status",IF(OR(U292="",COUNTIF('Project codes'!$A$7:$A$106,U292)=0),"Review: SOW mapping",IF(COUNTIF('Project codes'!$A$7:$A$106,U292)&gt;1,"Review: duplicate code",IF(_xlfn.XLOOKUP(U292,'Project codes'!$A$7:$A$106,'Project codes'!$F$7:$F$106,"Review",0)="Hold","Review: allocation hold",IF(OR(D292="",COUNTIF('SOW register'!$A$7:$A$36,D292)&lt;&gt;1),"Review: SOW mapping",IF(AND(G292&lt;&gt;"Yes",G292&lt;&gt;"No"),"Review: billability",IF(AB292="","Review: billing evidence","OK"))))))))))))))</x:f>
      </x:c>
      <x:c r="J292" s="24"/>
      <x:c r="K292" s="38"/>
      <x:c r="L292" s="38"/>
      <x:c r="M292" s="38"/>
      <x:c r="N292" s="39"/>
      <x:c r="O292" s="24"/>
      <x:c r="P292" s="24"/>
      <x:c r="Q292" s="38"/>
      <x:c r="R292" s="38"/>
      <x:c r="S292" s="24"/>
      <x:c r="T292" s="24"/>
      <x:c r="U292" s="37" t="str">
        <x:f>IF(OR(J292="",Q292="",R292=""),"",J292&amp;"|"&amp;Q292&amp;"|"&amp;R292)</x:f>
      </x:c>
      <x:c r="V292" s="24"/>
      <x:c r="W292" s="24"/>
      <x:c r="X292" s="40"/>
      <x:c r="Y292" s="40"/>
      <x:c r="Z292" s="39"/>
      <x:c r="AA292" s="39"/>
      <x:c r="AB292" s="24"/>
    </x:row>
    <x:row r="293" ht="23" customHeight="1">
      <x:c r="A293" s="20"/>
      <x:c r="B293" s="5"/>
      <x:c r="C293" s="4"/>
      <x:c r="D293" s="34" t="str">
        <x:f>IF(OR(A293="",U293="",COUNTIF('Project codes'!$A$7:$A$106,U293)&lt;&gt;1),"",_xlfn.XLOOKUP(U293,'Project codes'!$A$7:$A$106,'Project codes'!$I$7:$I$106,"",0))</x:f>
      </x:c>
      <x:c r="E293" s="4"/>
      <x:c r="F293" s="35" t="str">
        <x:f>IF(AND(ISNUMBER(N293),N293&gt;=0,O293="Complete"),N293/3600000,"")</x:f>
      </x:c>
      <x:c r="G293" s="4"/>
      <x:c r="H293" s="4"/>
      <x:c r="I293" s="36" t="str">
        <x:f>IF(COUNTA(A293:C293,E293,G293:H293,J293:T293,V293:AB293)=0,"",IF(A293="","Review: missing entry ID",IF(COUNTIF($A$7:$A$506,A293)&gt;1,"Review: duplicate entry ID",IF(NOT(ISNUMBER(B293)),"Review: work date",IF(OR(C293="",E293="",K293="",M293="",H293=""),"Review: source details",IF(J293&lt;&gt;'Estimate review'!$J$5,"Review: project scope",IF(OR(NOT(ISNUMBER(N293)),N293&lt;0,O293&lt;&gt;"Complete"),"Review: duration",IF(S293&lt;&gt;"Coded","Review: coding status",IF(OR(U293="",COUNTIF('Project codes'!$A$7:$A$106,U293)=0),"Review: SOW mapping",IF(COUNTIF('Project codes'!$A$7:$A$106,U293)&gt;1,"Review: duplicate code",IF(_xlfn.XLOOKUP(U293,'Project codes'!$A$7:$A$106,'Project codes'!$F$7:$F$106,"Review",0)="Hold","Review: allocation hold",IF(OR(D293="",COUNTIF('SOW register'!$A$7:$A$36,D293)&lt;&gt;1),"Review: SOW mapping",IF(AND(G293&lt;&gt;"Yes",G293&lt;&gt;"No"),"Review: billability",IF(AB293="","Review: billing evidence","OK"))))))))))))))</x:f>
      </x:c>
      <x:c r="J293" s="24"/>
      <x:c r="K293" s="38"/>
      <x:c r="L293" s="38"/>
      <x:c r="M293" s="38"/>
      <x:c r="N293" s="39"/>
      <x:c r="O293" s="24"/>
      <x:c r="P293" s="24"/>
      <x:c r="Q293" s="38"/>
      <x:c r="R293" s="38"/>
      <x:c r="S293" s="24"/>
      <x:c r="T293" s="24"/>
      <x:c r="U293" s="37" t="str">
        <x:f>IF(OR(J293="",Q293="",R293=""),"",J293&amp;"|"&amp;Q293&amp;"|"&amp;R293)</x:f>
      </x:c>
      <x:c r="V293" s="24"/>
      <x:c r="W293" s="24"/>
      <x:c r="X293" s="40"/>
      <x:c r="Y293" s="40"/>
      <x:c r="Z293" s="39"/>
      <x:c r="AA293" s="39"/>
      <x:c r="AB293" s="24"/>
    </x:row>
    <x:row r="294" ht="23" customHeight="1">
      <x:c r="A294" s="20"/>
      <x:c r="B294" s="5"/>
      <x:c r="C294" s="4"/>
      <x:c r="D294" s="34" t="str">
        <x:f>IF(OR(A294="",U294="",COUNTIF('Project codes'!$A$7:$A$106,U294)&lt;&gt;1),"",_xlfn.XLOOKUP(U294,'Project codes'!$A$7:$A$106,'Project codes'!$I$7:$I$106,"",0))</x:f>
      </x:c>
      <x:c r="E294" s="4"/>
      <x:c r="F294" s="35" t="str">
        <x:f>IF(AND(ISNUMBER(N294),N294&gt;=0,O294="Complete"),N294/3600000,"")</x:f>
      </x:c>
      <x:c r="G294" s="4"/>
      <x:c r="H294" s="4"/>
      <x:c r="I294" s="36" t="str">
        <x:f>IF(COUNTA(A294:C294,E294,G294:H294,J294:T294,V294:AB294)=0,"",IF(A294="","Review: missing entry ID",IF(COUNTIF($A$7:$A$506,A294)&gt;1,"Review: duplicate entry ID",IF(NOT(ISNUMBER(B294)),"Review: work date",IF(OR(C294="",E294="",K294="",M294="",H294=""),"Review: source details",IF(J294&lt;&gt;'Estimate review'!$J$5,"Review: project scope",IF(OR(NOT(ISNUMBER(N294)),N294&lt;0,O294&lt;&gt;"Complete"),"Review: duration",IF(S294&lt;&gt;"Coded","Review: coding status",IF(OR(U294="",COUNTIF('Project codes'!$A$7:$A$106,U294)=0),"Review: SOW mapping",IF(COUNTIF('Project codes'!$A$7:$A$106,U294)&gt;1,"Review: duplicate code",IF(_xlfn.XLOOKUP(U294,'Project codes'!$A$7:$A$106,'Project codes'!$F$7:$F$106,"Review",0)="Hold","Review: allocation hold",IF(OR(D294="",COUNTIF('SOW register'!$A$7:$A$36,D294)&lt;&gt;1),"Review: SOW mapping",IF(AND(G294&lt;&gt;"Yes",G294&lt;&gt;"No"),"Review: billability",IF(AB294="","Review: billing evidence","OK"))))))))))))))</x:f>
      </x:c>
      <x:c r="J294" s="24"/>
      <x:c r="K294" s="38"/>
      <x:c r="L294" s="38"/>
      <x:c r="M294" s="38"/>
      <x:c r="N294" s="39"/>
      <x:c r="O294" s="24"/>
      <x:c r="P294" s="24"/>
      <x:c r="Q294" s="38"/>
      <x:c r="R294" s="38"/>
      <x:c r="S294" s="24"/>
      <x:c r="T294" s="24"/>
      <x:c r="U294" s="37" t="str">
        <x:f>IF(OR(J294="",Q294="",R294=""),"",J294&amp;"|"&amp;Q294&amp;"|"&amp;R294)</x:f>
      </x:c>
      <x:c r="V294" s="24"/>
      <x:c r="W294" s="24"/>
      <x:c r="X294" s="40"/>
      <x:c r="Y294" s="40"/>
      <x:c r="Z294" s="39"/>
      <x:c r="AA294" s="39"/>
      <x:c r="AB294" s="24"/>
    </x:row>
    <x:row r="295" ht="23" customHeight="1">
      <x:c r="A295" s="20"/>
      <x:c r="B295" s="5"/>
      <x:c r="C295" s="4"/>
      <x:c r="D295" s="34" t="str">
        <x:f>IF(OR(A295="",U295="",COUNTIF('Project codes'!$A$7:$A$106,U295)&lt;&gt;1),"",_xlfn.XLOOKUP(U295,'Project codes'!$A$7:$A$106,'Project codes'!$I$7:$I$106,"",0))</x:f>
      </x:c>
      <x:c r="E295" s="4"/>
      <x:c r="F295" s="35" t="str">
        <x:f>IF(AND(ISNUMBER(N295),N295&gt;=0,O295="Complete"),N295/3600000,"")</x:f>
      </x:c>
      <x:c r="G295" s="4"/>
      <x:c r="H295" s="4"/>
      <x:c r="I295" s="36" t="str">
        <x:f>IF(COUNTA(A295:C295,E295,G295:H295,J295:T295,V295:AB295)=0,"",IF(A295="","Review: missing entry ID",IF(COUNTIF($A$7:$A$506,A295)&gt;1,"Review: duplicate entry ID",IF(NOT(ISNUMBER(B295)),"Review: work date",IF(OR(C295="",E295="",K295="",M295="",H295=""),"Review: source details",IF(J295&lt;&gt;'Estimate review'!$J$5,"Review: project scope",IF(OR(NOT(ISNUMBER(N295)),N295&lt;0,O295&lt;&gt;"Complete"),"Review: duration",IF(S295&lt;&gt;"Coded","Review: coding status",IF(OR(U295="",COUNTIF('Project codes'!$A$7:$A$106,U295)=0),"Review: SOW mapping",IF(COUNTIF('Project codes'!$A$7:$A$106,U295)&gt;1,"Review: duplicate code",IF(_xlfn.XLOOKUP(U295,'Project codes'!$A$7:$A$106,'Project codes'!$F$7:$F$106,"Review",0)="Hold","Review: allocation hold",IF(OR(D295="",COUNTIF('SOW register'!$A$7:$A$36,D295)&lt;&gt;1),"Review: SOW mapping",IF(AND(G295&lt;&gt;"Yes",G295&lt;&gt;"No"),"Review: billability",IF(AB295="","Review: billing evidence","OK"))))))))))))))</x:f>
      </x:c>
      <x:c r="J295" s="24"/>
      <x:c r="K295" s="38"/>
      <x:c r="L295" s="38"/>
      <x:c r="M295" s="38"/>
      <x:c r="N295" s="39"/>
      <x:c r="O295" s="24"/>
      <x:c r="P295" s="24"/>
      <x:c r="Q295" s="38"/>
      <x:c r="R295" s="38"/>
      <x:c r="S295" s="24"/>
      <x:c r="T295" s="24"/>
      <x:c r="U295" s="37" t="str">
        <x:f>IF(OR(J295="",Q295="",R295=""),"",J295&amp;"|"&amp;Q295&amp;"|"&amp;R295)</x:f>
      </x:c>
      <x:c r="V295" s="24"/>
      <x:c r="W295" s="24"/>
      <x:c r="X295" s="40"/>
      <x:c r="Y295" s="40"/>
      <x:c r="Z295" s="39"/>
      <x:c r="AA295" s="39"/>
      <x:c r="AB295" s="24"/>
    </x:row>
    <x:row r="296" ht="23" customHeight="1">
      <x:c r="A296" s="20"/>
      <x:c r="B296" s="5"/>
      <x:c r="C296" s="4"/>
      <x:c r="D296" s="34" t="str">
        <x:f>IF(OR(A296="",U296="",COUNTIF('Project codes'!$A$7:$A$106,U296)&lt;&gt;1),"",_xlfn.XLOOKUP(U296,'Project codes'!$A$7:$A$106,'Project codes'!$I$7:$I$106,"",0))</x:f>
      </x:c>
      <x:c r="E296" s="4"/>
      <x:c r="F296" s="35" t="str">
        <x:f>IF(AND(ISNUMBER(N296),N296&gt;=0,O296="Complete"),N296/3600000,"")</x:f>
      </x:c>
      <x:c r="G296" s="4"/>
      <x:c r="H296" s="4"/>
      <x:c r="I296" s="36" t="str">
        <x:f>IF(COUNTA(A296:C296,E296,G296:H296,J296:T296,V296:AB296)=0,"",IF(A296="","Review: missing entry ID",IF(COUNTIF($A$7:$A$506,A296)&gt;1,"Review: duplicate entry ID",IF(NOT(ISNUMBER(B296)),"Review: work date",IF(OR(C296="",E296="",K296="",M296="",H296=""),"Review: source details",IF(J296&lt;&gt;'Estimate review'!$J$5,"Review: project scope",IF(OR(NOT(ISNUMBER(N296)),N296&lt;0,O296&lt;&gt;"Complete"),"Review: duration",IF(S296&lt;&gt;"Coded","Review: coding status",IF(OR(U296="",COUNTIF('Project codes'!$A$7:$A$106,U296)=0),"Review: SOW mapping",IF(COUNTIF('Project codes'!$A$7:$A$106,U296)&gt;1,"Review: duplicate code",IF(_xlfn.XLOOKUP(U296,'Project codes'!$A$7:$A$106,'Project codes'!$F$7:$F$106,"Review",0)="Hold","Review: allocation hold",IF(OR(D296="",COUNTIF('SOW register'!$A$7:$A$36,D296)&lt;&gt;1),"Review: SOW mapping",IF(AND(G296&lt;&gt;"Yes",G296&lt;&gt;"No"),"Review: billability",IF(AB296="","Review: billing evidence","OK"))))))))))))))</x:f>
      </x:c>
      <x:c r="J296" s="24"/>
      <x:c r="K296" s="38"/>
      <x:c r="L296" s="38"/>
      <x:c r="M296" s="38"/>
      <x:c r="N296" s="39"/>
      <x:c r="O296" s="24"/>
      <x:c r="P296" s="24"/>
      <x:c r="Q296" s="38"/>
      <x:c r="R296" s="38"/>
      <x:c r="S296" s="24"/>
      <x:c r="T296" s="24"/>
      <x:c r="U296" s="37" t="str">
        <x:f>IF(OR(J296="",Q296="",R296=""),"",J296&amp;"|"&amp;Q296&amp;"|"&amp;R296)</x:f>
      </x:c>
      <x:c r="V296" s="24"/>
      <x:c r="W296" s="24"/>
      <x:c r="X296" s="40"/>
      <x:c r="Y296" s="40"/>
      <x:c r="Z296" s="39"/>
      <x:c r="AA296" s="39"/>
      <x:c r="AB296" s="24"/>
    </x:row>
    <x:row r="297" ht="23" customHeight="1">
      <x:c r="A297" s="20"/>
      <x:c r="B297" s="5"/>
      <x:c r="C297" s="4"/>
      <x:c r="D297" s="34" t="str">
        <x:f>IF(OR(A297="",U297="",COUNTIF('Project codes'!$A$7:$A$106,U297)&lt;&gt;1),"",_xlfn.XLOOKUP(U297,'Project codes'!$A$7:$A$106,'Project codes'!$I$7:$I$106,"",0))</x:f>
      </x:c>
      <x:c r="E297" s="4"/>
      <x:c r="F297" s="35" t="str">
        <x:f>IF(AND(ISNUMBER(N297),N297&gt;=0,O297="Complete"),N297/3600000,"")</x:f>
      </x:c>
      <x:c r="G297" s="4"/>
      <x:c r="H297" s="4"/>
      <x:c r="I297" s="36" t="str">
        <x:f>IF(COUNTA(A297:C297,E297,G297:H297,J297:T297,V297:AB297)=0,"",IF(A297="","Review: missing entry ID",IF(COUNTIF($A$7:$A$506,A297)&gt;1,"Review: duplicate entry ID",IF(NOT(ISNUMBER(B297)),"Review: work date",IF(OR(C297="",E297="",K297="",M297="",H297=""),"Review: source details",IF(J297&lt;&gt;'Estimate review'!$J$5,"Review: project scope",IF(OR(NOT(ISNUMBER(N297)),N297&lt;0,O297&lt;&gt;"Complete"),"Review: duration",IF(S297&lt;&gt;"Coded","Review: coding status",IF(OR(U297="",COUNTIF('Project codes'!$A$7:$A$106,U297)=0),"Review: SOW mapping",IF(COUNTIF('Project codes'!$A$7:$A$106,U297)&gt;1,"Review: duplicate code",IF(_xlfn.XLOOKUP(U297,'Project codes'!$A$7:$A$106,'Project codes'!$F$7:$F$106,"Review",0)="Hold","Review: allocation hold",IF(OR(D297="",COUNTIF('SOW register'!$A$7:$A$36,D297)&lt;&gt;1),"Review: SOW mapping",IF(AND(G297&lt;&gt;"Yes",G297&lt;&gt;"No"),"Review: billability",IF(AB297="","Review: billing evidence","OK"))))))))))))))</x:f>
      </x:c>
      <x:c r="J297" s="24"/>
      <x:c r="K297" s="38"/>
      <x:c r="L297" s="38"/>
      <x:c r="M297" s="38"/>
      <x:c r="N297" s="39"/>
      <x:c r="O297" s="24"/>
      <x:c r="P297" s="24"/>
      <x:c r="Q297" s="38"/>
      <x:c r="R297" s="38"/>
      <x:c r="S297" s="24"/>
      <x:c r="T297" s="24"/>
      <x:c r="U297" s="37" t="str">
        <x:f>IF(OR(J297="",Q297="",R297=""),"",J297&amp;"|"&amp;Q297&amp;"|"&amp;R297)</x:f>
      </x:c>
      <x:c r="V297" s="24"/>
      <x:c r="W297" s="24"/>
      <x:c r="X297" s="40"/>
      <x:c r="Y297" s="40"/>
      <x:c r="Z297" s="39"/>
      <x:c r="AA297" s="39"/>
      <x:c r="AB297" s="24"/>
    </x:row>
    <x:row r="298" ht="23" customHeight="1">
      <x:c r="A298" s="20"/>
      <x:c r="B298" s="5"/>
      <x:c r="C298" s="4"/>
      <x:c r="D298" s="34" t="str">
        <x:f>IF(OR(A298="",U298="",COUNTIF('Project codes'!$A$7:$A$106,U298)&lt;&gt;1),"",_xlfn.XLOOKUP(U298,'Project codes'!$A$7:$A$106,'Project codes'!$I$7:$I$106,"",0))</x:f>
      </x:c>
      <x:c r="E298" s="4"/>
      <x:c r="F298" s="35" t="str">
        <x:f>IF(AND(ISNUMBER(N298),N298&gt;=0,O298="Complete"),N298/3600000,"")</x:f>
      </x:c>
      <x:c r="G298" s="4"/>
      <x:c r="H298" s="4"/>
      <x:c r="I298" s="36" t="str">
        <x:f>IF(COUNTA(A298:C298,E298,G298:H298,J298:T298,V298:AB298)=0,"",IF(A298="","Review: missing entry ID",IF(COUNTIF($A$7:$A$506,A298)&gt;1,"Review: duplicate entry ID",IF(NOT(ISNUMBER(B298)),"Review: work date",IF(OR(C298="",E298="",K298="",M298="",H298=""),"Review: source details",IF(J298&lt;&gt;'Estimate review'!$J$5,"Review: project scope",IF(OR(NOT(ISNUMBER(N298)),N298&lt;0,O298&lt;&gt;"Complete"),"Review: duration",IF(S298&lt;&gt;"Coded","Review: coding status",IF(OR(U298="",COUNTIF('Project codes'!$A$7:$A$106,U298)=0),"Review: SOW mapping",IF(COUNTIF('Project codes'!$A$7:$A$106,U298)&gt;1,"Review: duplicate code",IF(_xlfn.XLOOKUP(U298,'Project codes'!$A$7:$A$106,'Project codes'!$F$7:$F$106,"Review",0)="Hold","Review: allocation hold",IF(OR(D298="",COUNTIF('SOW register'!$A$7:$A$36,D298)&lt;&gt;1),"Review: SOW mapping",IF(AND(G298&lt;&gt;"Yes",G298&lt;&gt;"No"),"Review: billability",IF(AB298="","Review: billing evidence","OK"))))))))))))))</x:f>
      </x:c>
      <x:c r="J298" s="24"/>
      <x:c r="K298" s="38"/>
      <x:c r="L298" s="38"/>
      <x:c r="M298" s="38"/>
      <x:c r="N298" s="39"/>
      <x:c r="O298" s="24"/>
      <x:c r="P298" s="24"/>
      <x:c r="Q298" s="38"/>
      <x:c r="R298" s="38"/>
      <x:c r="S298" s="24"/>
      <x:c r="T298" s="24"/>
      <x:c r="U298" s="37" t="str">
        <x:f>IF(OR(J298="",Q298="",R298=""),"",J298&amp;"|"&amp;Q298&amp;"|"&amp;R298)</x:f>
      </x:c>
      <x:c r="V298" s="24"/>
      <x:c r="W298" s="24"/>
      <x:c r="X298" s="40"/>
      <x:c r="Y298" s="40"/>
      <x:c r="Z298" s="39"/>
      <x:c r="AA298" s="39"/>
      <x:c r="AB298" s="24"/>
    </x:row>
    <x:row r="299" ht="23" customHeight="1">
      <x:c r="A299" s="20"/>
      <x:c r="B299" s="5"/>
      <x:c r="C299" s="4"/>
      <x:c r="D299" s="34" t="str">
        <x:f>IF(OR(A299="",U299="",COUNTIF('Project codes'!$A$7:$A$106,U299)&lt;&gt;1),"",_xlfn.XLOOKUP(U299,'Project codes'!$A$7:$A$106,'Project codes'!$I$7:$I$106,"",0))</x:f>
      </x:c>
      <x:c r="E299" s="4"/>
      <x:c r="F299" s="35" t="str">
        <x:f>IF(AND(ISNUMBER(N299),N299&gt;=0,O299="Complete"),N299/3600000,"")</x:f>
      </x:c>
      <x:c r="G299" s="4"/>
      <x:c r="H299" s="4"/>
      <x:c r="I299" s="36" t="str">
        <x:f>IF(COUNTA(A299:C299,E299,G299:H299,J299:T299,V299:AB299)=0,"",IF(A299="","Review: missing entry ID",IF(COUNTIF($A$7:$A$506,A299)&gt;1,"Review: duplicate entry ID",IF(NOT(ISNUMBER(B299)),"Review: work date",IF(OR(C299="",E299="",K299="",M299="",H299=""),"Review: source details",IF(J299&lt;&gt;'Estimate review'!$J$5,"Review: project scope",IF(OR(NOT(ISNUMBER(N299)),N299&lt;0,O299&lt;&gt;"Complete"),"Review: duration",IF(S299&lt;&gt;"Coded","Review: coding status",IF(OR(U299="",COUNTIF('Project codes'!$A$7:$A$106,U299)=0),"Review: SOW mapping",IF(COUNTIF('Project codes'!$A$7:$A$106,U299)&gt;1,"Review: duplicate code",IF(_xlfn.XLOOKUP(U299,'Project codes'!$A$7:$A$106,'Project codes'!$F$7:$F$106,"Review",0)="Hold","Review: allocation hold",IF(OR(D299="",COUNTIF('SOW register'!$A$7:$A$36,D299)&lt;&gt;1),"Review: SOW mapping",IF(AND(G299&lt;&gt;"Yes",G299&lt;&gt;"No"),"Review: billability",IF(AB299="","Review: billing evidence","OK"))))))))))))))</x:f>
      </x:c>
      <x:c r="J299" s="24"/>
      <x:c r="K299" s="38"/>
      <x:c r="L299" s="38"/>
      <x:c r="M299" s="38"/>
      <x:c r="N299" s="39"/>
      <x:c r="O299" s="24"/>
      <x:c r="P299" s="24"/>
      <x:c r="Q299" s="38"/>
      <x:c r="R299" s="38"/>
      <x:c r="S299" s="24"/>
      <x:c r="T299" s="24"/>
      <x:c r="U299" s="37" t="str">
        <x:f>IF(OR(J299="",Q299="",R299=""),"",J299&amp;"|"&amp;Q299&amp;"|"&amp;R299)</x:f>
      </x:c>
      <x:c r="V299" s="24"/>
      <x:c r="W299" s="24"/>
      <x:c r="X299" s="40"/>
      <x:c r="Y299" s="40"/>
      <x:c r="Z299" s="39"/>
      <x:c r="AA299" s="39"/>
      <x:c r="AB299" s="24"/>
    </x:row>
    <x:row r="300" ht="23" customHeight="1">
      <x:c r="A300" s="20"/>
      <x:c r="B300" s="5"/>
      <x:c r="C300" s="4"/>
      <x:c r="D300" s="34" t="str">
        <x:f>IF(OR(A300="",U300="",COUNTIF('Project codes'!$A$7:$A$106,U300)&lt;&gt;1),"",_xlfn.XLOOKUP(U300,'Project codes'!$A$7:$A$106,'Project codes'!$I$7:$I$106,"",0))</x:f>
      </x:c>
      <x:c r="E300" s="4"/>
      <x:c r="F300" s="35" t="str">
        <x:f>IF(AND(ISNUMBER(N300),N300&gt;=0,O300="Complete"),N300/3600000,"")</x:f>
      </x:c>
      <x:c r="G300" s="4"/>
      <x:c r="H300" s="4"/>
      <x:c r="I300" s="36" t="str">
        <x:f>IF(COUNTA(A300:C300,E300,G300:H300,J300:T300,V300:AB300)=0,"",IF(A300="","Review: missing entry ID",IF(COUNTIF($A$7:$A$506,A300)&gt;1,"Review: duplicate entry ID",IF(NOT(ISNUMBER(B300)),"Review: work date",IF(OR(C300="",E300="",K300="",M300="",H300=""),"Review: source details",IF(J300&lt;&gt;'Estimate review'!$J$5,"Review: project scope",IF(OR(NOT(ISNUMBER(N300)),N300&lt;0,O300&lt;&gt;"Complete"),"Review: duration",IF(S300&lt;&gt;"Coded","Review: coding status",IF(OR(U300="",COUNTIF('Project codes'!$A$7:$A$106,U300)=0),"Review: SOW mapping",IF(COUNTIF('Project codes'!$A$7:$A$106,U300)&gt;1,"Review: duplicate code",IF(_xlfn.XLOOKUP(U300,'Project codes'!$A$7:$A$106,'Project codes'!$F$7:$F$106,"Review",0)="Hold","Review: allocation hold",IF(OR(D300="",COUNTIF('SOW register'!$A$7:$A$36,D300)&lt;&gt;1),"Review: SOW mapping",IF(AND(G300&lt;&gt;"Yes",G300&lt;&gt;"No"),"Review: billability",IF(AB300="","Review: billing evidence","OK"))))))))))))))</x:f>
      </x:c>
      <x:c r="J300" s="24"/>
      <x:c r="K300" s="38"/>
      <x:c r="L300" s="38"/>
      <x:c r="M300" s="38"/>
      <x:c r="N300" s="39"/>
      <x:c r="O300" s="24"/>
      <x:c r="P300" s="24"/>
      <x:c r="Q300" s="38"/>
      <x:c r="R300" s="38"/>
      <x:c r="S300" s="24"/>
      <x:c r="T300" s="24"/>
      <x:c r="U300" s="37" t="str">
        <x:f>IF(OR(J300="",Q300="",R300=""),"",J300&amp;"|"&amp;Q300&amp;"|"&amp;R300)</x:f>
      </x:c>
      <x:c r="V300" s="24"/>
      <x:c r="W300" s="24"/>
      <x:c r="X300" s="40"/>
      <x:c r="Y300" s="40"/>
      <x:c r="Z300" s="39"/>
      <x:c r="AA300" s="39"/>
      <x:c r="AB300" s="24"/>
    </x:row>
    <x:row r="301" ht="23" customHeight="1">
      <x:c r="A301" s="20"/>
      <x:c r="B301" s="5"/>
      <x:c r="C301" s="4"/>
      <x:c r="D301" s="34" t="str">
        <x:f>IF(OR(A301="",U301="",COUNTIF('Project codes'!$A$7:$A$106,U301)&lt;&gt;1),"",_xlfn.XLOOKUP(U301,'Project codes'!$A$7:$A$106,'Project codes'!$I$7:$I$106,"",0))</x:f>
      </x:c>
      <x:c r="E301" s="4"/>
      <x:c r="F301" s="35" t="str">
        <x:f>IF(AND(ISNUMBER(N301),N301&gt;=0,O301="Complete"),N301/3600000,"")</x:f>
      </x:c>
      <x:c r="G301" s="4"/>
      <x:c r="H301" s="4"/>
      <x:c r="I301" s="36" t="str">
        <x:f>IF(COUNTA(A301:C301,E301,G301:H301,J301:T301,V301:AB301)=0,"",IF(A301="","Review: missing entry ID",IF(COUNTIF($A$7:$A$506,A301)&gt;1,"Review: duplicate entry ID",IF(NOT(ISNUMBER(B301)),"Review: work date",IF(OR(C301="",E301="",K301="",M301="",H301=""),"Review: source details",IF(J301&lt;&gt;'Estimate review'!$J$5,"Review: project scope",IF(OR(NOT(ISNUMBER(N301)),N301&lt;0,O301&lt;&gt;"Complete"),"Review: duration",IF(S301&lt;&gt;"Coded","Review: coding status",IF(OR(U301="",COUNTIF('Project codes'!$A$7:$A$106,U301)=0),"Review: SOW mapping",IF(COUNTIF('Project codes'!$A$7:$A$106,U301)&gt;1,"Review: duplicate code",IF(_xlfn.XLOOKUP(U301,'Project codes'!$A$7:$A$106,'Project codes'!$F$7:$F$106,"Review",0)="Hold","Review: allocation hold",IF(OR(D301="",COUNTIF('SOW register'!$A$7:$A$36,D301)&lt;&gt;1),"Review: SOW mapping",IF(AND(G301&lt;&gt;"Yes",G301&lt;&gt;"No"),"Review: billability",IF(AB301="","Review: billing evidence","OK"))))))))))))))</x:f>
      </x:c>
      <x:c r="J301" s="24"/>
      <x:c r="K301" s="38"/>
      <x:c r="L301" s="38"/>
      <x:c r="M301" s="38"/>
      <x:c r="N301" s="39"/>
      <x:c r="O301" s="24"/>
      <x:c r="P301" s="24"/>
      <x:c r="Q301" s="38"/>
      <x:c r="R301" s="38"/>
      <x:c r="S301" s="24"/>
      <x:c r="T301" s="24"/>
      <x:c r="U301" s="37" t="str">
        <x:f>IF(OR(J301="",Q301="",R301=""),"",J301&amp;"|"&amp;Q301&amp;"|"&amp;R301)</x:f>
      </x:c>
      <x:c r="V301" s="24"/>
      <x:c r="W301" s="24"/>
      <x:c r="X301" s="40"/>
      <x:c r="Y301" s="40"/>
      <x:c r="Z301" s="39"/>
      <x:c r="AA301" s="39"/>
      <x:c r="AB301" s="24"/>
    </x:row>
    <x:row r="302" ht="23" customHeight="1">
      <x:c r="A302" s="20"/>
      <x:c r="B302" s="5"/>
      <x:c r="C302" s="4"/>
      <x:c r="D302" s="34" t="str">
        <x:f>IF(OR(A302="",U302="",COUNTIF('Project codes'!$A$7:$A$106,U302)&lt;&gt;1),"",_xlfn.XLOOKUP(U302,'Project codes'!$A$7:$A$106,'Project codes'!$I$7:$I$106,"",0))</x:f>
      </x:c>
      <x:c r="E302" s="4"/>
      <x:c r="F302" s="35" t="str">
        <x:f>IF(AND(ISNUMBER(N302),N302&gt;=0,O302="Complete"),N302/3600000,"")</x:f>
      </x:c>
      <x:c r="G302" s="4"/>
      <x:c r="H302" s="4"/>
      <x:c r="I302" s="36" t="str">
        <x:f>IF(COUNTA(A302:C302,E302,G302:H302,J302:T302,V302:AB302)=0,"",IF(A302="","Review: missing entry ID",IF(COUNTIF($A$7:$A$506,A302)&gt;1,"Review: duplicate entry ID",IF(NOT(ISNUMBER(B302)),"Review: work date",IF(OR(C302="",E302="",K302="",M302="",H302=""),"Review: source details",IF(J302&lt;&gt;'Estimate review'!$J$5,"Review: project scope",IF(OR(NOT(ISNUMBER(N302)),N302&lt;0,O302&lt;&gt;"Complete"),"Review: duration",IF(S302&lt;&gt;"Coded","Review: coding status",IF(OR(U302="",COUNTIF('Project codes'!$A$7:$A$106,U302)=0),"Review: SOW mapping",IF(COUNTIF('Project codes'!$A$7:$A$106,U302)&gt;1,"Review: duplicate code",IF(_xlfn.XLOOKUP(U302,'Project codes'!$A$7:$A$106,'Project codes'!$F$7:$F$106,"Review",0)="Hold","Review: allocation hold",IF(OR(D302="",COUNTIF('SOW register'!$A$7:$A$36,D302)&lt;&gt;1),"Review: SOW mapping",IF(AND(G302&lt;&gt;"Yes",G302&lt;&gt;"No"),"Review: billability",IF(AB302="","Review: billing evidence","OK"))))))))))))))</x:f>
      </x:c>
      <x:c r="J302" s="24"/>
      <x:c r="K302" s="38"/>
      <x:c r="L302" s="38"/>
      <x:c r="M302" s="38"/>
      <x:c r="N302" s="39"/>
      <x:c r="O302" s="24"/>
      <x:c r="P302" s="24"/>
      <x:c r="Q302" s="38"/>
      <x:c r="R302" s="38"/>
      <x:c r="S302" s="24"/>
      <x:c r="T302" s="24"/>
      <x:c r="U302" s="37" t="str">
        <x:f>IF(OR(J302="",Q302="",R302=""),"",J302&amp;"|"&amp;Q302&amp;"|"&amp;R302)</x:f>
      </x:c>
      <x:c r="V302" s="24"/>
      <x:c r="W302" s="24"/>
      <x:c r="X302" s="40"/>
      <x:c r="Y302" s="40"/>
      <x:c r="Z302" s="39"/>
      <x:c r="AA302" s="39"/>
      <x:c r="AB302" s="24"/>
    </x:row>
    <x:row r="303" ht="23" customHeight="1">
      <x:c r="A303" s="20"/>
      <x:c r="B303" s="5"/>
      <x:c r="C303" s="4"/>
      <x:c r="D303" s="34" t="str">
        <x:f>IF(OR(A303="",U303="",COUNTIF('Project codes'!$A$7:$A$106,U303)&lt;&gt;1),"",_xlfn.XLOOKUP(U303,'Project codes'!$A$7:$A$106,'Project codes'!$I$7:$I$106,"",0))</x:f>
      </x:c>
      <x:c r="E303" s="4"/>
      <x:c r="F303" s="35" t="str">
        <x:f>IF(AND(ISNUMBER(N303),N303&gt;=0,O303="Complete"),N303/3600000,"")</x:f>
      </x:c>
      <x:c r="G303" s="4"/>
      <x:c r="H303" s="4"/>
      <x:c r="I303" s="36" t="str">
        <x:f>IF(COUNTA(A303:C303,E303,G303:H303,J303:T303,V303:AB303)=0,"",IF(A303="","Review: missing entry ID",IF(COUNTIF($A$7:$A$506,A303)&gt;1,"Review: duplicate entry ID",IF(NOT(ISNUMBER(B303)),"Review: work date",IF(OR(C303="",E303="",K303="",M303="",H303=""),"Review: source details",IF(J303&lt;&gt;'Estimate review'!$J$5,"Review: project scope",IF(OR(NOT(ISNUMBER(N303)),N303&lt;0,O303&lt;&gt;"Complete"),"Review: duration",IF(S303&lt;&gt;"Coded","Review: coding status",IF(OR(U303="",COUNTIF('Project codes'!$A$7:$A$106,U303)=0),"Review: SOW mapping",IF(COUNTIF('Project codes'!$A$7:$A$106,U303)&gt;1,"Review: duplicate code",IF(_xlfn.XLOOKUP(U303,'Project codes'!$A$7:$A$106,'Project codes'!$F$7:$F$106,"Review",0)="Hold","Review: allocation hold",IF(OR(D303="",COUNTIF('SOW register'!$A$7:$A$36,D303)&lt;&gt;1),"Review: SOW mapping",IF(AND(G303&lt;&gt;"Yes",G303&lt;&gt;"No"),"Review: billability",IF(AB303="","Review: billing evidence","OK"))))))))))))))</x:f>
      </x:c>
      <x:c r="J303" s="24"/>
      <x:c r="K303" s="38"/>
      <x:c r="L303" s="38"/>
      <x:c r="M303" s="38"/>
      <x:c r="N303" s="39"/>
      <x:c r="O303" s="24"/>
      <x:c r="P303" s="24"/>
      <x:c r="Q303" s="38"/>
      <x:c r="R303" s="38"/>
      <x:c r="S303" s="24"/>
      <x:c r="T303" s="24"/>
      <x:c r="U303" s="37" t="str">
        <x:f>IF(OR(J303="",Q303="",R303=""),"",J303&amp;"|"&amp;Q303&amp;"|"&amp;R303)</x:f>
      </x:c>
      <x:c r="V303" s="24"/>
      <x:c r="W303" s="24"/>
      <x:c r="X303" s="40"/>
      <x:c r="Y303" s="40"/>
      <x:c r="Z303" s="39"/>
      <x:c r="AA303" s="39"/>
      <x:c r="AB303" s="24"/>
    </x:row>
    <x:row r="304" ht="23" customHeight="1">
      <x:c r="A304" s="20"/>
      <x:c r="B304" s="5"/>
      <x:c r="C304" s="4"/>
      <x:c r="D304" s="34" t="str">
        <x:f>IF(OR(A304="",U304="",COUNTIF('Project codes'!$A$7:$A$106,U304)&lt;&gt;1),"",_xlfn.XLOOKUP(U304,'Project codes'!$A$7:$A$106,'Project codes'!$I$7:$I$106,"",0))</x:f>
      </x:c>
      <x:c r="E304" s="4"/>
      <x:c r="F304" s="35" t="str">
        <x:f>IF(AND(ISNUMBER(N304),N304&gt;=0,O304="Complete"),N304/3600000,"")</x:f>
      </x:c>
      <x:c r="G304" s="4"/>
      <x:c r="H304" s="4"/>
      <x:c r="I304" s="36" t="str">
        <x:f>IF(COUNTA(A304:C304,E304,G304:H304,J304:T304,V304:AB304)=0,"",IF(A304="","Review: missing entry ID",IF(COUNTIF($A$7:$A$506,A304)&gt;1,"Review: duplicate entry ID",IF(NOT(ISNUMBER(B304)),"Review: work date",IF(OR(C304="",E304="",K304="",M304="",H304=""),"Review: source details",IF(J304&lt;&gt;'Estimate review'!$J$5,"Review: project scope",IF(OR(NOT(ISNUMBER(N304)),N304&lt;0,O304&lt;&gt;"Complete"),"Review: duration",IF(S304&lt;&gt;"Coded","Review: coding status",IF(OR(U304="",COUNTIF('Project codes'!$A$7:$A$106,U304)=0),"Review: SOW mapping",IF(COUNTIF('Project codes'!$A$7:$A$106,U304)&gt;1,"Review: duplicate code",IF(_xlfn.XLOOKUP(U304,'Project codes'!$A$7:$A$106,'Project codes'!$F$7:$F$106,"Review",0)="Hold","Review: allocation hold",IF(OR(D304="",COUNTIF('SOW register'!$A$7:$A$36,D304)&lt;&gt;1),"Review: SOW mapping",IF(AND(G304&lt;&gt;"Yes",G304&lt;&gt;"No"),"Review: billability",IF(AB304="","Review: billing evidence","OK"))))))))))))))</x:f>
      </x:c>
      <x:c r="J304" s="24"/>
      <x:c r="K304" s="38"/>
      <x:c r="L304" s="38"/>
      <x:c r="M304" s="38"/>
      <x:c r="N304" s="39"/>
      <x:c r="O304" s="24"/>
      <x:c r="P304" s="24"/>
      <x:c r="Q304" s="38"/>
      <x:c r="R304" s="38"/>
      <x:c r="S304" s="24"/>
      <x:c r="T304" s="24"/>
      <x:c r="U304" s="37" t="str">
        <x:f>IF(OR(J304="",Q304="",R304=""),"",J304&amp;"|"&amp;Q304&amp;"|"&amp;R304)</x:f>
      </x:c>
      <x:c r="V304" s="24"/>
      <x:c r="W304" s="24"/>
      <x:c r="X304" s="40"/>
      <x:c r="Y304" s="40"/>
      <x:c r="Z304" s="39"/>
      <x:c r="AA304" s="39"/>
      <x:c r="AB304" s="24"/>
    </x:row>
    <x:row r="305" ht="23" customHeight="1">
      <x:c r="A305" s="20"/>
      <x:c r="B305" s="5"/>
      <x:c r="C305" s="4"/>
      <x:c r="D305" s="34" t="str">
        <x:f>IF(OR(A305="",U305="",COUNTIF('Project codes'!$A$7:$A$106,U305)&lt;&gt;1),"",_xlfn.XLOOKUP(U305,'Project codes'!$A$7:$A$106,'Project codes'!$I$7:$I$106,"",0))</x:f>
      </x:c>
      <x:c r="E305" s="4"/>
      <x:c r="F305" s="35" t="str">
        <x:f>IF(AND(ISNUMBER(N305),N305&gt;=0,O305="Complete"),N305/3600000,"")</x:f>
      </x:c>
      <x:c r="G305" s="4"/>
      <x:c r="H305" s="4"/>
      <x:c r="I305" s="36" t="str">
        <x:f>IF(COUNTA(A305:C305,E305,G305:H305,J305:T305,V305:AB305)=0,"",IF(A305="","Review: missing entry ID",IF(COUNTIF($A$7:$A$506,A305)&gt;1,"Review: duplicate entry ID",IF(NOT(ISNUMBER(B305)),"Review: work date",IF(OR(C305="",E305="",K305="",M305="",H305=""),"Review: source details",IF(J305&lt;&gt;'Estimate review'!$J$5,"Review: project scope",IF(OR(NOT(ISNUMBER(N305)),N305&lt;0,O305&lt;&gt;"Complete"),"Review: duration",IF(S305&lt;&gt;"Coded","Review: coding status",IF(OR(U305="",COUNTIF('Project codes'!$A$7:$A$106,U305)=0),"Review: SOW mapping",IF(COUNTIF('Project codes'!$A$7:$A$106,U305)&gt;1,"Review: duplicate code",IF(_xlfn.XLOOKUP(U305,'Project codes'!$A$7:$A$106,'Project codes'!$F$7:$F$106,"Review",0)="Hold","Review: allocation hold",IF(OR(D305="",COUNTIF('SOW register'!$A$7:$A$36,D305)&lt;&gt;1),"Review: SOW mapping",IF(AND(G305&lt;&gt;"Yes",G305&lt;&gt;"No"),"Review: billability",IF(AB305="","Review: billing evidence","OK"))))))))))))))</x:f>
      </x:c>
      <x:c r="J305" s="24"/>
      <x:c r="K305" s="38"/>
      <x:c r="L305" s="38"/>
      <x:c r="M305" s="38"/>
      <x:c r="N305" s="39"/>
      <x:c r="O305" s="24"/>
      <x:c r="P305" s="24"/>
      <x:c r="Q305" s="38"/>
      <x:c r="R305" s="38"/>
      <x:c r="S305" s="24"/>
      <x:c r="T305" s="24"/>
      <x:c r="U305" s="37" t="str">
        <x:f>IF(OR(J305="",Q305="",R305=""),"",J305&amp;"|"&amp;Q305&amp;"|"&amp;R305)</x:f>
      </x:c>
      <x:c r="V305" s="24"/>
      <x:c r="W305" s="24"/>
      <x:c r="X305" s="40"/>
      <x:c r="Y305" s="40"/>
      <x:c r="Z305" s="39"/>
      <x:c r="AA305" s="39"/>
      <x:c r="AB305" s="24"/>
    </x:row>
    <x:row r="306" ht="23" customHeight="1">
      <x:c r="A306" s="20"/>
      <x:c r="B306" s="5"/>
      <x:c r="C306" s="4"/>
      <x:c r="D306" s="34" t="str">
        <x:f>IF(OR(A306="",U306="",COUNTIF('Project codes'!$A$7:$A$106,U306)&lt;&gt;1),"",_xlfn.XLOOKUP(U306,'Project codes'!$A$7:$A$106,'Project codes'!$I$7:$I$106,"",0))</x:f>
      </x:c>
      <x:c r="E306" s="4"/>
      <x:c r="F306" s="35" t="str">
        <x:f>IF(AND(ISNUMBER(N306),N306&gt;=0,O306="Complete"),N306/3600000,"")</x:f>
      </x:c>
      <x:c r="G306" s="4"/>
      <x:c r="H306" s="4"/>
      <x:c r="I306" s="36" t="str">
        <x:f>IF(COUNTA(A306:C306,E306,G306:H306,J306:T306,V306:AB306)=0,"",IF(A306="","Review: missing entry ID",IF(COUNTIF($A$7:$A$506,A306)&gt;1,"Review: duplicate entry ID",IF(NOT(ISNUMBER(B306)),"Review: work date",IF(OR(C306="",E306="",K306="",M306="",H306=""),"Review: source details",IF(J306&lt;&gt;'Estimate review'!$J$5,"Review: project scope",IF(OR(NOT(ISNUMBER(N306)),N306&lt;0,O306&lt;&gt;"Complete"),"Review: duration",IF(S306&lt;&gt;"Coded","Review: coding status",IF(OR(U306="",COUNTIF('Project codes'!$A$7:$A$106,U306)=0),"Review: SOW mapping",IF(COUNTIF('Project codes'!$A$7:$A$106,U306)&gt;1,"Review: duplicate code",IF(_xlfn.XLOOKUP(U306,'Project codes'!$A$7:$A$106,'Project codes'!$F$7:$F$106,"Review",0)="Hold","Review: allocation hold",IF(OR(D306="",COUNTIF('SOW register'!$A$7:$A$36,D306)&lt;&gt;1),"Review: SOW mapping",IF(AND(G306&lt;&gt;"Yes",G306&lt;&gt;"No"),"Review: billability",IF(AB306="","Review: billing evidence","OK"))))))))))))))</x:f>
      </x:c>
      <x:c r="J306" s="24"/>
      <x:c r="K306" s="38"/>
      <x:c r="L306" s="38"/>
      <x:c r="M306" s="38"/>
      <x:c r="N306" s="39"/>
      <x:c r="O306" s="24"/>
      <x:c r="P306" s="24"/>
      <x:c r="Q306" s="38"/>
      <x:c r="R306" s="38"/>
      <x:c r="S306" s="24"/>
      <x:c r="T306" s="24"/>
      <x:c r="U306" s="37" t="str">
        <x:f>IF(OR(J306="",Q306="",R306=""),"",J306&amp;"|"&amp;Q306&amp;"|"&amp;R306)</x:f>
      </x:c>
      <x:c r="V306" s="24"/>
      <x:c r="W306" s="24"/>
      <x:c r="X306" s="40"/>
      <x:c r="Y306" s="40"/>
      <x:c r="Z306" s="39"/>
      <x:c r="AA306" s="39"/>
      <x:c r="AB306" s="24"/>
    </x:row>
    <x:row r="307" ht="23" customHeight="1">
      <x:c r="A307" s="20"/>
      <x:c r="B307" s="5"/>
      <x:c r="C307" s="4"/>
      <x:c r="D307" s="34" t="str">
        <x:f>IF(OR(A307="",U307="",COUNTIF('Project codes'!$A$7:$A$106,U307)&lt;&gt;1),"",_xlfn.XLOOKUP(U307,'Project codes'!$A$7:$A$106,'Project codes'!$I$7:$I$106,"",0))</x:f>
      </x:c>
      <x:c r="E307" s="4"/>
      <x:c r="F307" s="35" t="str">
        <x:f>IF(AND(ISNUMBER(N307),N307&gt;=0,O307="Complete"),N307/3600000,"")</x:f>
      </x:c>
      <x:c r="G307" s="4"/>
      <x:c r="H307" s="4"/>
      <x:c r="I307" s="36" t="str">
        <x:f>IF(COUNTA(A307:C307,E307,G307:H307,J307:T307,V307:AB307)=0,"",IF(A307="","Review: missing entry ID",IF(COUNTIF($A$7:$A$506,A307)&gt;1,"Review: duplicate entry ID",IF(NOT(ISNUMBER(B307)),"Review: work date",IF(OR(C307="",E307="",K307="",M307="",H307=""),"Review: source details",IF(J307&lt;&gt;'Estimate review'!$J$5,"Review: project scope",IF(OR(NOT(ISNUMBER(N307)),N307&lt;0,O307&lt;&gt;"Complete"),"Review: duration",IF(S307&lt;&gt;"Coded","Review: coding status",IF(OR(U307="",COUNTIF('Project codes'!$A$7:$A$106,U307)=0),"Review: SOW mapping",IF(COUNTIF('Project codes'!$A$7:$A$106,U307)&gt;1,"Review: duplicate code",IF(_xlfn.XLOOKUP(U307,'Project codes'!$A$7:$A$106,'Project codes'!$F$7:$F$106,"Review",0)="Hold","Review: allocation hold",IF(OR(D307="",COUNTIF('SOW register'!$A$7:$A$36,D307)&lt;&gt;1),"Review: SOW mapping",IF(AND(G307&lt;&gt;"Yes",G307&lt;&gt;"No"),"Review: billability",IF(AB307="","Review: billing evidence","OK"))))))))))))))</x:f>
      </x:c>
      <x:c r="J307" s="24"/>
      <x:c r="K307" s="38"/>
      <x:c r="L307" s="38"/>
      <x:c r="M307" s="38"/>
      <x:c r="N307" s="39"/>
      <x:c r="O307" s="24"/>
      <x:c r="P307" s="24"/>
      <x:c r="Q307" s="38"/>
      <x:c r="R307" s="38"/>
      <x:c r="S307" s="24"/>
      <x:c r="T307" s="24"/>
      <x:c r="U307" s="37" t="str">
        <x:f>IF(OR(J307="",Q307="",R307=""),"",J307&amp;"|"&amp;Q307&amp;"|"&amp;R307)</x:f>
      </x:c>
      <x:c r="V307" s="24"/>
      <x:c r="W307" s="24"/>
      <x:c r="X307" s="40"/>
      <x:c r="Y307" s="40"/>
      <x:c r="Z307" s="39"/>
      <x:c r="AA307" s="39"/>
      <x:c r="AB307" s="24"/>
    </x:row>
    <x:row r="308" ht="23" customHeight="1">
      <x:c r="A308" s="20"/>
      <x:c r="B308" s="5"/>
      <x:c r="C308" s="4"/>
      <x:c r="D308" s="34" t="str">
        <x:f>IF(OR(A308="",U308="",COUNTIF('Project codes'!$A$7:$A$106,U308)&lt;&gt;1),"",_xlfn.XLOOKUP(U308,'Project codes'!$A$7:$A$106,'Project codes'!$I$7:$I$106,"",0))</x:f>
      </x:c>
      <x:c r="E308" s="4"/>
      <x:c r="F308" s="35" t="str">
        <x:f>IF(AND(ISNUMBER(N308),N308&gt;=0,O308="Complete"),N308/3600000,"")</x:f>
      </x:c>
      <x:c r="G308" s="4"/>
      <x:c r="H308" s="4"/>
      <x:c r="I308" s="36" t="str">
        <x:f>IF(COUNTA(A308:C308,E308,G308:H308,J308:T308,V308:AB308)=0,"",IF(A308="","Review: missing entry ID",IF(COUNTIF($A$7:$A$506,A308)&gt;1,"Review: duplicate entry ID",IF(NOT(ISNUMBER(B308)),"Review: work date",IF(OR(C308="",E308="",K308="",M308="",H308=""),"Review: source details",IF(J308&lt;&gt;'Estimate review'!$J$5,"Review: project scope",IF(OR(NOT(ISNUMBER(N308)),N308&lt;0,O308&lt;&gt;"Complete"),"Review: duration",IF(S308&lt;&gt;"Coded","Review: coding status",IF(OR(U308="",COUNTIF('Project codes'!$A$7:$A$106,U308)=0),"Review: SOW mapping",IF(COUNTIF('Project codes'!$A$7:$A$106,U308)&gt;1,"Review: duplicate code",IF(_xlfn.XLOOKUP(U308,'Project codes'!$A$7:$A$106,'Project codes'!$F$7:$F$106,"Review",0)="Hold","Review: allocation hold",IF(OR(D308="",COUNTIF('SOW register'!$A$7:$A$36,D308)&lt;&gt;1),"Review: SOW mapping",IF(AND(G308&lt;&gt;"Yes",G308&lt;&gt;"No"),"Review: billability",IF(AB308="","Review: billing evidence","OK"))))))))))))))</x:f>
      </x:c>
      <x:c r="J308" s="24"/>
      <x:c r="K308" s="38"/>
      <x:c r="L308" s="38"/>
      <x:c r="M308" s="38"/>
      <x:c r="N308" s="39"/>
      <x:c r="O308" s="24"/>
      <x:c r="P308" s="24"/>
      <x:c r="Q308" s="38"/>
      <x:c r="R308" s="38"/>
      <x:c r="S308" s="24"/>
      <x:c r="T308" s="24"/>
      <x:c r="U308" s="37" t="str">
        <x:f>IF(OR(J308="",Q308="",R308=""),"",J308&amp;"|"&amp;Q308&amp;"|"&amp;R308)</x:f>
      </x:c>
      <x:c r="V308" s="24"/>
      <x:c r="W308" s="24"/>
      <x:c r="X308" s="40"/>
      <x:c r="Y308" s="40"/>
      <x:c r="Z308" s="39"/>
      <x:c r="AA308" s="39"/>
      <x:c r="AB308" s="24"/>
    </x:row>
    <x:row r="309" ht="23" customHeight="1">
      <x:c r="A309" s="20"/>
      <x:c r="B309" s="5"/>
      <x:c r="C309" s="4"/>
      <x:c r="D309" s="34" t="str">
        <x:f>IF(OR(A309="",U309="",COUNTIF('Project codes'!$A$7:$A$106,U309)&lt;&gt;1),"",_xlfn.XLOOKUP(U309,'Project codes'!$A$7:$A$106,'Project codes'!$I$7:$I$106,"",0))</x:f>
      </x:c>
      <x:c r="E309" s="4"/>
      <x:c r="F309" s="35" t="str">
        <x:f>IF(AND(ISNUMBER(N309),N309&gt;=0,O309="Complete"),N309/3600000,"")</x:f>
      </x:c>
      <x:c r="G309" s="4"/>
      <x:c r="H309" s="4"/>
      <x:c r="I309" s="36" t="str">
        <x:f>IF(COUNTA(A309:C309,E309,G309:H309,J309:T309,V309:AB309)=0,"",IF(A309="","Review: missing entry ID",IF(COUNTIF($A$7:$A$506,A309)&gt;1,"Review: duplicate entry ID",IF(NOT(ISNUMBER(B309)),"Review: work date",IF(OR(C309="",E309="",K309="",M309="",H309=""),"Review: source details",IF(J309&lt;&gt;'Estimate review'!$J$5,"Review: project scope",IF(OR(NOT(ISNUMBER(N309)),N309&lt;0,O309&lt;&gt;"Complete"),"Review: duration",IF(S309&lt;&gt;"Coded","Review: coding status",IF(OR(U309="",COUNTIF('Project codes'!$A$7:$A$106,U309)=0),"Review: SOW mapping",IF(COUNTIF('Project codes'!$A$7:$A$106,U309)&gt;1,"Review: duplicate code",IF(_xlfn.XLOOKUP(U309,'Project codes'!$A$7:$A$106,'Project codes'!$F$7:$F$106,"Review",0)="Hold","Review: allocation hold",IF(OR(D309="",COUNTIF('SOW register'!$A$7:$A$36,D309)&lt;&gt;1),"Review: SOW mapping",IF(AND(G309&lt;&gt;"Yes",G309&lt;&gt;"No"),"Review: billability",IF(AB309="","Review: billing evidence","OK"))))))))))))))</x:f>
      </x:c>
      <x:c r="J309" s="24"/>
      <x:c r="K309" s="38"/>
      <x:c r="L309" s="38"/>
      <x:c r="M309" s="38"/>
      <x:c r="N309" s="39"/>
      <x:c r="O309" s="24"/>
      <x:c r="P309" s="24"/>
      <x:c r="Q309" s="38"/>
      <x:c r="R309" s="38"/>
      <x:c r="S309" s="24"/>
      <x:c r="T309" s="24"/>
      <x:c r="U309" s="37" t="str">
        <x:f>IF(OR(J309="",Q309="",R309=""),"",J309&amp;"|"&amp;Q309&amp;"|"&amp;R309)</x:f>
      </x:c>
      <x:c r="V309" s="24"/>
      <x:c r="W309" s="24"/>
      <x:c r="X309" s="40"/>
      <x:c r="Y309" s="40"/>
      <x:c r="Z309" s="39"/>
      <x:c r="AA309" s="39"/>
      <x:c r="AB309" s="24"/>
    </x:row>
    <x:row r="310" ht="23" customHeight="1">
      <x:c r="A310" s="20"/>
      <x:c r="B310" s="5"/>
      <x:c r="C310" s="4"/>
      <x:c r="D310" s="34" t="str">
        <x:f>IF(OR(A310="",U310="",COUNTIF('Project codes'!$A$7:$A$106,U310)&lt;&gt;1),"",_xlfn.XLOOKUP(U310,'Project codes'!$A$7:$A$106,'Project codes'!$I$7:$I$106,"",0))</x:f>
      </x:c>
      <x:c r="E310" s="4"/>
      <x:c r="F310" s="35" t="str">
        <x:f>IF(AND(ISNUMBER(N310),N310&gt;=0,O310="Complete"),N310/3600000,"")</x:f>
      </x:c>
      <x:c r="G310" s="4"/>
      <x:c r="H310" s="4"/>
      <x:c r="I310" s="36" t="str">
        <x:f>IF(COUNTA(A310:C310,E310,G310:H310,J310:T310,V310:AB310)=0,"",IF(A310="","Review: missing entry ID",IF(COUNTIF($A$7:$A$506,A310)&gt;1,"Review: duplicate entry ID",IF(NOT(ISNUMBER(B310)),"Review: work date",IF(OR(C310="",E310="",K310="",M310="",H310=""),"Review: source details",IF(J310&lt;&gt;'Estimate review'!$J$5,"Review: project scope",IF(OR(NOT(ISNUMBER(N310)),N310&lt;0,O310&lt;&gt;"Complete"),"Review: duration",IF(S310&lt;&gt;"Coded","Review: coding status",IF(OR(U310="",COUNTIF('Project codes'!$A$7:$A$106,U310)=0),"Review: SOW mapping",IF(COUNTIF('Project codes'!$A$7:$A$106,U310)&gt;1,"Review: duplicate code",IF(_xlfn.XLOOKUP(U310,'Project codes'!$A$7:$A$106,'Project codes'!$F$7:$F$106,"Review",0)="Hold","Review: allocation hold",IF(OR(D310="",COUNTIF('SOW register'!$A$7:$A$36,D310)&lt;&gt;1),"Review: SOW mapping",IF(AND(G310&lt;&gt;"Yes",G310&lt;&gt;"No"),"Review: billability",IF(AB310="","Review: billing evidence","OK"))))))))))))))</x:f>
      </x:c>
      <x:c r="J310" s="24"/>
      <x:c r="K310" s="38"/>
      <x:c r="L310" s="38"/>
      <x:c r="M310" s="38"/>
      <x:c r="N310" s="39"/>
      <x:c r="O310" s="24"/>
      <x:c r="P310" s="24"/>
      <x:c r="Q310" s="38"/>
      <x:c r="R310" s="38"/>
      <x:c r="S310" s="24"/>
      <x:c r="T310" s="24"/>
      <x:c r="U310" s="37" t="str">
        <x:f>IF(OR(J310="",Q310="",R310=""),"",J310&amp;"|"&amp;Q310&amp;"|"&amp;R310)</x:f>
      </x:c>
      <x:c r="V310" s="24"/>
      <x:c r="W310" s="24"/>
      <x:c r="X310" s="40"/>
      <x:c r="Y310" s="40"/>
      <x:c r="Z310" s="39"/>
      <x:c r="AA310" s="39"/>
      <x:c r="AB310" s="24"/>
    </x:row>
    <x:row r="311" ht="23" customHeight="1">
      <x:c r="A311" s="20"/>
      <x:c r="B311" s="5"/>
      <x:c r="C311" s="4"/>
      <x:c r="D311" s="34" t="str">
        <x:f>IF(OR(A311="",U311="",COUNTIF('Project codes'!$A$7:$A$106,U311)&lt;&gt;1),"",_xlfn.XLOOKUP(U311,'Project codes'!$A$7:$A$106,'Project codes'!$I$7:$I$106,"",0))</x:f>
      </x:c>
      <x:c r="E311" s="4"/>
      <x:c r="F311" s="35" t="str">
        <x:f>IF(AND(ISNUMBER(N311),N311&gt;=0,O311="Complete"),N311/3600000,"")</x:f>
      </x:c>
      <x:c r="G311" s="4"/>
      <x:c r="H311" s="4"/>
      <x:c r="I311" s="36" t="str">
        <x:f>IF(COUNTA(A311:C311,E311,G311:H311,J311:T311,V311:AB311)=0,"",IF(A311="","Review: missing entry ID",IF(COUNTIF($A$7:$A$506,A311)&gt;1,"Review: duplicate entry ID",IF(NOT(ISNUMBER(B311)),"Review: work date",IF(OR(C311="",E311="",K311="",M311="",H311=""),"Review: source details",IF(J311&lt;&gt;'Estimate review'!$J$5,"Review: project scope",IF(OR(NOT(ISNUMBER(N311)),N311&lt;0,O311&lt;&gt;"Complete"),"Review: duration",IF(S311&lt;&gt;"Coded","Review: coding status",IF(OR(U311="",COUNTIF('Project codes'!$A$7:$A$106,U311)=0),"Review: SOW mapping",IF(COUNTIF('Project codes'!$A$7:$A$106,U311)&gt;1,"Review: duplicate code",IF(_xlfn.XLOOKUP(U311,'Project codes'!$A$7:$A$106,'Project codes'!$F$7:$F$106,"Review",0)="Hold","Review: allocation hold",IF(OR(D311="",COUNTIF('SOW register'!$A$7:$A$36,D311)&lt;&gt;1),"Review: SOW mapping",IF(AND(G311&lt;&gt;"Yes",G311&lt;&gt;"No"),"Review: billability",IF(AB311="","Review: billing evidence","OK"))))))))))))))</x:f>
      </x:c>
      <x:c r="J311" s="24"/>
      <x:c r="K311" s="38"/>
      <x:c r="L311" s="38"/>
      <x:c r="M311" s="38"/>
      <x:c r="N311" s="39"/>
      <x:c r="O311" s="24"/>
      <x:c r="P311" s="24"/>
      <x:c r="Q311" s="38"/>
      <x:c r="R311" s="38"/>
      <x:c r="S311" s="24"/>
      <x:c r="T311" s="24"/>
      <x:c r="U311" s="37" t="str">
        <x:f>IF(OR(J311="",Q311="",R311=""),"",J311&amp;"|"&amp;Q311&amp;"|"&amp;R311)</x:f>
      </x:c>
      <x:c r="V311" s="24"/>
      <x:c r="W311" s="24"/>
      <x:c r="X311" s="40"/>
      <x:c r="Y311" s="40"/>
      <x:c r="Z311" s="39"/>
      <x:c r="AA311" s="39"/>
      <x:c r="AB311" s="24"/>
    </x:row>
    <x:row r="312" ht="23" customHeight="1">
      <x:c r="A312" s="20"/>
      <x:c r="B312" s="5"/>
      <x:c r="C312" s="4"/>
      <x:c r="D312" s="34" t="str">
        <x:f>IF(OR(A312="",U312="",COUNTIF('Project codes'!$A$7:$A$106,U312)&lt;&gt;1),"",_xlfn.XLOOKUP(U312,'Project codes'!$A$7:$A$106,'Project codes'!$I$7:$I$106,"",0))</x:f>
      </x:c>
      <x:c r="E312" s="4"/>
      <x:c r="F312" s="35" t="str">
        <x:f>IF(AND(ISNUMBER(N312),N312&gt;=0,O312="Complete"),N312/3600000,"")</x:f>
      </x:c>
      <x:c r="G312" s="4"/>
      <x:c r="H312" s="4"/>
      <x:c r="I312" s="36" t="str">
        <x:f>IF(COUNTA(A312:C312,E312,G312:H312,J312:T312,V312:AB312)=0,"",IF(A312="","Review: missing entry ID",IF(COUNTIF($A$7:$A$506,A312)&gt;1,"Review: duplicate entry ID",IF(NOT(ISNUMBER(B312)),"Review: work date",IF(OR(C312="",E312="",K312="",M312="",H312=""),"Review: source details",IF(J312&lt;&gt;'Estimate review'!$J$5,"Review: project scope",IF(OR(NOT(ISNUMBER(N312)),N312&lt;0,O312&lt;&gt;"Complete"),"Review: duration",IF(S312&lt;&gt;"Coded","Review: coding status",IF(OR(U312="",COUNTIF('Project codes'!$A$7:$A$106,U312)=0),"Review: SOW mapping",IF(COUNTIF('Project codes'!$A$7:$A$106,U312)&gt;1,"Review: duplicate code",IF(_xlfn.XLOOKUP(U312,'Project codes'!$A$7:$A$106,'Project codes'!$F$7:$F$106,"Review",0)="Hold","Review: allocation hold",IF(OR(D312="",COUNTIF('SOW register'!$A$7:$A$36,D312)&lt;&gt;1),"Review: SOW mapping",IF(AND(G312&lt;&gt;"Yes",G312&lt;&gt;"No"),"Review: billability",IF(AB312="","Review: billing evidence","OK"))))))))))))))</x:f>
      </x:c>
      <x:c r="J312" s="24"/>
      <x:c r="K312" s="38"/>
      <x:c r="L312" s="38"/>
      <x:c r="M312" s="38"/>
      <x:c r="N312" s="39"/>
      <x:c r="O312" s="24"/>
      <x:c r="P312" s="24"/>
      <x:c r="Q312" s="38"/>
      <x:c r="R312" s="38"/>
      <x:c r="S312" s="24"/>
      <x:c r="T312" s="24"/>
      <x:c r="U312" s="37" t="str">
        <x:f>IF(OR(J312="",Q312="",R312=""),"",J312&amp;"|"&amp;Q312&amp;"|"&amp;R312)</x:f>
      </x:c>
      <x:c r="V312" s="24"/>
      <x:c r="W312" s="24"/>
      <x:c r="X312" s="40"/>
      <x:c r="Y312" s="40"/>
      <x:c r="Z312" s="39"/>
      <x:c r="AA312" s="39"/>
      <x:c r="AB312" s="24"/>
    </x:row>
    <x:row r="313" ht="23" customHeight="1">
      <x:c r="A313" s="20"/>
      <x:c r="B313" s="5"/>
      <x:c r="C313" s="4"/>
      <x:c r="D313" s="34" t="str">
        <x:f>IF(OR(A313="",U313="",COUNTIF('Project codes'!$A$7:$A$106,U313)&lt;&gt;1),"",_xlfn.XLOOKUP(U313,'Project codes'!$A$7:$A$106,'Project codes'!$I$7:$I$106,"",0))</x:f>
      </x:c>
      <x:c r="E313" s="4"/>
      <x:c r="F313" s="35" t="str">
        <x:f>IF(AND(ISNUMBER(N313),N313&gt;=0,O313="Complete"),N313/3600000,"")</x:f>
      </x:c>
      <x:c r="G313" s="4"/>
      <x:c r="H313" s="4"/>
      <x:c r="I313" s="36" t="str">
        <x:f>IF(COUNTA(A313:C313,E313,G313:H313,J313:T313,V313:AB313)=0,"",IF(A313="","Review: missing entry ID",IF(COUNTIF($A$7:$A$506,A313)&gt;1,"Review: duplicate entry ID",IF(NOT(ISNUMBER(B313)),"Review: work date",IF(OR(C313="",E313="",K313="",M313="",H313=""),"Review: source details",IF(J313&lt;&gt;'Estimate review'!$J$5,"Review: project scope",IF(OR(NOT(ISNUMBER(N313)),N313&lt;0,O313&lt;&gt;"Complete"),"Review: duration",IF(S313&lt;&gt;"Coded","Review: coding status",IF(OR(U313="",COUNTIF('Project codes'!$A$7:$A$106,U313)=0),"Review: SOW mapping",IF(COUNTIF('Project codes'!$A$7:$A$106,U313)&gt;1,"Review: duplicate code",IF(_xlfn.XLOOKUP(U313,'Project codes'!$A$7:$A$106,'Project codes'!$F$7:$F$106,"Review",0)="Hold","Review: allocation hold",IF(OR(D313="",COUNTIF('SOW register'!$A$7:$A$36,D313)&lt;&gt;1),"Review: SOW mapping",IF(AND(G313&lt;&gt;"Yes",G313&lt;&gt;"No"),"Review: billability",IF(AB313="","Review: billing evidence","OK"))))))))))))))</x:f>
      </x:c>
      <x:c r="J313" s="24"/>
      <x:c r="K313" s="38"/>
      <x:c r="L313" s="38"/>
      <x:c r="M313" s="38"/>
      <x:c r="N313" s="39"/>
      <x:c r="O313" s="24"/>
      <x:c r="P313" s="24"/>
      <x:c r="Q313" s="38"/>
      <x:c r="R313" s="38"/>
      <x:c r="S313" s="24"/>
      <x:c r="T313" s="24"/>
      <x:c r="U313" s="37" t="str">
        <x:f>IF(OR(J313="",Q313="",R313=""),"",J313&amp;"|"&amp;Q313&amp;"|"&amp;R313)</x:f>
      </x:c>
      <x:c r="V313" s="24"/>
      <x:c r="W313" s="24"/>
      <x:c r="X313" s="40"/>
      <x:c r="Y313" s="40"/>
      <x:c r="Z313" s="39"/>
      <x:c r="AA313" s="39"/>
      <x:c r="AB313" s="24"/>
    </x:row>
    <x:row r="314" ht="23" customHeight="1">
      <x:c r="A314" s="20"/>
      <x:c r="B314" s="5"/>
      <x:c r="C314" s="4"/>
      <x:c r="D314" s="34" t="str">
        <x:f>IF(OR(A314="",U314="",COUNTIF('Project codes'!$A$7:$A$106,U314)&lt;&gt;1),"",_xlfn.XLOOKUP(U314,'Project codes'!$A$7:$A$106,'Project codes'!$I$7:$I$106,"",0))</x:f>
      </x:c>
      <x:c r="E314" s="4"/>
      <x:c r="F314" s="35" t="str">
        <x:f>IF(AND(ISNUMBER(N314),N314&gt;=0,O314="Complete"),N314/3600000,"")</x:f>
      </x:c>
      <x:c r="G314" s="4"/>
      <x:c r="H314" s="4"/>
      <x:c r="I314" s="36" t="str">
        <x:f>IF(COUNTA(A314:C314,E314,G314:H314,J314:T314,V314:AB314)=0,"",IF(A314="","Review: missing entry ID",IF(COUNTIF($A$7:$A$506,A314)&gt;1,"Review: duplicate entry ID",IF(NOT(ISNUMBER(B314)),"Review: work date",IF(OR(C314="",E314="",K314="",M314="",H314=""),"Review: source details",IF(J314&lt;&gt;'Estimate review'!$J$5,"Review: project scope",IF(OR(NOT(ISNUMBER(N314)),N314&lt;0,O314&lt;&gt;"Complete"),"Review: duration",IF(S314&lt;&gt;"Coded","Review: coding status",IF(OR(U314="",COUNTIF('Project codes'!$A$7:$A$106,U314)=0),"Review: SOW mapping",IF(COUNTIF('Project codes'!$A$7:$A$106,U314)&gt;1,"Review: duplicate code",IF(_xlfn.XLOOKUP(U314,'Project codes'!$A$7:$A$106,'Project codes'!$F$7:$F$106,"Review",0)="Hold","Review: allocation hold",IF(OR(D314="",COUNTIF('SOW register'!$A$7:$A$36,D314)&lt;&gt;1),"Review: SOW mapping",IF(AND(G314&lt;&gt;"Yes",G314&lt;&gt;"No"),"Review: billability",IF(AB314="","Review: billing evidence","OK"))))))))))))))</x:f>
      </x:c>
      <x:c r="J314" s="24"/>
      <x:c r="K314" s="38"/>
      <x:c r="L314" s="38"/>
      <x:c r="M314" s="38"/>
      <x:c r="N314" s="39"/>
      <x:c r="O314" s="24"/>
      <x:c r="P314" s="24"/>
      <x:c r="Q314" s="38"/>
      <x:c r="R314" s="38"/>
      <x:c r="S314" s="24"/>
      <x:c r="T314" s="24"/>
      <x:c r="U314" s="37" t="str">
        <x:f>IF(OR(J314="",Q314="",R314=""),"",J314&amp;"|"&amp;Q314&amp;"|"&amp;R314)</x:f>
      </x:c>
      <x:c r="V314" s="24"/>
      <x:c r="W314" s="24"/>
      <x:c r="X314" s="40"/>
      <x:c r="Y314" s="40"/>
      <x:c r="Z314" s="39"/>
      <x:c r="AA314" s="39"/>
      <x:c r="AB314" s="24"/>
    </x:row>
    <x:row r="315" ht="23" customHeight="1">
      <x:c r="A315" s="20"/>
      <x:c r="B315" s="5"/>
      <x:c r="C315" s="4"/>
      <x:c r="D315" s="34" t="str">
        <x:f>IF(OR(A315="",U315="",COUNTIF('Project codes'!$A$7:$A$106,U315)&lt;&gt;1),"",_xlfn.XLOOKUP(U315,'Project codes'!$A$7:$A$106,'Project codes'!$I$7:$I$106,"",0))</x:f>
      </x:c>
      <x:c r="E315" s="4"/>
      <x:c r="F315" s="35" t="str">
        <x:f>IF(AND(ISNUMBER(N315),N315&gt;=0,O315="Complete"),N315/3600000,"")</x:f>
      </x:c>
      <x:c r="G315" s="4"/>
      <x:c r="H315" s="4"/>
      <x:c r="I315" s="36" t="str">
        <x:f>IF(COUNTA(A315:C315,E315,G315:H315,J315:T315,V315:AB315)=0,"",IF(A315="","Review: missing entry ID",IF(COUNTIF($A$7:$A$506,A315)&gt;1,"Review: duplicate entry ID",IF(NOT(ISNUMBER(B315)),"Review: work date",IF(OR(C315="",E315="",K315="",M315="",H315=""),"Review: source details",IF(J315&lt;&gt;'Estimate review'!$J$5,"Review: project scope",IF(OR(NOT(ISNUMBER(N315)),N315&lt;0,O315&lt;&gt;"Complete"),"Review: duration",IF(S315&lt;&gt;"Coded","Review: coding status",IF(OR(U315="",COUNTIF('Project codes'!$A$7:$A$106,U315)=0),"Review: SOW mapping",IF(COUNTIF('Project codes'!$A$7:$A$106,U315)&gt;1,"Review: duplicate code",IF(_xlfn.XLOOKUP(U315,'Project codes'!$A$7:$A$106,'Project codes'!$F$7:$F$106,"Review",0)="Hold","Review: allocation hold",IF(OR(D315="",COUNTIF('SOW register'!$A$7:$A$36,D315)&lt;&gt;1),"Review: SOW mapping",IF(AND(G315&lt;&gt;"Yes",G315&lt;&gt;"No"),"Review: billability",IF(AB315="","Review: billing evidence","OK"))))))))))))))</x:f>
      </x:c>
      <x:c r="J315" s="24"/>
      <x:c r="K315" s="38"/>
      <x:c r="L315" s="38"/>
      <x:c r="M315" s="38"/>
      <x:c r="N315" s="39"/>
      <x:c r="O315" s="24"/>
      <x:c r="P315" s="24"/>
      <x:c r="Q315" s="38"/>
      <x:c r="R315" s="38"/>
      <x:c r="S315" s="24"/>
      <x:c r="T315" s="24"/>
      <x:c r="U315" s="37" t="str">
        <x:f>IF(OR(J315="",Q315="",R315=""),"",J315&amp;"|"&amp;Q315&amp;"|"&amp;R315)</x:f>
      </x:c>
      <x:c r="V315" s="24"/>
      <x:c r="W315" s="24"/>
      <x:c r="X315" s="40"/>
      <x:c r="Y315" s="40"/>
      <x:c r="Z315" s="39"/>
      <x:c r="AA315" s="39"/>
      <x:c r="AB315" s="24"/>
    </x:row>
    <x:row r="316" ht="23" customHeight="1">
      <x:c r="A316" s="20"/>
      <x:c r="B316" s="5"/>
      <x:c r="C316" s="4"/>
      <x:c r="D316" s="34" t="str">
        <x:f>IF(OR(A316="",U316="",COUNTIF('Project codes'!$A$7:$A$106,U316)&lt;&gt;1),"",_xlfn.XLOOKUP(U316,'Project codes'!$A$7:$A$106,'Project codes'!$I$7:$I$106,"",0))</x:f>
      </x:c>
      <x:c r="E316" s="4"/>
      <x:c r="F316" s="35" t="str">
        <x:f>IF(AND(ISNUMBER(N316),N316&gt;=0,O316="Complete"),N316/3600000,"")</x:f>
      </x:c>
      <x:c r="G316" s="4"/>
      <x:c r="H316" s="4"/>
      <x:c r="I316" s="36" t="str">
        <x:f>IF(COUNTA(A316:C316,E316,G316:H316,J316:T316,V316:AB316)=0,"",IF(A316="","Review: missing entry ID",IF(COUNTIF($A$7:$A$506,A316)&gt;1,"Review: duplicate entry ID",IF(NOT(ISNUMBER(B316)),"Review: work date",IF(OR(C316="",E316="",K316="",M316="",H316=""),"Review: source details",IF(J316&lt;&gt;'Estimate review'!$J$5,"Review: project scope",IF(OR(NOT(ISNUMBER(N316)),N316&lt;0,O316&lt;&gt;"Complete"),"Review: duration",IF(S316&lt;&gt;"Coded","Review: coding status",IF(OR(U316="",COUNTIF('Project codes'!$A$7:$A$106,U316)=0),"Review: SOW mapping",IF(COUNTIF('Project codes'!$A$7:$A$106,U316)&gt;1,"Review: duplicate code",IF(_xlfn.XLOOKUP(U316,'Project codes'!$A$7:$A$106,'Project codes'!$F$7:$F$106,"Review",0)="Hold","Review: allocation hold",IF(OR(D316="",COUNTIF('SOW register'!$A$7:$A$36,D316)&lt;&gt;1),"Review: SOW mapping",IF(AND(G316&lt;&gt;"Yes",G316&lt;&gt;"No"),"Review: billability",IF(AB316="","Review: billing evidence","OK"))))))))))))))</x:f>
      </x:c>
      <x:c r="J316" s="24"/>
      <x:c r="K316" s="38"/>
      <x:c r="L316" s="38"/>
      <x:c r="M316" s="38"/>
      <x:c r="N316" s="39"/>
      <x:c r="O316" s="24"/>
      <x:c r="P316" s="24"/>
      <x:c r="Q316" s="38"/>
      <x:c r="R316" s="38"/>
      <x:c r="S316" s="24"/>
      <x:c r="T316" s="24"/>
      <x:c r="U316" s="37" t="str">
        <x:f>IF(OR(J316="",Q316="",R316=""),"",J316&amp;"|"&amp;Q316&amp;"|"&amp;R316)</x:f>
      </x:c>
      <x:c r="V316" s="24"/>
      <x:c r="W316" s="24"/>
      <x:c r="X316" s="40"/>
      <x:c r="Y316" s="40"/>
      <x:c r="Z316" s="39"/>
      <x:c r="AA316" s="39"/>
      <x:c r="AB316" s="24"/>
    </x:row>
    <x:row r="317" ht="23" customHeight="1">
      <x:c r="A317" s="20"/>
      <x:c r="B317" s="5"/>
      <x:c r="C317" s="4"/>
      <x:c r="D317" s="34" t="str">
        <x:f>IF(OR(A317="",U317="",COUNTIF('Project codes'!$A$7:$A$106,U317)&lt;&gt;1),"",_xlfn.XLOOKUP(U317,'Project codes'!$A$7:$A$106,'Project codes'!$I$7:$I$106,"",0))</x:f>
      </x:c>
      <x:c r="E317" s="4"/>
      <x:c r="F317" s="35" t="str">
        <x:f>IF(AND(ISNUMBER(N317),N317&gt;=0,O317="Complete"),N317/3600000,"")</x:f>
      </x:c>
      <x:c r="G317" s="4"/>
      <x:c r="H317" s="4"/>
      <x:c r="I317" s="36" t="str">
        <x:f>IF(COUNTA(A317:C317,E317,G317:H317,J317:T317,V317:AB317)=0,"",IF(A317="","Review: missing entry ID",IF(COUNTIF($A$7:$A$506,A317)&gt;1,"Review: duplicate entry ID",IF(NOT(ISNUMBER(B317)),"Review: work date",IF(OR(C317="",E317="",K317="",M317="",H317=""),"Review: source details",IF(J317&lt;&gt;'Estimate review'!$J$5,"Review: project scope",IF(OR(NOT(ISNUMBER(N317)),N317&lt;0,O317&lt;&gt;"Complete"),"Review: duration",IF(S317&lt;&gt;"Coded","Review: coding status",IF(OR(U317="",COUNTIF('Project codes'!$A$7:$A$106,U317)=0),"Review: SOW mapping",IF(COUNTIF('Project codes'!$A$7:$A$106,U317)&gt;1,"Review: duplicate code",IF(_xlfn.XLOOKUP(U317,'Project codes'!$A$7:$A$106,'Project codes'!$F$7:$F$106,"Review",0)="Hold","Review: allocation hold",IF(OR(D317="",COUNTIF('SOW register'!$A$7:$A$36,D317)&lt;&gt;1),"Review: SOW mapping",IF(AND(G317&lt;&gt;"Yes",G317&lt;&gt;"No"),"Review: billability",IF(AB317="","Review: billing evidence","OK"))))))))))))))</x:f>
      </x:c>
      <x:c r="J317" s="24"/>
      <x:c r="K317" s="38"/>
      <x:c r="L317" s="38"/>
      <x:c r="M317" s="38"/>
      <x:c r="N317" s="39"/>
      <x:c r="O317" s="24"/>
      <x:c r="P317" s="24"/>
      <x:c r="Q317" s="38"/>
      <x:c r="R317" s="38"/>
      <x:c r="S317" s="24"/>
      <x:c r="T317" s="24"/>
      <x:c r="U317" s="37" t="str">
        <x:f>IF(OR(J317="",Q317="",R317=""),"",J317&amp;"|"&amp;Q317&amp;"|"&amp;R317)</x:f>
      </x:c>
      <x:c r="V317" s="24"/>
      <x:c r="W317" s="24"/>
      <x:c r="X317" s="40"/>
      <x:c r="Y317" s="40"/>
      <x:c r="Z317" s="39"/>
      <x:c r="AA317" s="39"/>
      <x:c r="AB317" s="24"/>
    </x:row>
    <x:row r="318" ht="23" customHeight="1">
      <x:c r="A318" s="20"/>
      <x:c r="B318" s="5"/>
      <x:c r="C318" s="4"/>
      <x:c r="D318" s="34" t="str">
        <x:f>IF(OR(A318="",U318="",COUNTIF('Project codes'!$A$7:$A$106,U318)&lt;&gt;1),"",_xlfn.XLOOKUP(U318,'Project codes'!$A$7:$A$106,'Project codes'!$I$7:$I$106,"",0))</x:f>
      </x:c>
      <x:c r="E318" s="4"/>
      <x:c r="F318" s="35" t="str">
        <x:f>IF(AND(ISNUMBER(N318),N318&gt;=0,O318="Complete"),N318/3600000,"")</x:f>
      </x:c>
      <x:c r="G318" s="4"/>
      <x:c r="H318" s="4"/>
      <x:c r="I318" s="36" t="str">
        <x:f>IF(COUNTA(A318:C318,E318,G318:H318,J318:T318,V318:AB318)=0,"",IF(A318="","Review: missing entry ID",IF(COUNTIF($A$7:$A$506,A318)&gt;1,"Review: duplicate entry ID",IF(NOT(ISNUMBER(B318)),"Review: work date",IF(OR(C318="",E318="",K318="",M318="",H318=""),"Review: source details",IF(J318&lt;&gt;'Estimate review'!$J$5,"Review: project scope",IF(OR(NOT(ISNUMBER(N318)),N318&lt;0,O318&lt;&gt;"Complete"),"Review: duration",IF(S318&lt;&gt;"Coded","Review: coding status",IF(OR(U318="",COUNTIF('Project codes'!$A$7:$A$106,U318)=0),"Review: SOW mapping",IF(COUNTIF('Project codes'!$A$7:$A$106,U318)&gt;1,"Review: duplicate code",IF(_xlfn.XLOOKUP(U318,'Project codes'!$A$7:$A$106,'Project codes'!$F$7:$F$106,"Review",0)="Hold","Review: allocation hold",IF(OR(D318="",COUNTIF('SOW register'!$A$7:$A$36,D318)&lt;&gt;1),"Review: SOW mapping",IF(AND(G318&lt;&gt;"Yes",G318&lt;&gt;"No"),"Review: billability",IF(AB318="","Review: billing evidence","OK"))))))))))))))</x:f>
      </x:c>
      <x:c r="J318" s="24"/>
      <x:c r="K318" s="38"/>
      <x:c r="L318" s="38"/>
      <x:c r="M318" s="38"/>
      <x:c r="N318" s="39"/>
      <x:c r="O318" s="24"/>
      <x:c r="P318" s="24"/>
      <x:c r="Q318" s="38"/>
      <x:c r="R318" s="38"/>
      <x:c r="S318" s="24"/>
      <x:c r="T318" s="24"/>
      <x:c r="U318" s="37" t="str">
        <x:f>IF(OR(J318="",Q318="",R318=""),"",J318&amp;"|"&amp;Q318&amp;"|"&amp;R318)</x:f>
      </x:c>
      <x:c r="V318" s="24"/>
      <x:c r="W318" s="24"/>
      <x:c r="X318" s="40"/>
      <x:c r="Y318" s="40"/>
      <x:c r="Z318" s="39"/>
      <x:c r="AA318" s="39"/>
      <x:c r="AB318" s="24"/>
    </x:row>
    <x:row r="319" ht="23" customHeight="1">
      <x:c r="A319" s="20"/>
      <x:c r="B319" s="5"/>
      <x:c r="C319" s="4"/>
      <x:c r="D319" s="34" t="str">
        <x:f>IF(OR(A319="",U319="",COUNTIF('Project codes'!$A$7:$A$106,U319)&lt;&gt;1),"",_xlfn.XLOOKUP(U319,'Project codes'!$A$7:$A$106,'Project codes'!$I$7:$I$106,"",0))</x:f>
      </x:c>
      <x:c r="E319" s="4"/>
      <x:c r="F319" s="35" t="str">
        <x:f>IF(AND(ISNUMBER(N319),N319&gt;=0,O319="Complete"),N319/3600000,"")</x:f>
      </x:c>
      <x:c r="G319" s="4"/>
      <x:c r="H319" s="4"/>
      <x:c r="I319" s="36" t="str">
        <x:f>IF(COUNTA(A319:C319,E319,G319:H319,J319:T319,V319:AB319)=0,"",IF(A319="","Review: missing entry ID",IF(COUNTIF($A$7:$A$506,A319)&gt;1,"Review: duplicate entry ID",IF(NOT(ISNUMBER(B319)),"Review: work date",IF(OR(C319="",E319="",K319="",M319="",H319=""),"Review: source details",IF(J319&lt;&gt;'Estimate review'!$J$5,"Review: project scope",IF(OR(NOT(ISNUMBER(N319)),N319&lt;0,O319&lt;&gt;"Complete"),"Review: duration",IF(S319&lt;&gt;"Coded","Review: coding status",IF(OR(U319="",COUNTIF('Project codes'!$A$7:$A$106,U319)=0),"Review: SOW mapping",IF(COUNTIF('Project codes'!$A$7:$A$106,U319)&gt;1,"Review: duplicate code",IF(_xlfn.XLOOKUP(U319,'Project codes'!$A$7:$A$106,'Project codes'!$F$7:$F$106,"Review",0)="Hold","Review: allocation hold",IF(OR(D319="",COUNTIF('SOW register'!$A$7:$A$36,D319)&lt;&gt;1),"Review: SOW mapping",IF(AND(G319&lt;&gt;"Yes",G319&lt;&gt;"No"),"Review: billability",IF(AB319="","Review: billing evidence","OK"))))))))))))))</x:f>
      </x:c>
      <x:c r="J319" s="24"/>
      <x:c r="K319" s="38"/>
      <x:c r="L319" s="38"/>
      <x:c r="M319" s="38"/>
      <x:c r="N319" s="39"/>
      <x:c r="O319" s="24"/>
      <x:c r="P319" s="24"/>
      <x:c r="Q319" s="38"/>
      <x:c r="R319" s="38"/>
      <x:c r="S319" s="24"/>
      <x:c r="T319" s="24"/>
      <x:c r="U319" s="37" t="str">
        <x:f>IF(OR(J319="",Q319="",R319=""),"",J319&amp;"|"&amp;Q319&amp;"|"&amp;R319)</x:f>
      </x:c>
      <x:c r="V319" s="24"/>
      <x:c r="W319" s="24"/>
      <x:c r="X319" s="40"/>
      <x:c r="Y319" s="40"/>
      <x:c r="Z319" s="39"/>
      <x:c r="AA319" s="39"/>
      <x:c r="AB319" s="24"/>
    </x:row>
    <x:row r="320" ht="23" customHeight="1">
      <x:c r="A320" s="20"/>
      <x:c r="B320" s="5"/>
      <x:c r="C320" s="4"/>
      <x:c r="D320" s="34" t="str">
        <x:f>IF(OR(A320="",U320="",COUNTIF('Project codes'!$A$7:$A$106,U320)&lt;&gt;1),"",_xlfn.XLOOKUP(U320,'Project codes'!$A$7:$A$106,'Project codes'!$I$7:$I$106,"",0))</x:f>
      </x:c>
      <x:c r="E320" s="4"/>
      <x:c r="F320" s="35" t="str">
        <x:f>IF(AND(ISNUMBER(N320),N320&gt;=0,O320="Complete"),N320/3600000,"")</x:f>
      </x:c>
      <x:c r="G320" s="4"/>
      <x:c r="H320" s="4"/>
      <x:c r="I320" s="36" t="str">
        <x:f>IF(COUNTA(A320:C320,E320,G320:H320,J320:T320,V320:AB320)=0,"",IF(A320="","Review: missing entry ID",IF(COUNTIF($A$7:$A$506,A320)&gt;1,"Review: duplicate entry ID",IF(NOT(ISNUMBER(B320)),"Review: work date",IF(OR(C320="",E320="",K320="",M320="",H320=""),"Review: source details",IF(J320&lt;&gt;'Estimate review'!$J$5,"Review: project scope",IF(OR(NOT(ISNUMBER(N320)),N320&lt;0,O320&lt;&gt;"Complete"),"Review: duration",IF(S320&lt;&gt;"Coded","Review: coding status",IF(OR(U320="",COUNTIF('Project codes'!$A$7:$A$106,U320)=0),"Review: SOW mapping",IF(COUNTIF('Project codes'!$A$7:$A$106,U320)&gt;1,"Review: duplicate code",IF(_xlfn.XLOOKUP(U320,'Project codes'!$A$7:$A$106,'Project codes'!$F$7:$F$106,"Review",0)="Hold","Review: allocation hold",IF(OR(D320="",COUNTIF('SOW register'!$A$7:$A$36,D320)&lt;&gt;1),"Review: SOW mapping",IF(AND(G320&lt;&gt;"Yes",G320&lt;&gt;"No"),"Review: billability",IF(AB320="","Review: billing evidence","OK"))))))))))))))</x:f>
      </x:c>
      <x:c r="J320" s="24"/>
      <x:c r="K320" s="38"/>
      <x:c r="L320" s="38"/>
      <x:c r="M320" s="38"/>
      <x:c r="N320" s="39"/>
      <x:c r="O320" s="24"/>
      <x:c r="P320" s="24"/>
      <x:c r="Q320" s="38"/>
      <x:c r="R320" s="38"/>
      <x:c r="S320" s="24"/>
      <x:c r="T320" s="24"/>
      <x:c r="U320" s="37" t="str">
        <x:f>IF(OR(J320="",Q320="",R320=""),"",J320&amp;"|"&amp;Q320&amp;"|"&amp;R320)</x:f>
      </x:c>
      <x:c r="V320" s="24"/>
      <x:c r="W320" s="24"/>
      <x:c r="X320" s="40"/>
      <x:c r="Y320" s="40"/>
      <x:c r="Z320" s="39"/>
      <x:c r="AA320" s="39"/>
      <x:c r="AB320" s="24"/>
    </x:row>
    <x:row r="321" ht="23" customHeight="1">
      <x:c r="A321" s="20"/>
      <x:c r="B321" s="5"/>
      <x:c r="C321" s="4"/>
      <x:c r="D321" s="34" t="str">
        <x:f>IF(OR(A321="",U321="",COUNTIF('Project codes'!$A$7:$A$106,U321)&lt;&gt;1),"",_xlfn.XLOOKUP(U321,'Project codes'!$A$7:$A$106,'Project codes'!$I$7:$I$106,"",0))</x:f>
      </x:c>
      <x:c r="E321" s="4"/>
      <x:c r="F321" s="35" t="str">
        <x:f>IF(AND(ISNUMBER(N321),N321&gt;=0,O321="Complete"),N321/3600000,"")</x:f>
      </x:c>
      <x:c r="G321" s="4"/>
      <x:c r="H321" s="4"/>
      <x:c r="I321" s="36" t="str">
        <x:f>IF(COUNTA(A321:C321,E321,G321:H321,J321:T321,V321:AB321)=0,"",IF(A321="","Review: missing entry ID",IF(COUNTIF($A$7:$A$506,A321)&gt;1,"Review: duplicate entry ID",IF(NOT(ISNUMBER(B321)),"Review: work date",IF(OR(C321="",E321="",K321="",M321="",H321=""),"Review: source details",IF(J321&lt;&gt;'Estimate review'!$J$5,"Review: project scope",IF(OR(NOT(ISNUMBER(N321)),N321&lt;0,O321&lt;&gt;"Complete"),"Review: duration",IF(S321&lt;&gt;"Coded","Review: coding status",IF(OR(U321="",COUNTIF('Project codes'!$A$7:$A$106,U321)=0),"Review: SOW mapping",IF(COUNTIF('Project codes'!$A$7:$A$106,U321)&gt;1,"Review: duplicate code",IF(_xlfn.XLOOKUP(U321,'Project codes'!$A$7:$A$106,'Project codes'!$F$7:$F$106,"Review",0)="Hold","Review: allocation hold",IF(OR(D321="",COUNTIF('SOW register'!$A$7:$A$36,D321)&lt;&gt;1),"Review: SOW mapping",IF(AND(G321&lt;&gt;"Yes",G321&lt;&gt;"No"),"Review: billability",IF(AB321="","Review: billing evidence","OK"))))))))))))))</x:f>
      </x:c>
      <x:c r="J321" s="24"/>
      <x:c r="K321" s="38"/>
      <x:c r="L321" s="38"/>
      <x:c r="M321" s="38"/>
      <x:c r="N321" s="39"/>
      <x:c r="O321" s="24"/>
      <x:c r="P321" s="24"/>
      <x:c r="Q321" s="38"/>
      <x:c r="R321" s="38"/>
      <x:c r="S321" s="24"/>
      <x:c r="T321" s="24"/>
      <x:c r="U321" s="37" t="str">
        <x:f>IF(OR(J321="",Q321="",R321=""),"",J321&amp;"|"&amp;Q321&amp;"|"&amp;R321)</x:f>
      </x:c>
      <x:c r="V321" s="24"/>
      <x:c r="W321" s="24"/>
      <x:c r="X321" s="40"/>
      <x:c r="Y321" s="40"/>
      <x:c r="Z321" s="39"/>
      <x:c r="AA321" s="39"/>
      <x:c r="AB321" s="24"/>
    </x:row>
    <x:row r="322" ht="23" customHeight="1">
      <x:c r="A322" s="20"/>
      <x:c r="B322" s="5"/>
      <x:c r="C322" s="4"/>
      <x:c r="D322" s="34" t="str">
        <x:f>IF(OR(A322="",U322="",COUNTIF('Project codes'!$A$7:$A$106,U322)&lt;&gt;1),"",_xlfn.XLOOKUP(U322,'Project codes'!$A$7:$A$106,'Project codes'!$I$7:$I$106,"",0))</x:f>
      </x:c>
      <x:c r="E322" s="4"/>
      <x:c r="F322" s="35" t="str">
        <x:f>IF(AND(ISNUMBER(N322),N322&gt;=0,O322="Complete"),N322/3600000,"")</x:f>
      </x:c>
      <x:c r="G322" s="4"/>
      <x:c r="H322" s="4"/>
      <x:c r="I322" s="36" t="str">
        <x:f>IF(COUNTA(A322:C322,E322,G322:H322,J322:T322,V322:AB322)=0,"",IF(A322="","Review: missing entry ID",IF(COUNTIF($A$7:$A$506,A322)&gt;1,"Review: duplicate entry ID",IF(NOT(ISNUMBER(B322)),"Review: work date",IF(OR(C322="",E322="",K322="",M322="",H322=""),"Review: source details",IF(J322&lt;&gt;'Estimate review'!$J$5,"Review: project scope",IF(OR(NOT(ISNUMBER(N322)),N322&lt;0,O322&lt;&gt;"Complete"),"Review: duration",IF(S322&lt;&gt;"Coded","Review: coding status",IF(OR(U322="",COUNTIF('Project codes'!$A$7:$A$106,U322)=0),"Review: SOW mapping",IF(COUNTIF('Project codes'!$A$7:$A$106,U322)&gt;1,"Review: duplicate code",IF(_xlfn.XLOOKUP(U322,'Project codes'!$A$7:$A$106,'Project codes'!$F$7:$F$106,"Review",0)="Hold","Review: allocation hold",IF(OR(D322="",COUNTIF('SOW register'!$A$7:$A$36,D322)&lt;&gt;1),"Review: SOW mapping",IF(AND(G322&lt;&gt;"Yes",G322&lt;&gt;"No"),"Review: billability",IF(AB322="","Review: billing evidence","OK"))))))))))))))</x:f>
      </x:c>
      <x:c r="J322" s="24"/>
      <x:c r="K322" s="38"/>
      <x:c r="L322" s="38"/>
      <x:c r="M322" s="38"/>
      <x:c r="N322" s="39"/>
      <x:c r="O322" s="24"/>
      <x:c r="P322" s="24"/>
      <x:c r="Q322" s="38"/>
      <x:c r="R322" s="38"/>
      <x:c r="S322" s="24"/>
      <x:c r="T322" s="24"/>
      <x:c r="U322" s="37" t="str">
        <x:f>IF(OR(J322="",Q322="",R322=""),"",J322&amp;"|"&amp;Q322&amp;"|"&amp;R322)</x:f>
      </x:c>
      <x:c r="V322" s="24"/>
      <x:c r="W322" s="24"/>
      <x:c r="X322" s="40"/>
      <x:c r="Y322" s="40"/>
      <x:c r="Z322" s="39"/>
      <x:c r="AA322" s="39"/>
      <x:c r="AB322" s="24"/>
    </x:row>
    <x:row r="323" ht="23" customHeight="1">
      <x:c r="A323" s="20"/>
      <x:c r="B323" s="5"/>
      <x:c r="C323" s="4"/>
      <x:c r="D323" s="34" t="str">
        <x:f>IF(OR(A323="",U323="",COUNTIF('Project codes'!$A$7:$A$106,U323)&lt;&gt;1),"",_xlfn.XLOOKUP(U323,'Project codes'!$A$7:$A$106,'Project codes'!$I$7:$I$106,"",0))</x:f>
      </x:c>
      <x:c r="E323" s="4"/>
      <x:c r="F323" s="35" t="str">
        <x:f>IF(AND(ISNUMBER(N323),N323&gt;=0,O323="Complete"),N323/3600000,"")</x:f>
      </x:c>
      <x:c r="G323" s="4"/>
      <x:c r="H323" s="4"/>
      <x:c r="I323" s="36" t="str">
        <x:f>IF(COUNTA(A323:C323,E323,G323:H323,J323:T323,V323:AB323)=0,"",IF(A323="","Review: missing entry ID",IF(COUNTIF($A$7:$A$506,A323)&gt;1,"Review: duplicate entry ID",IF(NOT(ISNUMBER(B323)),"Review: work date",IF(OR(C323="",E323="",K323="",M323="",H323=""),"Review: source details",IF(J323&lt;&gt;'Estimate review'!$J$5,"Review: project scope",IF(OR(NOT(ISNUMBER(N323)),N323&lt;0,O323&lt;&gt;"Complete"),"Review: duration",IF(S323&lt;&gt;"Coded","Review: coding status",IF(OR(U323="",COUNTIF('Project codes'!$A$7:$A$106,U323)=0),"Review: SOW mapping",IF(COUNTIF('Project codes'!$A$7:$A$106,U323)&gt;1,"Review: duplicate code",IF(_xlfn.XLOOKUP(U323,'Project codes'!$A$7:$A$106,'Project codes'!$F$7:$F$106,"Review",0)="Hold","Review: allocation hold",IF(OR(D323="",COUNTIF('SOW register'!$A$7:$A$36,D323)&lt;&gt;1),"Review: SOW mapping",IF(AND(G323&lt;&gt;"Yes",G323&lt;&gt;"No"),"Review: billability",IF(AB323="","Review: billing evidence","OK"))))))))))))))</x:f>
      </x:c>
      <x:c r="J323" s="24"/>
      <x:c r="K323" s="38"/>
      <x:c r="L323" s="38"/>
      <x:c r="M323" s="38"/>
      <x:c r="N323" s="39"/>
      <x:c r="O323" s="24"/>
      <x:c r="P323" s="24"/>
      <x:c r="Q323" s="38"/>
      <x:c r="R323" s="38"/>
      <x:c r="S323" s="24"/>
      <x:c r="T323" s="24"/>
      <x:c r="U323" s="37" t="str">
        <x:f>IF(OR(J323="",Q323="",R323=""),"",J323&amp;"|"&amp;Q323&amp;"|"&amp;R323)</x:f>
      </x:c>
      <x:c r="V323" s="24"/>
      <x:c r="W323" s="24"/>
      <x:c r="X323" s="40"/>
      <x:c r="Y323" s="40"/>
      <x:c r="Z323" s="39"/>
      <x:c r="AA323" s="39"/>
      <x:c r="AB323" s="24"/>
    </x:row>
    <x:row r="324" ht="23" customHeight="1">
      <x:c r="A324" s="20"/>
      <x:c r="B324" s="5"/>
      <x:c r="C324" s="4"/>
      <x:c r="D324" s="34" t="str">
        <x:f>IF(OR(A324="",U324="",COUNTIF('Project codes'!$A$7:$A$106,U324)&lt;&gt;1),"",_xlfn.XLOOKUP(U324,'Project codes'!$A$7:$A$106,'Project codes'!$I$7:$I$106,"",0))</x:f>
      </x:c>
      <x:c r="E324" s="4"/>
      <x:c r="F324" s="35" t="str">
        <x:f>IF(AND(ISNUMBER(N324),N324&gt;=0,O324="Complete"),N324/3600000,"")</x:f>
      </x:c>
      <x:c r="G324" s="4"/>
      <x:c r="H324" s="4"/>
      <x:c r="I324" s="36" t="str">
        <x:f>IF(COUNTA(A324:C324,E324,G324:H324,J324:T324,V324:AB324)=0,"",IF(A324="","Review: missing entry ID",IF(COUNTIF($A$7:$A$506,A324)&gt;1,"Review: duplicate entry ID",IF(NOT(ISNUMBER(B324)),"Review: work date",IF(OR(C324="",E324="",K324="",M324="",H324=""),"Review: source details",IF(J324&lt;&gt;'Estimate review'!$J$5,"Review: project scope",IF(OR(NOT(ISNUMBER(N324)),N324&lt;0,O324&lt;&gt;"Complete"),"Review: duration",IF(S324&lt;&gt;"Coded","Review: coding status",IF(OR(U324="",COUNTIF('Project codes'!$A$7:$A$106,U324)=0),"Review: SOW mapping",IF(COUNTIF('Project codes'!$A$7:$A$106,U324)&gt;1,"Review: duplicate code",IF(_xlfn.XLOOKUP(U324,'Project codes'!$A$7:$A$106,'Project codes'!$F$7:$F$106,"Review",0)="Hold","Review: allocation hold",IF(OR(D324="",COUNTIF('SOW register'!$A$7:$A$36,D324)&lt;&gt;1),"Review: SOW mapping",IF(AND(G324&lt;&gt;"Yes",G324&lt;&gt;"No"),"Review: billability",IF(AB324="","Review: billing evidence","OK"))))))))))))))</x:f>
      </x:c>
      <x:c r="J324" s="24"/>
      <x:c r="K324" s="38"/>
      <x:c r="L324" s="38"/>
      <x:c r="M324" s="38"/>
      <x:c r="N324" s="39"/>
      <x:c r="O324" s="24"/>
      <x:c r="P324" s="24"/>
      <x:c r="Q324" s="38"/>
      <x:c r="R324" s="38"/>
      <x:c r="S324" s="24"/>
      <x:c r="T324" s="24"/>
      <x:c r="U324" s="37" t="str">
        <x:f>IF(OR(J324="",Q324="",R324=""),"",J324&amp;"|"&amp;Q324&amp;"|"&amp;R324)</x:f>
      </x:c>
      <x:c r="V324" s="24"/>
      <x:c r="W324" s="24"/>
      <x:c r="X324" s="40"/>
      <x:c r="Y324" s="40"/>
      <x:c r="Z324" s="39"/>
      <x:c r="AA324" s="39"/>
      <x:c r="AB324" s="24"/>
    </x:row>
    <x:row r="325" ht="23" customHeight="1">
      <x:c r="A325" s="20"/>
      <x:c r="B325" s="5"/>
      <x:c r="C325" s="4"/>
      <x:c r="D325" s="34" t="str">
        <x:f>IF(OR(A325="",U325="",COUNTIF('Project codes'!$A$7:$A$106,U325)&lt;&gt;1),"",_xlfn.XLOOKUP(U325,'Project codes'!$A$7:$A$106,'Project codes'!$I$7:$I$106,"",0))</x:f>
      </x:c>
      <x:c r="E325" s="4"/>
      <x:c r="F325" s="35" t="str">
        <x:f>IF(AND(ISNUMBER(N325),N325&gt;=0,O325="Complete"),N325/3600000,"")</x:f>
      </x:c>
      <x:c r="G325" s="4"/>
      <x:c r="H325" s="4"/>
      <x:c r="I325" s="36" t="str">
        <x:f>IF(COUNTA(A325:C325,E325,G325:H325,J325:T325,V325:AB325)=0,"",IF(A325="","Review: missing entry ID",IF(COUNTIF($A$7:$A$506,A325)&gt;1,"Review: duplicate entry ID",IF(NOT(ISNUMBER(B325)),"Review: work date",IF(OR(C325="",E325="",K325="",M325="",H325=""),"Review: source details",IF(J325&lt;&gt;'Estimate review'!$J$5,"Review: project scope",IF(OR(NOT(ISNUMBER(N325)),N325&lt;0,O325&lt;&gt;"Complete"),"Review: duration",IF(S325&lt;&gt;"Coded","Review: coding status",IF(OR(U325="",COUNTIF('Project codes'!$A$7:$A$106,U325)=0),"Review: SOW mapping",IF(COUNTIF('Project codes'!$A$7:$A$106,U325)&gt;1,"Review: duplicate code",IF(_xlfn.XLOOKUP(U325,'Project codes'!$A$7:$A$106,'Project codes'!$F$7:$F$106,"Review",0)="Hold","Review: allocation hold",IF(OR(D325="",COUNTIF('SOW register'!$A$7:$A$36,D325)&lt;&gt;1),"Review: SOW mapping",IF(AND(G325&lt;&gt;"Yes",G325&lt;&gt;"No"),"Review: billability",IF(AB325="","Review: billing evidence","OK"))))))))))))))</x:f>
      </x:c>
      <x:c r="J325" s="24"/>
      <x:c r="K325" s="38"/>
      <x:c r="L325" s="38"/>
      <x:c r="M325" s="38"/>
      <x:c r="N325" s="39"/>
      <x:c r="O325" s="24"/>
      <x:c r="P325" s="24"/>
      <x:c r="Q325" s="38"/>
      <x:c r="R325" s="38"/>
      <x:c r="S325" s="24"/>
      <x:c r="T325" s="24"/>
      <x:c r="U325" s="37" t="str">
        <x:f>IF(OR(J325="",Q325="",R325=""),"",J325&amp;"|"&amp;Q325&amp;"|"&amp;R325)</x:f>
      </x:c>
      <x:c r="V325" s="24"/>
      <x:c r="W325" s="24"/>
      <x:c r="X325" s="40"/>
      <x:c r="Y325" s="40"/>
      <x:c r="Z325" s="39"/>
      <x:c r="AA325" s="39"/>
      <x:c r="AB325" s="24"/>
    </x:row>
    <x:row r="326" ht="23" customHeight="1">
      <x:c r="A326" s="20"/>
      <x:c r="B326" s="5"/>
      <x:c r="C326" s="4"/>
      <x:c r="D326" s="34" t="str">
        <x:f>IF(OR(A326="",U326="",COUNTIF('Project codes'!$A$7:$A$106,U326)&lt;&gt;1),"",_xlfn.XLOOKUP(U326,'Project codes'!$A$7:$A$106,'Project codes'!$I$7:$I$106,"",0))</x:f>
      </x:c>
      <x:c r="E326" s="4"/>
      <x:c r="F326" s="35" t="str">
        <x:f>IF(AND(ISNUMBER(N326),N326&gt;=0,O326="Complete"),N326/3600000,"")</x:f>
      </x:c>
      <x:c r="G326" s="4"/>
      <x:c r="H326" s="4"/>
      <x:c r="I326" s="36" t="str">
        <x:f>IF(COUNTA(A326:C326,E326,G326:H326,J326:T326,V326:AB326)=0,"",IF(A326="","Review: missing entry ID",IF(COUNTIF($A$7:$A$506,A326)&gt;1,"Review: duplicate entry ID",IF(NOT(ISNUMBER(B326)),"Review: work date",IF(OR(C326="",E326="",K326="",M326="",H326=""),"Review: source details",IF(J326&lt;&gt;'Estimate review'!$J$5,"Review: project scope",IF(OR(NOT(ISNUMBER(N326)),N326&lt;0,O326&lt;&gt;"Complete"),"Review: duration",IF(S326&lt;&gt;"Coded","Review: coding status",IF(OR(U326="",COUNTIF('Project codes'!$A$7:$A$106,U326)=0),"Review: SOW mapping",IF(COUNTIF('Project codes'!$A$7:$A$106,U326)&gt;1,"Review: duplicate code",IF(_xlfn.XLOOKUP(U326,'Project codes'!$A$7:$A$106,'Project codes'!$F$7:$F$106,"Review",0)="Hold","Review: allocation hold",IF(OR(D326="",COUNTIF('SOW register'!$A$7:$A$36,D326)&lt;&gt;1),"Review: SOW mapping",IF(AND(G326&lt;&gt;"Yes",G326&lt;&gt;"No"),"Review: billability",IF(AB326="","Review: billing evidence","OK"))))))))))))))</x:f>
      </x:c>
      <x:c r="J326" s="24"/>
      <x:c r="K326" s="38"/>
      <x:c r="L326" s="38"/>
      <x:c r="M326" s="38"/>
      <x:c r="N326" s="39"/>
      <x:c r="O326" s="24"/>
      <x:c r="P326" s="24"/>
      <x:c r="Q326" s="38"/>
      <x:c r="R326" s="38"/>
      <x:c r="S326" s="24"/>
      <x:c r="T326" s="24"/>
      <x:c r="U326" s="37" t="str">
        <x:f>IF(OR(J326="",Q326="",R326=""),"",J326&amp;"|"&amp;Q326&amp;"|"&amp;R326)</x:f>
      </x:c>
      <x:c r="V326" s="24"/>
      <x:c r="W326" s="24"/>
      <x:c r="X326" s="40"/>
      <x:c r="Y326" s="40"/>
      <x:c r="Z326" s="39"/>
      <x:c r="AA326" s="39"/>
      <x:c r="AB326" s="24"/>
    </x:row>
    <x:row r="327" ht="23" customHeight="1">
      <x:c r="A327" s="20"/>
      <x:c r="B327" s="5"/>
      <x:c r="C327" s="4"/>
      <x:c r="D327" s="34" t="str">
        <x:f>IF(OR(A327="",U327="",COUNTIF('Project codes'!$A$7:$A$106,U327)&lt;&gt;1),"",_xlfn.XLOOKUP(U327,'Project codes'!$A$7:$A$106,'Project codes'!$I$7:$I$106,"",0))</x:f>
      </x:c>
      <x:c r="E327" s="4"/>
      <x:c r="F327" s="35" t="str">
        <x:f>IF(AND(ISNUMBER(N327),N327&gt;=0,O327="Complete"),N327/3600000,"")</x:f>
      </x:c>
      <x:c r="G327" s="4"/>
      <x:c r="H327" s="4"/>
      <x:c r="I327" s="36" t="str">
        <x:f>IF(COUNTA(A327:C327,E327,G327:H327,J327:T327,V327:AB327)=0,"",IF(A327="","Review: missing entry ID",IF(COUNTIF($A$7:$A$506,A327)&gt;1,"Review: duplicate entry ID",IF(NOT(ISNUMBER(B327)),"Review: work date",IF(OR(C327="",E327="",K327="",M327="",H327=""),"Review: source details",IF(J327&lt;&gt;'Estimate review'!$J$5,"Review: project scope",IF(OR(NOT(ISNUMBER(N327)),N327&lt;0,O327&lt;&gt;"Complete"),"Review: duration",IF(S327&lt;&gt;"Coded","Review: coding status",IF(OR(U327="",COUNTIF('Project codes'!$A$7:$A$106,U327)=0),"Review: SOW mapping",IF(COUNTIF('Project codes'!$A$7:$A$106,U327)&gt;1,"Review: duplicate code",IF(_xlfn.XLOOKUP(U327,'Project codes'!$A$7:$A$106,'Project codes'!$F$7:$F$106,"Review",0)="Hold","Review: allocation hold",IF(OR(D327="",COUNTIF('SOW register'!$A$7:$A$36,D327)&lt;&gt;1),"Review: SOW mapping",IF(AND(G327&lt;&gt;"Yes",G327&lt;&gt;"No"),"Review: billability",IF(AB327="","Review: billing evidence","OK"))))))))))))))</x:f>
      </x:c>
      <x:c r="J327" s="24"/>
      <x:c r="K327" s="38"/>
      <x:c r="L327" s="38"/>
      <x:c r="M327" s="38"/>
      <x:c r="N327" s="39"/>
      <x:c r="O327" s="24"/>
      <x:c r="P327" s="24"/>
      <x:c r="Q327" s="38"/>
      <x:c r="R327" s="38"/>
      <x:c r="S327" s="24"/>
      <x:c r="T327" s="24"/>
      <x:c r="U327" s="37" t="str">
        <x:f>IF(OR(J327="",Q327="",R327=""),"",J327&amp;"|"&amp;Q327&amp;"|"&amp;R327)</x:f>
      </x:c>
      <x:c r="V327" s="24"/>
      <x:c r="W327" s="24"/>
      <x:c r="X327" s="40"/>
      <x:c r="Y327" s="40"/>
      <x:c r="Z327" s="39"/>
      <x:c r="AA327" s="39"/>
      <x:c r="AB327" s="24"/>
    </x:row>
    <x:row r="328" ht="23" customHeight="1">
      <x:c r="A328" s="20"/>
      <x:c r="B328" s="5"/>
      <x:c r="C328" s="4"/>
      <x:c r="D328" s="34" t="str">
        <x:f>IF(OR(A328="",U328="",COUNTIF('Project codes'!$A$7:$A$106,U328)&lt;&gt;1),"",_xlfn.XLOOKUP(U328,'Project codes'!$A$7:$A$106,'Project codes'!$I$7:$I$106,"",0))</x:f>
      </x:c>
      <x:c r="E328" s="4"/>
      <x:c r="F328" s="35" t="str">
        <x:f>IF(AND(ISNUMBER(N328),N328&gt;=0,O328="Complete"),N328/3600000,"")</x:f>
      </x:c>
      <x:c r="G328" s="4"/>
      <x:c r="H328" s="4"/>
      <x:c r="I328" s="36" t="str">
        <x:f>IF(COUNTA(A328:C328,E328,G328:H328,J328:T328,V328:AB328)=0,"",IF(A328="","Review: missing entry ID",IF(COUNTIF($A$7:$A$506,A328)&gt;1,"Review: duplicate entry ID",IF(NOT(ISNUMBER(B328)),"Review: work date",IF(OR(C328="",E328="",K328="",M328="",H328=""),"Review: source details",IF(J328&lt;&gt;'Estimate review'!$J$5,"Review: project scope",IF(OR(NOT(ISNUMBER(N328)),N328&lt;0,O328&lt;&gt;"Complete"),"Review: duration",IF(S328&lt;&gt;"Coded","Review: coding status",IF(OR(U328="",COUNTIF('Project codes'!$A$7:$A$106,U328)=0),"Review: SOW mapping",IF(COUNTIF('Project codes'!$A$7:$A$106,U328)&gt;1,"Review: duplicate code",IF(_xlfn.XLOOKUP(U328,'Project codes'!$A$7:$A$106,'Project codes'!$F$7:$F$106,"Review",0)="Hold","Review: allocation hold",IF(OR(D328="",COUNTIF('SOW register'!$A$7:$A$36,D328)&lt;&gt;1),"Review: SOW mapping",IF(AND(G328&lt;&gt;"Yes",G328&lt;&gt;"No"),"Review: billability",IF(AB328="","Review: billing evidence","OK"))))))))))))))</x:f>
      </x:c>
      <x:c r="J328" s="24"/>
      <x:c r="K328" s="38"/>
      <x:c r="L328" s="38"/>
      <x:c r="M328" s="38"/>
      <x:c r="N328" s="39"/>
      <x:c r="O328" s="24"/>
      <x:c r="P328" s="24"/>
      <x:c r="Q328" s="38"/>
      <x:c r="R328" s="38"/>
      <x:c r="S328" s="24"/>
      <x:c r="T328" s="24"/>
      <x:c r="U328" s="37" t="str">
        <x:f>IF(OR(J328="",Q328="",R328=""),"",J328&amp;"|"&amp;Q328&amp;"|"&amp;R328)</x:f>
      </x:c>
      <x:c r="V328" s="24"/>
      <x:c r="W328" s="24"/>
      <x:c r="X328" s="40"/>
      <x:c r="Y328" s="40"/>
      <x:c r="Z328" s="39"/>
      <x:c r="AA328" s="39"/>
      <x:c r="AB328" s="24"/>
    </x:row>
    <x:row r="329" ht="23" customHeight="1">
      <x:c r="A329" s="20"/>
      <x:c r="B329" s="5"/>
      <x:c r="C329" s="4"/>
      <x:c r="D329" s="34" t="str">
        <x:f>IF(OR(A329="",U329="",COUNTIF('Project codes'!$A$7:$A$106,U329)&lt;&gt;1),"",_xlfn.XLOOKUP(U329,'Project codes'!$A$7:$A$106,'Project codes'!$I$7:$I$106,"",0))</x:f>
      </x:c>
      <x:c r="E329" s="4"/>
      <x:c r="F329" s="35" t="str">
        <x:f>IF(AND(ISNUMBER(N329),N329&gt;=0,O329="Complete"),N329/3600000,"")</x:f>
      </x:c>
      <x:c r="G329" s="4"/>
      <x:c r="H329" s="4"/>
      <x:c r="I329" s="36" t="str">
        <x:f>IF(COUNTA(A329:C329,E329,G329:H329,J329:T329,V329:AB329)=0,"",IF(A329="","Review: missing entry ID",IF(COUNTIF($A$7:$A$506,A329)&gt;1,"Review: duplicate entry ID",IF(NOT(ISNUMBER(B329)),"Review: work date",IF(OR(C329="",E329="",K329="",M329="",H329=""),"Review: source details",IF(J329&lt;&gt;'Estimate review'!$J$5,"Review: project scope",IF(OR(NOT(ISNUMBER(N329)),N329&lt;0,O329&lt;&gt;"Complete"),"Review: duration",IF(S329&lt;&gt;"Coded","Review: coding status",IF(OR(U329="",COUNTIF('Project codes'!$A$7:$A$106,U329)=0),"Review: SOW mapping",IF(COUNTIF('Project codes'!$A$7:$A$106,U329)&gt;1,"Review: duplicate code",IF(_xlfn.XLOOKUP(U329,'Project codes'!$A$7:$A$106,'Project codes'!$F$7:$F$106,"Review",0)="Hold","Review: allocation hold",IF(OR(D329="",COUNTIF('SOW register'!$A$7:$A$36,D329)&lt;&gt;1),"Review: SOW mapping",IF(AND(G329&lt;&gt;"Yes",G329&lt;&gt;"No"),"Review: billability",IF(AB329="","Review: billing evidence","OK"))))))))))))))</x:f>
      </x:c>
      <x:c r="J329" s="24"/>
      <x:c r="K329" s="38"/>
      <x:c r="L329" s="38"/>
      <x:c r="M329" s="38"/>
      <x:c r="N329" s="39"/>
      <x:c r="O329" s="24"/>
      <x:c r="P329" s="24"/>
      <x:c r="Q329" s="38"/>
      <x:c r="R329" s="38"/>
      <x:c r="S329" s="24"/>
      <x:c r="T329" s="24"/>
      <x:c r="U329" s="37" t="str">
        <x:f>IF(OR(J329="",Q329="",R329=""),"",J329&amp;"|"&amp;Q329&amp;"|"&amp;R329)</x:f>
      </x:c>
      <x:c r="V329" s="24"/>
      <x:c r="W329" s="24"/>
      <x:c r="X329" s="40"/>
      <x:c r="Y329" s="40"/>
      <x:c r="Z329" s="39"/>
      <x:c r="AA329" s="39"/>
      <x:c r="AB329" s="24"/>
    </x:row>
    <x:row r="330" ht="23" customHeight="1">
      <x:c r="A330" s="20"/>
      <x:c r="B330" s="5"/>
      <x:c r="C330" s="4"/>
      <x:c r="D330" s="34" t="str">
        <x:f>IF(OR(A330="",U330="",COUNTIF('Project codes'!$A$7:$A$106,U330)&lt;&gt;1),"",_xlfn.XLOOKUP(U330,'Project codes'!$A$7:$A$106,'Project codes'!$I$7:$I$106,"",0))</x:f>
      </x:c>
      <x:c r="E330" s="4"/>
      <x:c r="F330" s="35" t="str">
        <x:f>IF(AND(ISNUMBER(N330),N330&gt;=0,O330="Complete"),N330/3600000,"")</x:f>
      </x:c>
      <x:c r="G330" s="4"/>
      <x:c r="H330" s="4"/>
      <x:c r="I330" s="36" t="str">
        <x:f>IF(COUNTA(A330:C330,E330,G330:H330,J330:T330,V330:AB330)=0,"",IF(A330="","Review: missing entry ID",IF(COUNTIF($A$7:$A$506,A330)&gt;1,"Review: duplicate entry ID",IF(NOT(ISNUMBER(B330)),"Review: work date",IF(OR(C330="",E330="",K330="",M330="",H330=""),"Review: source details",IF(J330&lt;&gt;'Estimate review'!$J$5,"Review: project scope",IF(OR(NOT(ISNUMBER(N330)),N330&lt;0,O330&lt;&gt;"Complete"),"Review: duration",IF(S330&lt;&gt;"Coded","Review: coding status",IF(OR(U330="",COUNTIF('Project codes'!$A$7:$A$106,U330)=0),"Review: SOW mapping",IF(COUNTIF('Project codes'!$A$7:$A$106,U330)&gt;1,"Review: duplicate code",IF(_xlfn.XLOOKUP(U330,'Project codes'!$A$7:$A$106,'Project codes'!$F$7:$F$106,"Review",0)="Hold","Review: allocation hold",IF(OR(D330="",COUNTIF('SOW register'!$A$7:$A$36,D330)&lt;&gt;1),"Review: SOW mapping",IF(AND(G330&lt;&gt;"Yes",G330&lt;&gt;"No"),"Review: billability",IF(AB330="","Review: billing evidence","OK"))))))))))))))</x:f>
      </x:c>
      <x:c r="J330" s="24"/>
      <x:c r="K330" s="38"/>
      <x:c r="L330" s="38"/>
      <x:c r="M330" s="38"/>
      <x:c r="N330" s="39"/>
      <x:c r="O330" s="24"/>
      <x:c r="P330" s="24"/>
      <x:c r="Q330" s="38"/>
      <x:c r="R330" s="38"/>
      <x:c r="S330" s="24"/>
      <x:c r="T330" s="24"/>
      <x:c r="U330" s="37" t="str">
        <x:f>IF(OR(J330="",Q330="",R330=""),"",J330&amp;"|"&amp;Q330&amp;"|"&amp;R330)</x:f>
      </x:c>
      <x:c r="V330" s="24"/>
      <x:c r="W330" s="24"/>
      <x:c r="X330" s="40"/>
      <x:c r="Y330" s="40"/>
      <x:c r="Z330" s="39"/>
      <x:c r="AA330" s="39"/>
      <x:c r="AB330" s="24"/>
    </x:row>
    <x:row r="331" ht="23" customHeight="1">
      <x:c r="A331" s="20"/>
      <x:c r="B331" s="5"/>
      <x:c r="C331" s="4"/>
      <x:c r="D331" s="34" t="str">
        <x:f>IF(OR(A331="",U331="",COUNTIF('Project codes'!$A$7:$A$106,U331)&lt;&gt;1),"",_xlfn.XLOOKUP(U331,'Project codes'!$A$7:$A$106,'Project codes'!$I$7:$I$106,"",0))</x:f>
      </x:c>
      <x:c r="E331" s="4"/>
      <x:c r="F331" s="35" t="str">
        <x:f>IF(AND(ISNUMBER(N331),N331&gt;=0,O331="Complete"),N331/3600000,"")</x:f>
      </x:c>
      <x:c r="G331" s="4"/>
      <x:c r="H331" s="4"/>
      <x:c r="I331" s="36" t="str">
        <x:f>IF(COUNTA(A331:C331,E331,G331:H331,J331:T331,V331:AB331)=0,"",IF(A331="","Review: missing entry ID",IF(COUNTIF($A$7:$A$506,A331)&gt;1,"Review: duplicate entry ID",IF(NOT(ISNUMBER(B331)),"Review: work date",IF(OR(C331="",E331="",K331="",M331="",H331=""),"Review: source details",IF(J331&lt;&gt;'Estimate review'!$J$5,"Review: project scope",IF(OR(NOT(ISNUMBER(N331)),N331&lt;0,O331&lt;&gt;"Complete"),"Review: duration",IF(S331&lt;&gt;"Coded","Review: coding status",IF(OR(U331="",COUNTIF('Project codes'!$A$7:$A$106,U331)=0),"Review: SOW mapping",IF(COUNTIF('Project codes'!$A$7:$A$106,U331)&gt;1,"Review: duplicate code",IF(_xlfn.XLOOKUP(U331,'Project codes'!$A$7:$A$106,'Project codes'!$F$7:$F$106,"Review",0)="Hold","Review: allocation hold",IF(OR(D331="",COUNTIF('SOW register'!$A$7:$A$36,D331)&lt;&gt;1),"Review: SOW mapping",IF(AND(G331&lt;&gt;"Yes",G331&lt;&gt;"No"),"Review: billability",IF(AB331="","Review: billing evidence","OK"))))))))))))))</x:f>
      </x:c>
      <x:c r="J331" s="24"/>
      <x:c r="K331" s="38"/>
      <x:c r="L331" s="38"/>
      <x:c r="M331" s="38"/>
      <x:c r="N331" s="39"/>
      <x:c r="O331" s="24"/>
      <x:c r="P331" s="24"/>
      <x:c r="Q331" s="38"/>
      <x:c r="R331" s="38"/>
      <x:c r="S331" s="24"/>
      <x:c r="T331" s="24"/>
      <x:c r="U331" s="37" t="str">
        <x:f>IF(OR(J331="",Q331="",R331=""),"",J331&amp;"|"&amp;Q331&amp;"|"&amp;R331)</x:f>
      </x:c>
      <x:c r="V331" s="24"/>
      <x:c r="W331" s="24"/>
      <x:c r="X331" s="40"/>
      <x:c r="Y331" s="40"/>
      <x:c r="Z331" s="39"/>
      <x:c r="AA331" s="39"/>
      <x:c r="AB331" s="24"/>
    </x:row>
    <x:row r="332" ht="23" customHeight="1">
      <x:c r="A332" s="20"/>
      <x:c r="B332" s="5"/>
      <x:c r="C332" s="4"/>
      <x:c r="D332" s="34" t="str">
        <x:f>IF(OR(A332="",U332="",COUNTIF('Project codes'!$A$7:$A$106,U332)&lt;&gt;1),"",_xlfn.XLOOKUP(U332,'Project codes'!$A$7:$A$106,'Project codes'!$I$7:$I$106,"",0))</x:f>
      </x:c>
      <x:c r="E332" s="4"/>
      <x:c r="F332" s="35" t="str">
        <x:f>IF(AND(ISNUMBER(N332),N332&gt;=0,O332="Complete"),N332/3600000,"")</x:f>
      </x:c>
      <x:c r="G332" s="4"/>
      <x:c r="H332" s="4"/>
      <x:c r="I332" s="36" t="str">
        <x:f>IF(COUNTA(A332:C332,E332,G332:H332,J332:T332,V332:AB332)=0,"",IF(A332="","Review: missing entry ID",IF(COUNTIF($A$7:$A$506,A332)&gt;1,"Review: duplicate entry ID",IF(NOT(ISNUMBER(B332)),"Review: work date",IF(OR(C332="",E332="",K332="",M332="",H332=""),"Review: source details",IF(J332&lt;&gt;'Estimate review'!$J$5,"Review: project scope",IF(OR(NOT(ISNUMBER(N332)),N332&lt;0,O332&lt;&gt;"Complete"),"Review: duration",IF(S332&lt;&gt;"Coded","Review: coding status",IF(OR(U332="",COUNTIF('Project codes'!$A$7:$A$106,U332)=0),"Review: SOW mapping",IF(COUNTIF('Project codes'!$A$7:$A$106,U332)&gt;1,"Review: duplicate code",IF(_xlfn.XLOOKUP(U332,'Project codes'!$A$7:$A$106,'Project codes'!$F$7:$F$106,"Review",0)="Hold","Review: allocation hold",IF(OR(D332="",COUNTIF('SOW register'!$A$7:$A$36,D332)&lt;&gt;1),"Review: SOW mapping",IF(AND(G332&lt;&gt;"Yes",G332&lt;&gt;"No"),"Review: billability",IF(AB332="","Review: billing evidence","OK"))))))))))))))</x:f>
      </x:c>
      <x:c r="J332" s="24"/>
      <x:c r="K332" s="38"/>
      <x:c r="L332" s="38"/>
      <x:c r="M332" s="38"/>
      <x:c r="N332" s="39"/>
      <x:c r="O332" s="24"/>
      <x:c r="P332" s="24"/>
      <x:c r="Q332" s="38"/>
      <x:c r="R332" s="38"/>
      <x:c r="S332" s="24"/>
      <x:c r="T332" s="24"/>
      <x:c r="U332" s="37" t="str">
        <x:f>IF(OR(J332="",Q332="",R332=""),"",J332&amp;"|"&amp;Q332&amp;"|"&amp;R332)</x:f>
      </x:c>
      <x:c r="V332" s="24"/>
      <x:c r="W332" s="24"/>
      <x:c r="X332" s="40"/>
      <x:c r="Y332" s="40"/>
      <x:c r="Z332" s="39"/>
      <x:c r="AA332" s="39"/>
      <x:c r="AB332" s="24"/>
    </x:row>
    <x:row r="333" ht="23" customHeight="1">
      <x:c r="A333" s="20"/>
      <x:c r="B333" s="5"/>
      <x:c r="C333" s="4"/>
      <x:c r="D333" s="34" t="str">
        <x:f>IF(OR(A333="",U333="",COUNTIF('Project codes'!$A$7:$A$106,U333)&lt;&gt;1),"",_xlfn.XLOOKUP(U333,'Project codes'!$A$7:$A$106,'Project codes'!$I$7:$I$106,"",0))</x:f>
      </x:c>
      <x:c r="E333" s="4"/>
      <x:c r="F333" s="35" t="str">
        <x:f>IF(AND(ISNUMBER(N333),N333&gt;=0,O333="Complete"),N333/3600000,"")</x:f>
      </x:c>
      <x:c r="G333" s="4"/>
      <x:c r="H333" s="4"/>
      <x:c r="I333" s="36" t="str">
        <x:f>IF(COUNTA(A333:C333,E333,G333:H333,J333:T333,V333:AB333)=0,"",IF(A333="","Review: missing entry ID",IF(COUNTIF($A$7:$A$506,A333)&gt;1,"Review: duplicate entry ID",IF(NOT(ISNUMBER(B333)),"Review: work date",IF(OR(C333="",E333="",K333="",M333="",H333=""),"Review: source details",IF(J333&lt;&gt;'Estimate review'!$J$5,"Review: project scope",IF(OR(NOT(ISNUMBER(N333)),N333&lt;0,O333&lt;&gt;"Complete"),"Review: duration",IF(S333&lt;&gt;"Coded","Review: coding status",IF(OR(U333="",COUNTIF('Project codes'!$A$7:$A$106,U333)=0),"Review: SOW mapping",IF(COUNTIF('Project codes'!$A$7:$A$106,U333)&gt;1,"Review: duplicate code",IF(_xlfn.XLOOKUP(U333,'Project codes'!$A$7:$A$106,'Project codes'!$F$7:$F$106,"Review",0)="Hold","Review: allocation hold",IF(OR(D333="",COUNTIF('SOW register'!$A$7:$A$36,D333)&lt;&gt;1),"Review: SOW mapping",IF(AND(G333&lt;&gt;"Yes",G333&lt;&gt;"No"),"Review: billability",IF(AB333="","Review: billing evidence","OK"))))))))))))))</x:f>
      </x:c>
      <x:c r="J333" s="24"/>
      <x:c r="K333" s="38"/>
      <x:c r="L333" s="38"/>
      <x:c r="M333" s="38"/>
      <x:c r="N333" s="39"/>
      <x:c r="O333" s="24"/>
      <x:c r="P333" s="24"/>
      <x:c r="Q333" s="38"/>
      <x:c r="R333" s="38"/>
      <x:c r="S333" s="24"/>
      <x:c r="T333" s="24"/>
      <x:c r="U333" s="37" t="str">
        <x:f>IF(OR(J333="",Q333="",R333=""),"",J333&amp;"|"&amp;Q333&amp;"|"&amp;R333)</x:f>
      </x:c>
      <x:c r="V333" s="24"/>
      <x:c r="W333" s="24"/>
      <x:c r="X333" s="40"/>
      <x:c r="Y333" s="40"/>
      <x:c r="Z333" s="39"/>
      <x:c r="AA333" s="39"/>
      <x:c r="AB333" s="24"/>
    </x:row>
    <x:row r="334" ht="23" customHeight="1">
      <x:c r="A334" s="20"/>
      <x:c r="B334" s="5"/>
      <x:c r="C334" s="4"/>
      <x:c r="D334" s="34" t="str">
        <x:f>IF(OR(A334="",U334="",COUNTIF('Project codes'!$A$7:$A$106,U334)&lt;&gt;1),"",_xlfn.XLOOKUP(U334,'Project codes'!$A$7:$A$106,'Project codes'!$I$7:$I$106,"",0))</x:f>
      </x:c>
      <x:c r="E334" s="4"/>
      <x:c r="F334" s="35" t="str">
        <x:f>IF(AND(ISNUMBER(N334),N334&gt;=0,O334="Complete"),N334/3600000,"")</x:f>
      </x:c>
      <x:c r="G334" s="4"/>
      <x:c r="H334" s="4"/>
      <x:c r="I334" s="36" t="str">
        <x:f>IF(COUNTA(A334:C334,E334,G334:H334,J334:T334,V334:AB334)=0,"",IF(A334="","Review: missing entry ID",IF(COUNTIF($A$7:$A$506,A334)&gt;1,"Review: duplicate entry ID",IF(NOT(ISNUMBER(B334)),"Review: work date",IF(OR(C334="",E334="",K334="",M334="",H334=""),"Review: source details",IF(J334&lt;&gt;'Estimate review'!$J$5,"Review: project scope",IF(OR(NOT(ISNUMBER(N334)),N334&lt;0,O334&lt;&gt;"Complete"),"Review: duration",IF(S334&lt;&gt;"Coded","Review: coding status",IF(OR(U334="",COUNTIF('Project codes'!$A$7:$A$106,U334)=0),"Review: SOW mapping",IF(COUNTIF('Project codes'!$A$7:$A$106,U334)&gt;1,"Review: duplicate code",IF(_xlfn.XLOOKUP(U334,'Project codes'!$A$7:$A$106,'Project codes'!$F$7:$F$106,"Review",0)="Hold","Review: allocation hold",IF(OR(D334="",COUNTIF('SOW register'!$A$7:$A$36,D334)&lt;&gt;1),"Review: SOW mapping",IF(AND(G334&lt;&gt;"Yes",G334&lt;&gt;"No"),"Review: billability",IF(AB334="","Review: billing evidence","OK"))))))))))))))</x:f>
      </x:c>
      <x:c r="J334" s="24"/>
      <x:c r="K334" s="38"/>
      <x:c r="L334" s="38"/>
      <x:c r="M334" s="38"/>
      <x:c r="N334" s="39"/>
      <x:c r="O334" s="24"/>
      <x:c r="P334" s="24"/>
      <x:c r="Q334" s="38"/>
      <x:c r="R334" s="38"/>
      <x:c r="S334" s="24"/>
      <x:c r="T334" s="24"/>
      <x:c r="U334" s="37" t="str">
        <x:f>IF(OR(J334="",Q334="",R334=""),"",J334&amp;"|"&amp;Q334&amp;"|"&amp;R334)</x:f>
      </x:c>
      <x:c r="V334" s="24"/>
      <x:c r="W334" s="24"/>
      <x:c r="X334" s="40"/>
      <x:c r="Y334" s="40"/>
      <x:c r="Z334" s="39"/>
      <x:c r="AA334" s="39"/>
      <x:c r="AB334" s="24"/>
    </x:row>
    <x:row r="335" ht="23" customHeight="1">
      <x:c r="A335" s="20"/>
      <x:c r="B335" s="5"/>
      <x:c r="C335" s="4"/>
      <x:c r="D335" s="34" t="str">
        <x:f>IF(OR(A335="",U335="",COUNTIF('Project codes'!$A$7:$A$106,U335)&lt;&gt;1),"",_xlfn.XLOOKUP(U335,'Project codes'!$A$7:$A$106,'Project codes'!$I$7:$I$106,"",0))</x:f>
      </x:c>
      <x:c r="E335" s="4"/>
      <x:c r="F335" s="35" t="str">
        <x:f>IF(AND(ISNUMBER(N335),N335&gt;=0,O335="Complete"),N335/3600000,"")</x:f>
      </x:c>
      <x:c r="G335" s="4"/>
      <x:c r="H335" s="4"/>
      <x:c r="I335" s="36" t="str">
        <x:f>IF(COUNTA(A335:C335,E335,G335:H335,J335:T335,V335:AB335)=0,"",IF(A335="","Review: missing entry ID",IF(COUNTIF($A$7:$A$506,A335)&gt;1,"Review: duplicate entry ID",IF(NOT(ISNUMBER(B335)),"Review: work date",IF(OR(C335="",E335="",K335="",M335="",H335=""),"Review: source details",IF(J335&lt;&gt;'Estimate review'!$J$5,"Review: project scope",IF(OR(NOT(ISNUMBER(N335)),N335&lt;0,O335&lt;&gt;"Complete"),"Review: duration",IF(S335&lt;&gt;"Coded","Review: coding status",IF(OR(U335="",COUNTIF('Project codes'!$A$7:$A$106,U335)=0),"Review: SOW mapping",IF(COUNTIF('Project codes'!$A$7:$A$106,U335)&gt;1,"Review: duplicate code",IF(_xlfn.XLOOKUP(U335,'Project codes'!$A$7:$A$106,'Project codes'!$F$7:$F$106,"Review",0)="Hold","Review: allocation hold",IF(OR(D335="",COUNTIF('SOW register'!$A$7:$A$36,D335)&lt;&gt;1),"Review: SOW mapping",IF(AND(G335&lt;&gt;"Yes",G335&lt;&gt;"No"),"Review: billability",IF(AB335="","Review: billing evidence","OK"))))))))))))))</x:f>
      </x:c>
      <x:c r="J335" s="24"/>
      <x:c r="K335" s="38"/>
      <x:c r="L335" s="38"/>
      <x:c r="M335" s="38"/>
      <x:c r="N335" s="39"/>
      <x:c r="O335" s="24"/>
      <x:c r="P335" s="24"/>
      <x:c r="Q335" s="38"/>
      <x:c r="R335" s="38"/>
      <x:c r="S335" s="24"/>
      <x:c r="T335" s="24"/>
      <x:c r="U335" s="37" t="str">
        <x:f>IF(OR(J335="",Q335="",R335=""),"",J335&amp;"|"&amp;Q335&amp;"|"&amp;R335)</x:f>
      </x:c>
      <x:c r="V335" s="24"/>
      <x:c r="W335" s="24"/>
      <x:c r="X335" s="40"/>
      <x:c r="Y335" s="40"/>
      <x:c r="Z335" s="39"/>
      <x:c r="AA335" s="39"/>
      <x:c r="AB335" s="24"/>
    </x:row>
    <x:row r="336" ht="23" customHeight="1">
      <x:c r="A336" s="20"/>
      <x:c r="B336" s="5"/>
      <x:c r="C336" s="4"/>
      <x:c r="D336" s="34" t="str">
        <x:f>IF(OR(A336="",U336="",COUNTIF('Project codes'!$A$7:$A$106,U336)&lt;&gt;1),"",_xlfn.XLOOKUP(U336,'Project codes'!$A$7:$A$106,'Project codes'!$I$7:$I$106,"",0))</x:f>
      </x:c>
      <x:c r="E336" s="4"/>
      <x:c r="F336" s="35" t="str">
        <x:f>IF(AND(ISNUMBER(N336),N336&gt;=0,O336="Complete"),N336/3600000,"")</x:f>
      </x:c>
      <x:c r="G336" s="4"/>
      <x:c r="H336" s="4"/>
      <x:c r="I336" s="36" t="str">
        <x:f>IF(COUNTA(A336:C336,E336,G336:H336,J336:T336,V336:AB336)=0,"",IF(A336="","Review: missing entry ID",IF(COUNTIF($A$7:$A$506,A336)&gt;1,"Review: duplicate entry ID",IF(NOT(ISNUMBER(B336)),"Review: work date",IF(OR(C336="",E336="",K336="",M336="",H336=""),"Review: source details",IF(J336&lt;&gt;'Estimate review'!$J$5,"Review: project scope",IF(OR(NOT(ISNUMBER(N336)),N336&lt;0,O336&lt;&gt;"Complete"),"Review: duration",IF(S336&lt;&gt;"Coded","Review: coding status",IF(OR(U336="",COUNTIF('Project codes'!$A$7:$A$106,U336)=0),"Review: SOW mapping",IF(COUNTIF('Project codes'!$A$7:$A$106,U336)&gt;1,"Review: duplicate code",IF(_xlfn.XLOOKUP(U336,'Project codes'!$A$7:$A$106,'Project codes'!$F$7:$F$106,"Review",0)="Hold","Review: allocation hold",IF(OR(D336="",COUNTIF('SOW register'!$A$7:$A$36,D336)&lt;&gt;1),"Review: SOW mapping",IF(AND(G336&lt;&gt;"Yes",G336&lt;&gt;"No"),"Review: billability",IF(AB336="","Review: billing evidence","OK"))))))))))))))</x:f>
      </x:c>
      <x:c r="J336" s="24"/>
      <x:c r="K336" s="38"/>
      <x:c r="L336" s="38"/>
      <x:c r="M336" s="38"/>
      <x:c r="N336" s="39"/>
      <x:c r="O336" s="24"/>
      <x:c r="P336" s="24"/>
      <x:c r="Q336" s="38"/>
      <x:c r="R336" s="38"/>
      <x:c r="S336" s="24"/>
      <x:c r="T336" s="24"/>
      <x:c r="U336" s="37" t="str">
        <x:f>IF(OR(J336="",Q336="",R336=""),"",J336&amp;"|"&amp;Q336&amp;"|"&amp;R336)</x:f>
      </x:c>
      <x:c r="V336" s="24"/>
      <x:c r="W336" s="24"/>
      <x:c r="X336" s="40"/>
      <x:c r="Y336" s="40"/>
      <x:c r="Z336" s="39"/>
      <x:c r="AA336" s="39"/>
      <x:c r="AB336" s="24"/>
    </x:row>
    <x:row r="337" ht="23" customHeight="1">
      <x:c r="A337" s="20"/>
      <x:c r="B337" s="5"/>
      <x:c r="C337" s="4"/>
      <x:c r="D337" s="34" t="str">
        <x:f>IF(OR(A337="",U337="",COUNTIF('Project codes'!$A$7:$A$106,U337)&lt;&gt;1),"",_xlfn.XLOOKUP(U337,'Project codes'!$A$7:$A$106,'Project codes'!$I$7:$I$106,"",0))</x:f>
      </x:c>
      <x:c r="E337" s="4"/>
      <x:c r="F337" s="35" t="str">
        <x:f>IF(AND(ISNUMBER(N337),N337&gt;=0,O337="Complete"),N337/3600000,"")</x:f>
      </x:c>
      <x:c r="G337" s="4"/>
      <x:c r="H337" s="4"/>
      <x:c r="I337" s="36" t="str">
        <x:f>IF(COUNTA(A337:C337,E337,G337:H337,J337:T337,V337:AB337)=0,"",IF(A337="","Review: missing entry ID",IF(COUNTIF($A$7:$A$506,A337)&gt;1,"Review: duplicate entry ID",IF(NOT(ISNUMBER(B337)),"Review: work date",IF(OR(C337="",E337="",K337="",M337="",H337=""),"Review: source details",IF(J337&lt;&gt;'Estimate review'!$J$5,"Review: project scope",IF(OR(NOT(ISNUMBER(N337)),N337&lt;0,O337&lt;&gt;"Complete"),"Review: duration",IF(S337&lt;&gt;"Coded","Review: coding status",IF(OR(U337="",COUNTIF('Project codes'!$A$7:$A$106,U337)=0),"Review: SOW mapping",IF(COUNTIF('Project codes'!$A$7:$A$106,U337)&gt;1,"Review: duplicate code",IF(_xlfn.XLOOKUP(U337,'Project codes'!$A$7:$A$106,'Project codes'!$F$7:$F$106,"Review",0)="Hold","Review: allocation hold",IF(OR(D337="",COUNTIF('SOW register'!$A$7:$A$36,D337)&lt;&gt;1),"Review: SOW mapping",IF(AND(G337&lt;&gt;"Yes",G337&lt;&gt;"No"),"Review: billability",IF(AB337="","Review: billing evidence","OK"))))))))))))))</x:f>
      </x:c>
      <x:c r="J337" s="24"/>
      <x:c r="K337" s="38"/>
      <x:c r="L337" s="38"/>
      <x:c r="M337" s="38"/>
      <x:c r="N337" s="39"/>
      <x:c r="O337" s="24"/>
      <x:c r="P337" s="24"/>
      <x:c r="Q337" s="38"/>
      <x:c r="R337" s="38"/>
      <x:c r="S337" s="24"/>
      <x:c r="T337" s="24"/>
      <x:c r="U337" s="37" t="str">
        <x:f>IF(OR(J337="",Q337="",R337=""),"",J337&amp;"|"&amp;Q337&amp;"|"&amp;R337)</x:f>
      </x:c>
      <x:c r="V337" s="24"/>
      <x:c r="W337" s="24"/>
      <x:c r="X337" s="40"/>
      <x:c r="Y337" s="40"/>
      <x:c r="Z337" s="39"/>
      <x:c r="AA337" s="39"/>
      <x:c r="AB337" s="24"/>
    </x:row>
    <x:row r="338" ht="23" customHeight="1">
      <x:c r="A338" s="20"/>
      <x:c r="B338" s="5"/>
      <x:c r="C338" s="4"/>
      <x:c r="D338" s="34" t="str">
        <x:f>IF(OR(A338="",U338="",COUNTIF('Project codes'!$A$7:$A$106,U338)&lt;&gt;1),"",_xlfn.XLOOKUP(U338,'Project codes'!$A$7:$A$106,'Project codes'!$I$7:$I$106,"",0))</x:f>
      </x:c>
      <x:c r="E338" s="4"/>
      <x:c r="F338" s="35" t="str">
        <x:f>IF(AND(ISNUMBER(N338),N338&gt;=0,O338="Complete"),N338/3600000,"")</x:f>
      </x:c>
      <x:c r="G338" s="4"/>
      <x:c r="H338" s="4"/>
      <x:c r="I338" s="36" t="str">
        <x:f>IF(COUNTA(A338:C338,E338,G338:H338,J338:T338,V338:AB338)=0,"",IF(A338="","Review: missing entry ID",IF(COUNTIF($A$7:$A$506,A338)&gt;1,"Review: duplicate entry ID",IF(NOT(ISNUMBER(B338)),"Review: work date",IF(OR(C338="",E338="",K338="",M338="",H338=""),"Review: source details",IF(J338&lt;&gt;'Estimate review'!$J$5,"Review: project scope",IF(OR(NOT(ISNUMBER(N338)),N338&lt;0,O338&lt;&gt;"Complete"),"Review: duration",IF(S338&lt;&gt;"Coded","Review: coding status",IF(OR(U338="",COUNTIF('Project codes'!$A$7:$A$106,U338)=0),"Review: SOW mapping",IF(COUNTIF('Project codes'!$A$7:$A$106,U338)&gt;1,"Review: duplicate code",IF(_xlfn.XLOOKUP(U338,'Project codes'!$A$7:$A$106,'Project codes'!$F$7:$F$106,"Review",0)="Hold","Review: allocation hold",IF(OR(D338="",COUNTIF('SOW register'!$A$7:$A$36,D338)&lt;&gt;1),"Review: SOW mapping",IF(AND(G338&lt;&gt;"Yes",G338&lt;&gt;"No"),"Review: billability",IF(AB338="","Review: billing evidence","OK"))))))))))))))</x:f>
      </x:c>
      <x:c r="J338" s="24"/>
      <x:c r="K338" s="38"/>
      <x:c r="L338" s="38"/>
      <x:c r="M338" s="38"/>
      <x:c r="N338" s="39"/>
      <x:c r="O338" s="24"/>
      <x:c r="P338" s="24"/>
      <x:c r="Q338" s="38"/>
      <x:c r="R338" s="38"/>
      <x:c r="S338" s="24"/>
      <x:c r="T338" s="24"/>
      <x:c r="U338" s="37" t="str">
        <x:f>IF(OR(J338="",Q338="",R338=""),"",J338&amp;"|"&amp;Q338&amp;"|"&amp;R338)</x:f>
      </x:c>
      <x:c r="V338" s="24"/>
      <x:c r="W338" s="24"/>
      <x:c r="X338" s="40"/>
      <x:c r="Y338" s="40"/>
      <x:c r="Z338" s="39"/>
      <x:c r="AA338" s="39"/>
      <x:c r="AB338" s="24"/>
    </x:row>
    <x:row r="339" ht="23" customHeight="1">
      <x:c r="A339" s="20"/>
      <x:c r="B339" s="5"/>
      <x:c r="C339" s="4"/>
      <x:c r="D339" s="34" t="str">
        <x:f>IF(OR(A339="",U339="",COUNTIF('Project codes'!$A$7:$A$106,U339)&lt;&gt;1),"",_xlfn.XLOOKUP(U339,'Project codes'!$A$7:$A$106,'Project codes'!$I$7:$I$106,"",0))</x:f>
      </x:c>
      <x:c r="E339" s="4"/>
      <x:c r="F339" s="35" t="str">
        <x:f>IF(AND(ISNUMBER(N339),N339&gt;=0,O339="Complete"),N339/3600000,"")</x:f>
      </x:c>
      <x:c r="G339" s="4"/>
      <x:c r="H339" s="4"/>
      <x:c r="I339" s="36" t="str">
        <x:f>IF(COUNTA(A339:C339,E339,G339:H339,J339:T339,V339:AB339)=0,"",IF(A339="","Review: missing entry ID",IF(COUNTIF($A$7:$A$506,A339)&gt;1,"Review: duplicate entry ID",IF(NOT(ISNUMBER(B339)),"Review: work date",IF(OR(C339="",E339="",K339="",M339="",H339=""),"Review: source details",IF(J339&lt;&gt;'Estimate review'!$J$5,"Review: project scope",IF(OR(NOT(ISNUMBER(N339)),N339&lt;0,O339&lt;&gt;"Complete"),"Review: duration",IF(S339&lt;&gt;"Coded","Review: coding status",IF(OR(U339="",COUNTIF('Project codes'!$A$7:$A$106,U339)=0),"Review: SOW mapping",IF(COUNTIF('Project codes'!$A$7:$A$106,U339)&gt;1,"Review: duplicate code",IF(_xlfn.XLOOKUP(U339,'Project codes'!$A$7:$A$106,'Project codes'!$F$7:$F$106,"Review",0)="Hold","Review: allocation hold",IF(OR(D339="",COUNTIF('SOW register'!$A$7:$A$36,D339)&lt;&gt;1),"Review: SOW mapping",IF(AND(G339&lt;&gt;"Yes",G339&lt;&gt;"No"),"Review: billability",IF(AB339="","Review: billing evidence","OK"))))))))))))))</x:f>
      </x:c>
      <x:c r="J339" s="24"/>
      <x:c r="K339" s="38"/>
      <x:c r="L339" s="38"/>
      <x:c r="M339" s="38"/>
      <x:c r="N339" s="39"/>
      <x:c r="O339" s="24"/>
      <x:c r="P339" s="24"/>
      <x:c r="Q339" s="38"/>
      <x:c r="R339" s="38"/>
      <x:c r="S339" s="24"/>
      <x:c r="T339" s="24"/>
      <x:c r="U339" s="37" t="str">
        <x:f>IF(OR(J339="",Q339="",R339=""),"",J339&amp;"|"&amp;Q339&amp;"|"&amp;R339)</x:f>
      </x:c>
      <x:c r="V339" s="24"/>
      <x:c r="W339" s="24"/>
      <x:c r="X339" s="40"/>
      <x:c r="Y339" s="40"/>
      <x:c r="Z339" s="39"/>
      <x:c r="AA339" s="39"/>
      <x:c r="AB339" s="24"/>
    </x:row>
    <x:row r="340" ht="23" customHeight="1">
      <x:c r="A340" s="20"/>
      <x:c r="B340" s="5"/>
      <x:c r="C340" s="4"/>
      <x:c r="D340" s="34" t="str">
        <x:f>IF(OR(A340="",U340="",COUNTIF('Project codes'!$A$7:$A$106,U340)&lt;&gt;1),"",_xlfn.XLOOKUP(U340,'Project codes'!$A$7:$A$106,'Project codes'!$I$7:$I$106,"",0))</x:f>
      </x:c>
      <x:c r="E340" s="4"/>
      <x:c r="F340" s="35" t="str">
        <x:f>IF(AND(ISNUMBER(N340),N340&gt;=0,O340="Complete"),N340/3600000,"")</x:f>
      </x:c>
      <x:c r="G340" s="4"/>
      <x:c r="H340" s="4"/>
      <x:c r="I340" s="36" t="str">
        <x:f>IF(COUNTA(A340:C340,E340,G340:H340,J340:T340,V340:AB340)=0,"",IF(A340="","Review: missing entry ID",IF(COUNTIF($A$7:$A$506,A340)&gt;1,"Review: duplicate entry ID",IF(NOT(ISNUMBER(B340)),"Review: work date",IF(OR(C340="",E340="",K340="",M340="",H340=""),"Review: source details",IF(J340&lt;&gt;'Estimate review'!$J$5,"Review: project scope",IF(OR(NOT(ISNUMBER(N340)),N340&lt;0,O340&lt;&gt;"Complete"),"Review: duration",IF(S340&lt;&gt;"Coded","Review: coding status",IF(OR(U340="",COUNTIF('Project codes'!$A$7:$A$106,U340)=0),"Review: SOW mapping",IF(COUNTIF('Project codes'!$A$7:$A$106,U340)&gt;1,"Review: duplicate code",IF(_xlfn.XLOOKUP(U340,'Project codes'!$A$7:$A$106,'Project codes'!$F$7:$F$106,"Review",0)="Hold","Review: allocation hold",IF(OR(D340="",COUNTIF('SOW register'!$A$7:$A$36,D340)&lt;&gt;1),"Review: SOW mapping",IF(AND(G340&lt;&gt;"Yes",G340&lt;&gt;"No"),"Review: billability",IF(AB340="","Review: billing evidence","OK"))))))))))))))</x:f>
      </x:c>
      <x:c r="J340" s="24"/>
      <x:c r="K340" s="38"/>
      <x:c r="L340" s="38"/>
      <x:c r="M340" s="38"/>
      <x:c r="N340" s="39"/>
      <x:c r="O340" s="24"/>
      <x:c r="P340" s="24"/>
      <x:c r="Q340" s="38"/>
      <x:c r="R340" s="38"/>
      <x:c r="S340" s="24"/>
      <x:c r="T340" s="24"/>
      <x:c r="U340" s="37" t="str">
        <x:f>IF(OR(J340="",Q340="",R340=""),"",J340&amp;"|"&amp;Q340&amp;"|"&amp;R340)</x:f>
      </x:c>
      <x:c r="V340" s="24"/>
      <x:c r="W340" s="24"/>
      <x:c r="X340" s="40"/>
      <x:c r="Y340" s="40"/>
      <x:c r="Z340" s="39"/>
      <x:c r="AA340" s="39"/>
      <x:c r="AB340" s="24"/>
    </x:row>
    <x:row r="341" ht="23" customHeight="1">
      <x:c r="A341" s="20"/>
      <x:c r="B341" s="5"/>
      <x:c r="C341" s="4"/>
      <x:c r="D341" s="34" t="str">
        <x:f>IF(OR(A341="",U341="",COUNTIF('Project codes'!$A$7:$A$106,U341)&lt;&gt;1),"",_xlfn.XLOOKUP(U341,'Project codes'!$A$7:$A$106,'Project codes'!$I$7:$I$106,"",0))</x:f>
      </x:c>
      <x:c r="E341" s="4"/>
      <x:c r="F341" s="35" t="str">
        <x:f>IF(AND(ISNUMBER(N341),N341&gt;=0,O341="Complete"),N341/3600000,"")</x:f>
      </x:c>
      <x:c r="G341" s="4"/>
      <x:c r="H341" s="4"/>
      <x:c r="I341" s="36" t="str">
        <x:f>IF(COUNTA(A341:C341,E341,G341:H341,J341:T341,V341:AB341)=0,"",IF(A341="","Review: missing entry ID",IF(COUNTIF($A$7:$A$506,A341)&gt;1,"Review: duplicate entry ID",IF(NOT(ISNUMBER(B341)),"Review: work date",IF(OR(C341="",E341="",K341="",M341="",H341=""),"Review: source details",IF(J341&lt;&gt;'Estimate review'!$J$5,"Review: project scope",IF(OR(NOT(ISNUMBER(N341)),N341&lt;0,O341&lt;&gt;"Complete"),"Review: duration",IF(S341&lt;&gt;"Coded","Review: coding status",IF(OR(U341="",COUNTIF('Project codes'!$A$7:$A$106,U341)=0),"Review: SOW mapping",IF(COUNTIF('Project codes'!$A$7:$A$106,U341)&gt;1,"Review: duplicate code",IF(_xlfn.XLOOKUP(U341,'Project codes'!$A$7:$A$106,'Project codes'!$F$7:$F$106,"Review",0)="Hold","Review: allocation hold",IF(OR(D341="",COUNTIF('SOW register'!$A$7:$A$36,D341)&lt;&gt;1),"Review: SOW mapping",IF(AND(G341&lt;&gt;"Yes",G341&lt;&gt;"No"),"Review: billability",IF(AB341="","Review: billing evidence","OK"))))))))))))))</x:f>
      </x:c>
      <x:c r="J341" s="24"/>
      <x:c r="K341" s="38"/>
      <x:c r="L341" s="38"/>
      <x:c r="M341" s="38"/>
      <x:c r="N341" s="39"/>
      <x:c r="O341" s="24"/>
      <x:c r="P341" s="24"/>
      <x:c r="Q341" s="38"/>
      <x:c r="R341" s="38"/>
      <x:c r="S341" s="24"/>
      <x:c r="T341" s="24"/>
      <x:c r="U341" s="37" t="str">
        <x:f>IF(OR(J341="",Q341="",R341=""),"",J341&amp;"|"&amp;Q341&amp;"|"&amp;R341)</x:f>
      </x:c>
      <x:c r="V341" s="24"/>
      <x:c r="W341" s="24"/>
      <x:c r="X341" s="40"/>
      <x:c r="Y341" s="40"/>
      <x:c r="Z341" s="39"/>
      <x:c r="AA341" s="39"/>
      <x:c r="AB341" s="24"/>
    </x:row>
    <x:row r="342" ht="23" customHeight="1">
      <x:c r="A342" s="20"/>
      <x:c r="B342" s="5"/>
      <x:c r="C342" s="4"/>
      <x:c r="D342" s="34" t="str">
        <x:f>IF(OR(A342="",U342="",COUNTIF('Project codes'!$A$7:$A$106,U342)&lt;&gt;1),"",_xlfn.XLOOKUP(U342,'Project codes'!$A$7:$A$106,'Project codes'!$I$7:$I$106,"",0))</x:f>
      </x:c>
      <x:c r="E342" s="4"/>
      <x:c r="F342" s="35" t="str">
        <x:f>IF(AND(ISNUMBER(N342),N342&gt;=0,O342="Complete"),N342/3600000,"")</x:f>
      </x:c>
      <x:c r="G342" s="4"/>
      <x:c r="H342" s="4"/>
      <x:c r="I342" s="36" t="str">
        <x:f>IF(COUNTA(A342:C342,E342,G342:H342,J342:T342,V342:AB342)=0,"",IF(A342="","Review: missing entry ID",IF(COUNTIF($A$7:$A$506,A342)&gt;1,"Review: duplicate entry ID",IF(NOT(ISNUMBER(B342)),"Review: work date",IF(OR(C342="",E342="",K342="",M342="",H342=""),"Review: source details",IF(J342&lt;&gt;'Estimate review'!$J$5,"Review: project scope",IF(OR(NOT(ISNUMBER(N342)),N342&lt;0,O342&lt;&gt;"Complete"),"Review: duration",IF(S342&lt;&gt;"Coded","Review: coding status",IF(OR(U342="",COUNTIF('Project codes'!$A$7:$A$106,U342)=0),"Review: SOW mapping",IF(COUNTIF('Project codes'!$A$7:$A$106,U342)&gt;1,"Review: duplicate code",IF(_xlfn.XLOOKUP(U342,'Project codes'!$A$7:$A$106,'Project codes'!$F$7:$F$106,"Review",0)="Hold","Review: allocation hold",IF(OR(D342="",COUNTIF('SOW register'!$A$7:$A$36,D342)&lt;&gt;1),"Review: SOW mapping",IF(AND(G342&lt;&gt;"Yes",G342&lt;&gt;"No"),"Review: billability",IF(AB342="","Review: billing evidence","OK"))))))))))))))</x:f>
      </x:c>
      <x:c r="J342" s="24"/>
      <x:c r="K342" s="38"/>
      <x:c r="L342" s="38"/>
      <x:c r="M342" s="38"/>
      <x:c r="N342" s="39"/>
      <x:c r="O342" s="24"/>
      <x:c r="P342" s="24"/>
      <x:c r="Q342" s="38"/>
      <x:c r="R342" s="38"/>
      <x:c r="S342" s="24"/>
      <x:c r="T342" s="24"/>
      <x:c r="U342" s="37" t="str">
        <x:f>IF(OR(J342="",Q342="",R342=""),"",J342&amp;"|"&amp;Q342&amp;"|"&amp;R342)</x:f>
      </x:c>
      <x:c r="V342" s="24"/>
      <x:c r="W342" s="24"/>
      <x:c r="X342" s="40"/>
      <x:c r="Y342" s="40"/>
      <x:c r="Z342" s="39"/>
      <x:c r="AA342" s="39"/>
      <x:c r="AB342" s="24"/>
    </x:row>
    <x:row r="343" ht="23" customHeight="1">
      <x:c r="A343" s="20"/>
      <x:c r="B343" s="5"/>
      <x:c r="C343" s="4"/>
      <x:c r="D343" s="34" t="str">
        <x:f>IF(OR(A343="",U343="",COUNTIF('Project codes'!$A$7:$A$106,U343)&lt;&gt;1),"",_xlfn.XLOOKUP(U343,'Project codes'!$A$7:$A$106,'Project codes'!$I$7:$I$106,"",0))</x:f>
      </x:c>
      <x:c r="E343" s="4"/>
      <x:c r="F343" s="35" t="str">
        <x:f>IF(AND(ISNUMBER(N343),N343&gt;=0,O343="Complete"),N343/3600000,"")</x:f>
      </x:c>
      <x:c r="G343" s="4"/>
      <x:c r="H343" s="4"/>
      <x:c r="I343" s="36" t="str">
        <x:f>IF(COUNTA(A343:C343,E343,G343:H343,J343:T343,V343:AB343)=0,"",IF(A343="","Review: missing entry ID",IF(COUNTIF($A$7:$A$506,A343)&gt;1,"Review: duplicate entry ID",IF(NOT(ISNUMBER(B343)),"Review: work date",IF(OR(C343="",E343="",K343="",M343="",H343=""),"Review: source details",IF(J343&lt;&gt;'Estimate review'!$J$5,"Review: project scope",IF(OR(NOT(ISNUMBER(N343)),N343&lt;0,O343&lt;&gt;"Complete"),"Review: duration",IF(S343&lt;&gt;"Coded","Review: coding status",IF(OR(U343="",COUNTIF('Project codes'!$A$7:$A$106,U343)=0),"Review: SOW mapping",IF(COUNTIF('Project codes'!$A$7:$A$106,U343)&gt;1,"Review: duplicate code",IF(_xlfn.XLOOKUP(U343,'Project codes'!$A$7:$A$106,'Project codes'!$F$7:$F$106,"Review",0)="Hold","Review: allocation hold",IF(OR(D343="",COUNTIF('SOW register'!$A$7:$A$36,D343)&lt;&gt;1),"Review: SOW mapping",IF(AND(G343&lt;&gt;"Yes",G343&lt;&gt;"No"),"Review: billability",IF(AB343="","Review: billing evidence","OK"))))))))))))))</x:f>
      </x:c>
      <x:c r="J343" s="24"/>
      <x:c r="K343" s="38"/>
      <x:c r="L343" s="38"/>
      <x:c r="M343" s="38"/>
      <x:c r="N343" s="39"/>
      <x:c r="O343" s="24"/>
      <x:c r="P343" s="24"/>
      <x:c r="Q343" s="38"/>
      <x:c r="R343" s="38"/>
      <x:c r="S343" s="24"/>
      <x:c r="T343" s="24"/>
      <x:c r="U343" s="37" t="str">
        <x:f>IF(OR(J343="",Q343="",R343=""),"",J343&amp;"|"&amp;Q343&amp;"|"&amp;R343)</x:f>
      </x:c>
      <x:c r="V343" s="24"/>
      <x:c r="W343" s="24"/>
      <x:c r="X343" s="40"/>
      <x:c r="Y343" s="40"/>
      <x:c r="Z343" s="39"/>
      <x:c r="AA343" s="39"/>
      <x:c r="AB343" s="24"/>
    </x:row>
    <x:row r="344" ht="23" customHeight="1">
      <x:c r="A344" s="20"/>
      <x:c r="B344" s="5"/>
      <x:c r="C344" s="4"/>
      <x:c r="D344" s="34" t="str">
        <x:f>IF(OR(A344="",U344="",COUNTIF('Project codes'!$A$7:$A$106,U344)&lt;&gt;1),"",_xlfn.XLOOKUP(U344,'Project codes'!$A$7:$A$106,'Project codes'!$I$7:$I$106,"",0))</x:f>
      </x:c>
      <x:c r="E344" s="4"/>
      <x:c r="F344" s="35" t="str">
        <x:f>IF(AND(ISNUMBER(N344),N344&gt;=0,O344="Complete"),N344/3600000,"")</x:f>
      </x:c>
      <x:c r="G344" s="4"/>
      <x:c r="H344" s="4"/>
      <x:c r="I344" s="36" t="str">
        <x:f>IF(COUNTA(A344:C344,E344,G344:H344,J344:T344,V344:AB344)=0,"",IF(A344="","Review: missing entry ID",IF(COUNTIF($A$7:$A$506,A344)&gt;1,"Review: duplicate entry ID",IF(NOT(ISNUMBER(B344)),"Review: work date",IF(OR(C344="",E344="",K344="",M344="",H344=""),"Review: source details",IF(J344&lt;&gt;'Estimate review'!$J$5,"Review: project scope",IF(OR(NOT(ISNUMBER(N344)),N344&lt;0,O344&lt;&gt;"Complete"),"Review: duration",IF(S344&lt;&gt;"Coded","Review: coding status",IF(OR(U344="",COUNTIF('Project codes'!$A$7:$A$106,U344)=0),"Review: SOW mapping",IF(COUNTIF('Project codes'!$A$7:$A$106,U344)&gt;1,"Review: duplicate code",IF(_xlfn.XLOOKUP(U344,'Project codes'!$A$7:$A$106,'Project codes'!$F$7:$F$106,"Review",0)="Hold","Review: allocation hold",IF(OR(D344="",COUNTIF('SOW register'!$A$7:$A$36,D344)&lt;&gt;1),"Review: SOW mapping",IF(AND(G344&lt;&gt;"Yes",G344&lt;&gt;"No"),"Review: billability",IF(AB344="","Review: billing evidence","OK"))))))))))))))</x:f>
      </x:c>
      <x:c r="J344" s="24"/>
      <x:c r="K344" s="38"/>
      <x:c r="L344" s="38"/>
      <x:c r="M344" s="38"/>
      <x:c r="N344" s="39"/>
      <x:c r="O344" s="24"/>
      <x:c r="P344" s="24"/>
      <x:c r="Q344" s="38"/>
      <x:c r="R344" s="38"/>
      <x:c r="S344" s="24"/>
      <x:c r="T344" s="24"/>
      <x:c r="U344" s="37" t="str">
        <x:f>IF(OR(J344="",Q344="",R344=""),"",J344&amp;"|"&amp;Q344&amp;"|"&amp;R344)</x:f>
      </x:c>
      <x:c r="V344" s="24"/>
      <x:c r="W344" s="24"/>
      <x:c r="X344" s="40"/>
      <x:c r="Y344" s="40"/>
      <x:c r="Z344" s="39"/>
      <x:c r="AA344" s="39"/>
      <x:c r="AB344" s="24"/>
    </x:row>
    <x:row r="345" ht="23" customHeight="1">
      <x:c r="A345" s="20"/>
      <x:c r="B345" s="5"/>
      <x:c r="C345" s="4"/>
      <x:c r="D345" s="34" t="str">
        <x:f>IF(OR(A345="",U345="",COUNTIF('Project codes'!$A$7:$A$106,U345)&lt;&gt;1),"",_xlfn.XLOOKUP(U345,'Project codes'!$A$7:$A$106,'Project codes'!$I$7:$I$106,"",0))</x:f>
      </x:c>
      <x:c r="E345" s="4"/>
      <x:c r="F345" s="35" t="str">
        <x:f>IF(AND(ISNUMBER(N345),N345&gt;=0,O345="Complete"),N345/3600000,"")</x:f>
      </x:c>
      <x:c r="G345" s="4"/>
      <x:c r="H345" s="4"/>
      <x:c r="I345" s="36" t="str">
        <x:f>IF(COUNTA(A345:C345,E345,G345:H345,J345:T345,V345:AB345)=0,"",IF(A345="","Review: missing entry ID",IF(COUNTIF($A$7:$A$506,A345)&gt;1,"Review: duplicate entry ID",IF(NOT(ISNUMBER(B345)),"Review: work date",IF(OR(C345="",E345="",K345="",M345="",H345=""),"Review: source details",IF(J345&lt;&gt;'Estimate review'!$J$5,"Review: project scope",IF(OR(NOT(ISNUMBER(N345)),N345&lt;0,O345&lt;&gt;"Complete"),"Review: duration",IF(S345&lt;&gt;"Coded","Review: coding status",IF(OR(U345="",COUNTIF('Project codes'!$A$7:$A$106,U345)=0),"Review: SOW mapping",IF(COUNTIF('Project codes'!$A$7:$A$106,U345)&gt;1,"Review: duplicate code",IF(_xlfn.XLOOKUP(U345,'Project codes'!$A$7:$A$106,'Project codes'!$F$7:$F$106,"Review",0)="Hold","Review: allocation hold",IF(OR(D345="",COUNTIF('SOW register'!$A$7:$A$36,D345)&lt;&gt;1),"Review: SOW mapping",IF(AND(G345&lt;&gt;"Yes",G345&lt;&gt;"No"),"Review: billability",IF(AB345="","Review: billing evidence","OK"))))))))))))))</x:f>
      </x:c>
      <x:c r="J345" s="24"/>
      <x:c r="K345" s="38"/>
      <x:c r="L345" s="38"/>
      <x:c r="M345" s="38"/>
      <x:c r="N345" s="39"/>
      <x:c r="O345" s="24"/>
      <x:c r="P345" s="24"/>
      <x:c r="Q345" s="38"/>
      <x:c r="R345" s="38"/>
      <x:c r="S345" s="24"/>
      <x:c r="T345" s="24"/>
      <x:c r="U345" s="37" t="str">
        <x:f>IF(OR(J345="",Q345="",R345=""),"",J345&amp;"|"&amp;Q345&amp;"|"&amp;R345)</x:f>
      </x:c>
      <x:c r="V345" s="24"/>
      <x:c r="W345" s="24"/>
      <x:c r="X345" s="40"/>
      <x:c r="Y345" s="40"/>
      <x:c r="Z345" s="39"/>
      <x:c r="AA345" s="39"/>
      <x:c r="AB345" s="24"/>
    </x:row>
    <x:row r="346" ht="23" customHeight="1">
      <x:c r="A346" s="20"/>
      <x:c r="B346" s="5"/>
      <x:c r="C346" s="4"/>
      <x:c r="D346" s="34" t="str">
        <x:f>IF(OR(A346="",U346="",COUNTIF('Project codes'!$A$7:$A$106,U346)&lt;&gt;1),"",_xlfn.XLOOKUP(U346,'Project codes'!$A$7:$A$106,'Project codes'!$I$7:$I$106,"",0))</x:f>
      </x:c>
      <x:c r="E346" s="4"/>
      <x:c r="F346" s="35" t="str">
        <x:f>IF(AND(ISNUMBER(N346),N346&gt;=0,O346="Complete"),N346/3600000,"")</x:f>
      </x:c>
      <x:c r="G346" s="4"/>
      <x:c r="H346" s="4"/>
      <x:c r="I346" s="36" t="str">
        <x:f>IF(COUNTA(A346:C346,E346,G346:H346,J346:T346,V346:AB346)=0,"",IF(A346="","Review: missing entry ID",IF(COUNTIF($A$7:$A$506,A346)&gt;1,"Review: duplicate entry ID",IF(NOT(ISNUMBER(B346)),"Review: work date",IF(OR(C346="",E346="",K346="",M346="",H346=""),"Review: source details",IF(J346&lt;&gt;'Estimate review'!$J$5,"Review: project scope",IF(OR(NOT(ISNUMBER(N346)),N346&lt;0,O346&lt;&gt;"Complete"),"Review: duration",IF(S346&lt;&gt;"Coded","Review: coding status",IF(OR(U346="",COUNTIF('Project codes'!$A$7:$A$106,U346)=0),"Review: SOW mapping",IF(COUNTIF('Project codes'!$A$7:$A$106,U346)&gt;1,"Review: duplicate code",IF(_xlfn.XLOOKUP(U346,'Project codes'!$A$7:$A$106,'Project codes'!$F$7:$F$106,"Review",0)="Hold","Review: allocation hold",IF(OR(D346="",COUNTIF('SOW register'!$A$7:$A$36,D346)&lt;&gt;1),"Review: SOW mapping",IF(AND(G346&lt;&gt;"Yes",G346&lt;&gt;"No"),"Review: billability",IF(AB346="","Review: billing evidence","OK"))))))))))))))</x:f>
      </x:c>
      <x:c r="J346" s="24"/>
      <x:c r="K346" s="38"/>
      <x:c r="L346" s="38"/>
      <x:c r="M346" s="38"/>
      <x:c r="N346" s="39"/>
      <x:c r="O346" s="24"/>
      <x:c r="P346" s="24"/>
      <x:c r="Q346" s="38"/>
      <x:c r="R346" s="38"/>
      <x:c r="S346" s="24"/>
      <x:c r="T346" s="24"/>
      <x:c r="U346" s="37" t="str">
        <x:f>IF(OR(J346="",Q346="",R346=""),"",J346&amp;"|"&amp;Q346&amp;"|"&amp;R346)</x:f>
      </x:c>
      <x:c r="V346" s="24"/>
      <x:c r="W346" s="24"/>
      <x:c r="X346" s="40"/>
      <x:c r="Y346" s="40"/>
      <x:c r="Z346" s="39"/>
      <x:c r="AA346" s="39"/>
      <x:c r="AB346" s="24"/>
    </x:row>
    <x:row r="347" ht="23" customHeight="1">
      <x:c r="A347" s="20"/>
      <x:c r="B347" s="5"/>
      <x:c r="C347" s="4"/>
      <x:c r="D347" s="34" t="str">
        <x:f>IF(OR(A347="",U347="",COUNTIF('Project codes'!$A$7:$A$106,U347)&lt;&gt;1),"",_xlfn.XLOOKUP(U347,'Project codes'!$A$7:$A$106,'Project codes'!$I$7:$I$106,"",0))</x:f>
      </x:c>
      <x:c r="E347" s="4"/>
      <x:c r="F347" s="35" t="str">
        <x:f>IF(AND(ISNUMBER(N347),N347&gt;=0,O347="Complete"),N347/3600000,"")</x:f>
      </x:c>
      <x:c r="G347" s="4"/>
      <x:c r="H347" s="4"/>
      <x:c r="I347" s="36" t="str">
        <x:f>IF(COUNTA(A347:C347,E347,G347:H347,J347:T347,V347:AB347)=0,"",IF(A347="","Review: missing entry ID",IF(COUNTIF($A$7:$A$506,A347)&gt;1,"Review: duplicate entry ID",IF(NOT(ISNUMBER(B347)),"Review: work date",IF(OR(C347="",E347="",K347="",M347="",H347=""),"Review: source details",IF(J347&lt;&gt;'Estimate review'!$J$5,"Review: project scope",IF(OR(NOT(ISNUMBER(N347)),N347&lt;0,O347&lt;&gt;"Complete"),"Review: duration",IF(S347&lt;&gt;"Coded","Review: coding status",IF(OR(U347="",COUNTIF('Project codes'!$A$7:$A$106,U347)=0),"Review: SOW mapping",IF(COUNTIF('Project codes'!$A$7:$A$106,U347)&gt;1,"Review: duplicate code",IF(_xlfn.XLOOKUP(U347,'Project codes'!$A$7:$A$106,'Project codes'!$F$7:$F$106,"Review",0)="Hold","Review: allocation hold",IF(OR(D347="",COUNTIF('SOW register'!$A$7:$A$36,D347)&lt;&gt;1),"Review: SOW mapping",IF(AND(G347&lt;&gt;"Yes",G347&lt;&gt;"No"),"Review: billability",IF(AB347="","Review: billing evidence","OK"))))))))))))))</x:f>
      </x:c>
      <x:c r="J347" s="24"/>
      <x:c r="K347" s="38"/>
      <x:c r="L347" s="38"/>
      <x:c r="M347" s="38"/>
      <x:c r="N347" s="39"/>
      <x:c r="O347" s="24"/>
      <x:c r="P347" s="24"/>
      <x:c r="Q347" s="38"/>
      <x:c r="R347" s="38"/>
      <x:c r="S347" s="24"/>
      <x:c r="T347" s="24"/>
      <x:c r="U347" s="37" t="str">
        <x:f>IF(OR(J347="",Q347="",R347=""),"",J347&amp;"|"&amp;Q347&amp;"|"&amp;R347)</x:f>
      </x:c>
      <x:c r="V347" s="24"/>
      <x:c r="W347" s="24"/>
      <x:c r="X347" s="40"/>
      <x:c r="Y347" s="40"/>
      <x:c r="Z347" s="39"/>
      <x:c r="AA347" s="39"/>
      <x:c r="AB347" s="24"/>
    </x:row>
    <x:row r="348" ht="23" customHeight="1">
      <x:c r="A348" s="20"/>
      <x:c r="B348" s="5"/>
      <x:c r="C348" s="4"/>
      <x:c r="D348" s="34" t="str">
        <x:f>IF(OR(A348="",U348="",COUNTIF('Project codes'!$A$7:$A$106,U348)&lt;&gt;1),"",_xlfn.XLOOKUP(U348,'Project codes'!$A$7:$A$106,'Project codes'!$I$7:$I$106,"",0))</x:f>
      </x:c>
      <x:c r="E348" s="4"/>
      <x:c r="F348" s="35" t="str">
        <x:f>IF(AND(ISNUMBER(N348),N348&gt;=0,O348="Complete"),N348/3600000,"")</x:f>
      </x:c>
      <x:c r="G348" s="4"/>
      <x:c r="H348" s="4"/>
      <x:c r="I348" s="36" t="str">
        <x:f>IF(COUNTA(A348:C348,E348,G348:H348,J348:T348,V348:AB348)=0,"",IF(A348="","Review: missing entry ID",IF(COUNTIF($A$7:$A$506,A348)&gt;1,"Review: duplicate entry ID",IF(NOT(ISNUMBER(B348)),"Review: work date",IF(OR(C348="",E348="",K348="",M348="",H348=""),"Review: source details",IF(J348&lt;&gt;'Estimate review'!$J$5,"Review: project scope",IF(OR(NOT(ISNUMBER(N348)),N348&lt;0,O348&lt;&gt;"Complete"),"Review: duration",IF(S348&lt;&gt;"Coded","Review: coding status",IF(OR(U348="",COUNTIF('Project codes'!$A$7:$A$106,U348)=0),"Review: SOW mapping",IF(COUNTIF('Project codes'!$A$7:$A$106,U348)&gt;1,"Review: duplicate code",IF(_xlfn.XLOOKUP(U348,'Project codes'!$A$7:$A$106,'Project codes'!$F$7:$F$106,"Review",0)="Hold","Review: allocation hold",IF(OR(D348="",COUNTIF('SOW register'!$A$7:$A$36,D348)&lt;&gt;1),"Review: SOW mapping",IF(AND(G348&lt;&gt;"Yes",G348&lt;&gt;"No"),"Review: billability",IF(AB348="","Review: billing evidence","OK"))))))))))))))</x:f>
      </x:c>
      <x:c r="J348" s="24"/>
      <x:c r="K348" s="38"/>
      <x:c r="L348" s="38"/>
      <x:c r="M348" s="38"/>
      <x:c r="N348" s="39"/>
      <x:c r="O348" s="24"/>
      <x:c r="P348" s="24"/>
      <x:c r="Q348" s="38"/>
      <x:c r="R348" s="38"/>
      <x:c r="S348" s="24"/>
      <x:c r="T348" s="24"/>
      <x:c r="U348" s="37" t="str">
        <x:f>IF(OR(J348="",Q348="",R348=""),"",J348&amp;"|"&amp;Q348&amp;"|"&amp;R348)</x:f>
      </x:c>
      <x:c r="V348" s="24"/>
      <x:c r="W348" s="24"/>
      <x:c r="X348" s="40"/>
      <x:c r="Y348" s="40"/>
      <x:c r="Z348" s="39"/>
      <x:c r="AA348" s="39"/>
      <x:c r="AB348" s="24"/>
    </x:row>
    <x:row r="349" ht="23" customHeight="1">
      <x:c r="A349" s="20"/>
      <x:c r="B349" s="5"/>
      <x:c r="C349" s="4"/>
      <x:c r="D349" s="34" t="str">
        <x:f>IF(OR(A349="",U349="",COUNTIF('Project codes'!$A$7:$A$106,U349)&lt;&gt;1),"",_xlfn.XLOOKUP(U349,'Project codes'!$A$7:$A$106,'Project codes'!$I$7:$I$106,"",0))</x:f>
      </x:c>
      <x:c r="E349" s="4"/>
      <x:c r="F349" s="35" t="str">
        <x:f>IF(AND(ISNUMBER(N349),N349&gt;=0,O349="Complete"),N349/3600000,"")</x:f>
      </x:c>
      <x:c r="G349" s="4"/>
      <x:c r="H349" s="4"/>
      <x:c r="I349" s="36" t="str">
        <x:f>IF(COUNTA(A349:C349,E349,G349:H349,J349:T349,V349:AB349)=0,"",IF(A349="","Review: missing entry ID",IF(COUNTIF($A$7:$A$506,A349)&gt;1,"Review: duplicate entry ID",IF(NOT(ISNUMBER(B349)),"Review: work date",IF(OR(C349="",E349="",K349="",M349="",H349=""),"Review: source details",IF(J349&lt;&gt;'Estimate review'!$J$5,"Review: project scope",IF(OR(NOT(ISNUMBER(N349)),N349&lt;0,O349&lt;&gt;"Complete"),"Review: duration",IF(S349&lt;&gt;"Coded","Review: coding status",IF(OR(U349="",COUNTIF('Project codes'!$A$7:$A$106,U349)=0),"Review: SOW mapping",IF(COUNTIF('Project codes'!$A$7:$A$106,U349)&gt;1,"Review: duplicate code",IF(_xlfn.XLOOKUP(U349,'Project codes'!$A$7:$A$106,'Project codes'!$F$7:$F$106,"Review",0)="Hold","Review: allocation hold",IF(OR(D349="",COUNTIF('SOW register'!$A$7:$A$36,D349)&lt;&gt;1),"Review: SOW mapping",IF(AND(G349&lt;&gt;"Yes",G349&lt;&gt;"No"),"Review: billability",IF(AB349="","Review: billing evidence","OK"))))))))))))))</x:f>
      </x:c>
      <x:c r="J349" s="24"/>
      <x:c r="K349" s="38"/>
      <x:c r="L349" s="38"/>
      <x:c r="M349" s="38"/>
      <x:c r="N349" s="39"/>
      <x:c r="O349" s="24"/>
      <x:c r="P349" s="24"/>
      <x:c r="Q349" s="38"/>
      <x:c r="R349" s="38"/>
      <x:c r="S349" s="24"/>
      <x:c r="T349" s="24"/>
      <x:c r="U349" s="37" t="str">
        <x:f>IF(OR(J349="",Q349="",R349=""),"",J349&amp;"|"&amp;Q349&amp;"|"&amp;R349)</x:f>
      </x:c>
      <x:c r="V349" s="24"/>
      <x:c r="W349" s="24"/>
      <x:c r="X349" s="40"/>
      <x:c r="Y349" s="40"/>
      <x:c r="Z349" s="39"/>
      <x:c r="AA349" s="39"/>
      <x:c r="AB349" s="24"/>
    </x:row>
    <x:row r="350" ht="23" customHeight="1">
      <x:c r="A350" s="20"/>
      <x:c r="B350" s="5"/>
      <x:c r="C350" s="4"/>
      <x:c r="D350" s="34" t="str">
        <x:f>IF(OR(A350="",U350="",COUNTIF('Project codes'!$A$7:$A$106,U350)&lt;&gt;1),"",_xlfn.XLOOKUP(U350,'Project codes'!$A$7:$A$106,'Project codes'!$I$7:$I$106,"",0))</x:f>
      </x:c>
      <x:c r="E350" s="4"/>
      <x:c r="F350" s="35" t="str">
        <x:f>IF(AND(ISNUMBER(N350),N350&gt;=0,O350="Complete"),N350/3600000,"")</x:f>
      </x:c>
      <x:c r="G350" s="4"/>
      <x:c r="H350" s="4"/>
      <x:c r="I350" s="36" t="str">
        <x:f>IF(COUNTA(A350:C350,E350,G350:H350,J350:T350,V350:AB350)=0,"",IF(A350="","Review: missing entry ID",IF(COUNTIF($A$7:$A$506,A350)&gt;1,"Review: duplicate entry ID",IF(NOT(ISNUMBER(B350)),"Review: work date",IF(OR(C350="",E350="",K350="",M350="",H350=""),"Review: source details",IF(J350&lt;&gt;'Estimate review'!$J$5,"Review: project scope",IF(OR(NOT(ISNUMBER(N350)),N350&lt;0,O350&lt;&gt;"Complete"),"Review: duration",IF(S350&lt;&gt;"Coded","Review: coding status",IF(OR(U350="",COUNTIF('Project codes'!$A$7:$A$106,U350)=0),"Review: SOW mapping",IF(COUNTIF('Project codes'!$A$7:$A$106,U350)&gt;1,"Review: duplicate code",IF(_xlfn.XLOOKUP(U350,'Project codes'!$A$7:$A$106,'Project codes'!$F$7:$F$106,"Review",0)="Hold","Review: allocation hold",IF(OR(D350="",COUNTIF('SOW register'!$A$7:$A$36,D350)&lt;&gt;1),"Review: SOW mapping",IF(AND(G350&lt;&gt;"Yes",G350&lt;&gt;"No"),"Review: billability",IF(AB350="","Review: billing evidence","OK"))))))))))))))</x:f>
      </x:c>
      <x:c r="J350" s="24"/>
      <x:c r="K350" s="38"/>
      <x:c r="L350" s="38"/>
      <x:c r="M350" s="38"/>
      <x:c r="N350" s="39"/>
      <x:c r="O350" s="24"/>
      <x:c r="P350" s="24"/>
      <x:c r="Q350" s="38"/>
      <x:c r="R350" s="38"/>
      <x:c r="S350" s="24"/>
      <x:c r="T350" s="24"/>
      <x:c r="U350" s="37" t="str">
        <x:f>IF(OR(J350="",Q350="",R350=""),"",J350&amp;"|"&amp;Q350&amp;"|"&amp;R350)</x:f>
      </x:c>
      <x:c r="V350" s="24"/>
      <x:c r="W350" s="24"/>
      <x:c r="X350" s="40"/>
      <x:c r="Y350" s="40"/>
      <x:c r="Z350" s="39"/>
      <x:c r="AA350" s="39"/>
      <x:c r="AB350" s="24"/>
    </x:row>
    <x:row r="351" ht="23" customHeight="1">
      <x:c r="A351" s="20"/>
      <x:c r="B351" s="5"/>
      <x:c r="C351" s="4"/>
      <x:c r="D351" s="34" t="str">
        <x:f>IF(OR(A351="",U351="",COUNTIF('Project codes'!$A$7:$A$106,U351)&lt;&gt;1),"",_xlfn.XLOOKUP(U351,'Project codes'!$A$7:$A$106,'Project codes'!$I$7:$I$106,"",0))</x:f>
      </x:c>
      <x:c r="E351" s="4"/>
      <x:c r="F351" s="35" t="str">
        <x:f>IF(AND(ISNUMBER(N351),N351&gt;=0,O351="Complete"),N351/3600000,"")</x:f>
      </x:c>
      <x:c r="G351" s="4"/>
      <x:c r="H351" s="4"/>
      <x:c r="I351" s="36" t="str">
        <x:f>IF(COUNTA(A351:C351,E351,G351:H351,J351:T351,V351:AB351)=0,"",IF(A351="","Review: missing entry ID",IF(COUNTIF($A$7:$A$506,A351)&gt;1,"Review: duplicate entry ID",IF(NOT(ISNUMBER(B351)),"Review: work date",IF(OR(C351="",E351="",K351="",M351="",H351=""),"Review: source details",IF(J351&lt;&gt;'Estimate review'!$J$5,"Review: project scope",IF(OR(NOT(ISNUMBER(N351)),N351&lt;0,O351&lt;&gt;"Complete"),"Review: duration",IF(S351&lt;&gt;"Coded","Review: coding status",IF(OR(U351="",COUNTIF('Project codes'!$A$7:$A$106,U351)=0),"Review: SOW mapping",IF(COUNTIF('Project codes'!$A$7:$A$106,U351)&gt;1,"Review: duplicate code",IF(_xlfn.XLOOKUP(U351,'Project codes'!$A$7:$A$106,'Project codes'!$F$7:$F$106,"Review",0)="Hold","Review: allocation hold",IF(OR(D351="",COUNTIF('SOW register'!$A$7:$A$36,D351)&lt;&gt;1),"Review: SOW mapping",IF(AND(G351&lt;&gt;"Yes",G351&lt;&gt;"No"),"Review: billability",IF(AB351="","Review: billing evidence","OK"))))))))))))))</x:f>
      </x:c>
      <x:c r="J351" s="24"/>
      <x:c r="K351" s="38"/>
      <x:c r="L351" s="38"/>
      <x:c r="M351" s="38"/>
      <x:c r="N351" s="39"/>
      <x:c r="O351" s="24"/>
      <x:c r="P351" s="24"/>
      <x:c r="Q351" s="38"/>
      <x:c r="R351" s="38"/>
      <x:c r="S351" s="24"/>
      <x:c r="T351" s="24"/>
      <x:c r="U351" s="37" t="str">
        <x:f>IF(OR(J351="",Q351="",R351=""),"",J351&amp;"|"&amp;Q351&amp;"|"&amp;R351)</x:f>
      </x:c>
      <x:c r="V351" s="24"/>
      <x:c r="W351" s="24"/>
      <x:c r="X351" s="40"/>
      <x:c r="Y351" s="40"/>
      <x:c r="Z351" s="39"/>
      <x:c r="AA351" s="39"/>
      <x:c r="AB351" s="24"/>
    </x:row>
    <x:row r="352" ht="23" customHeight="1">
      <x:c r="A352" s="20"/>
      <x:c r="B352" s="5"/>
      <x:c r="C352" s="4"/>
      <x:c r="D352" s="34" t="str">
        <x:f>IF(OR(A352="",U352="",COUNTIF('Project codes'!$A$7:$A$106,U352)&lt;&gt;1),"",_xlfn.XLOOKUP(U352,'Project codes'!$A$7:$A$106,'Project codes'!$I$7:$I$106,"",0))</x:f>
      </x:c>
      <x:c r="E352" s="4"/>
      <x:c r="F352" s="35" t="str">
        <x:f>IF(AND(ISNUMBER(N352),N352&gt;=0,O352="Complete"),N352/3600000,"")</x:f>
      </x:c>
      <x:c r="G352" s="4"/>
      <x:c r="H352" s="4"/>
      <x:c r="I352" s="36" t="str">
        <x:f>IF(COUNTA(A352:C352,E352,G352:H352,J352:T352,V352:AB352)=0,"",IF(A352="","Review: missing entry ID",IF(COUNTIF($A$7:$A$506,A352)&gt;1,"Review: duplicate entry ID",IF(NOT(ISNUMBER(B352)),"Review: work date",IF(OR(C352="",E352="",K352="",M352="",H352=""),"Review: source details",IF(J352&lt;&gt;'Estimate review'!$J$5,"Review: project scope",IF(OR(NOT(ISNUMBER(N352)),N352&lt;0,O352&lt;&gt;"Complete"),"Review: duration",IF(S352&lt;&gt;"Coded","Review: coding status",IF(OR(U352="",COUNTIF('Project codes'!$A$7:$A$106,U352)=0),"Review: SOW mapping",IF(COUNTIF('Project codes'!$A$7:$A$106,U352)&gt;1,"Review: duplicate code",IF(_xlfn.XLOOKUP(U352,'Project codes'!$A$7:$A$106,'Project codes'!$F$7:$F$106,"Review",0)="Hold","Review: allocation hold",IF(OR(D352="",COUNTIF('SOW register'!$A$7:$A$36,D352)&lt;&gt;1),"Review: SOW mapping",IF(AND(G352&lt;&gt;"Yes",G352&lt;&gt;"No"),"Review: billability",IF(AB352="","Review: billing evidence","OK"))))))))))))))</x:f>
      </x:c>
      <x:c r="J352" s="24"/>
      <x:c r="K352" s="38"/>
      <x:c r="L352" s="38"/>
      <x:c r="M352" s="38"/>
      <x:c r="N352" s="39"/>
      <x:c r="O352" s="24"/>
      <x:c r="P352" s="24"/>
      <x:c r="Q352" s="38"/>
      <x:c r="R352" s="38"/>
      <x:c r="S352" s="24"/>
      <x:c r="T352" s="24"/>
      <x:c r="U352" s="37" t="str">
        <x:f>IF(OR(J352="",Q352="",R352=""),"",J352&amp;"|"&amp;Q352&amp;"|"&amp;R352)</x:f>
      </x:c>
      <x:c r="V352" s="24"/>
      <x:c r="W352" s="24"/>
      <x:c r="X352" s="40"/>
      <x:c r="Y352" s="40"/>
      <x:c r="Z352" s="39"/>
      <x:c r="AA352" s="39"/>
      <x:c r="AB352" s="24"/>
    </x:row>
    <x:row r="353" ht="23" customHeight="1">
      <x:c r="A353" s="20"/>
      <x:c r="B353" s="5"/>
      <x:c r="C353" s="4"/>
      <x:c r="D353" s="34" t="str">
        <x:f>IF(OR(A353="",U353="",COUNTIF('Project codes'!$A$7:$A$106,U353)&lt;&gt;1),"",_xlfn.XLOOKUP(U353,'Project codes'!$A$7:$A$106,'Project codes'!$I$7:$I$106,"",0))</x:f>
      </x:c>
      <x:c r="E353" s="4"/>
      <x:c r="F353" s="35" t="str">
        <x:f>IF(AND(ISNUMBER(N353),N353&gt;=0,O353="Complete"),N353/3600000,"")</x:f>
      </x:c>
      <x:c r="G353" s="4"/>
      <x:c r="H353" s="4"/>
      <x:c r="I353" s="36" t="str">
        <x:f>IF(COUNTA(A353:C353,E353,G353:H353,J353:T353,V353:AB353)=0,"",IF(A353="","Review: missing entry ID",IF(COUNTIF($A$7:$A$506,A353)&gt;1,"Review: duplicate entry ID",IF(NOT(ISNUMBER(B353)),"Review: work date",IF(OR(C353="",E353="",K353="",M353="",H353=""),"Review: source details",IF(J353&lt;&gt;'Estimate review'!$J$5,"Review: project scope",IF(OR(NOT(ISNUMBER(N353)),N353&lt;0,O353&lt;&gt;"Complete"),"Review: duration",IF(S353&lt;&gt;"Coded","Review: coding status",IF(OR(U353="",COUNTIF('Project codes'!$A$7:$A$106,U353)=0),"Review: SOW mapping",IF(COUNTIF('Project codes'!$A$7:$A$106,U353)&gt;1,"Review: duplicate code",IF(_xlfn.XLOOKUP(U353,'Project codes'!$A$7:$A$106,'Project codes'!$F$7:$F$106,"Review",0)="Hold","Review: allocation hold",IF(OR(D353="",COUNTIF('SOW register'!$A$7:$A$36,D353)&lt;&gt;1),"Review: SOW mapping",IF(AND(G353&lt;&gt;"Yes",G353&lt;&gt;"No"),"Review: billability",IF(AB353="","Review: billing evidence","OK"))))))))))))))</x:f>
      </x:c>
      <x:c r="J353" s="24"/>
      <x:c r="K353" s="38"/>
      <x:c r="L353" s="38"/>
      <x:c r="M353" s="38"/>
      <x:c r="N353" s="39"/>
      <x:c r="O353" s="24"/>
      <x:c r="P353" s="24"/>
      <x:c r="Q353" s="38"/>
      <x:c r="R353" s="38"/>
      <x:c r="S353" s="24"/>
      <x:c r="T353" s="24"/>
      <x:c r="U353" s="37" t="str">
        <x:f>IF(OR(J353="",Q353="",R353=""),"",J353&amp;"|"&amp;Q353&amp;"|"&amp;R353)</x:f>
      </x:c>
      <x:c r="V353" s="24"/>
      <x:c r="W353" s="24"/>
      <x:c r="X353" s="40"/>
      <x:c r="Y353" s="40"/>
      <x:c r="Z353" s="39"/>
      <x:c r="AA353" s="39"/>
      <x:c r="AB353" s="24"/>
    </x:row>
    <x:row r="354" ht="23" customHeight="1">
      <x:c r="A354" s="20"/>
      <x:c r="B354" s="5"/>
      <x:c r="C354" s="4"/>
      <x:c r="D354" s="34" t="str">
        <x:f>IF(OR(A354="",U354="",COUNTIF('Project codes'!$A$7:$A$106,U354)&lt;&gt;1),"",_xlfn.XLOOKUP(U354,'Project codes'!$A$7:$A$106,'Project codes'!$I$7:$I$106,"",0))</x:f>
      </x:c>
      <x:c r="E354" s="4"/>
      <x:c r="F354" s="35" t="str">
        <x:f>IF(AND(ISNUMBER(N354),N354&gt;=0,O354="Complete"),N354/3600000,"")</x:f>
      </x:c>
      <x:c r="G354" s="4"/>
      <x:c r="H354" s="4"/>
      <x:c r="I354" s="36" t="str">
        <x:f>IF(COUNTA(A354:C354,E354,G354:H354,J354:T354,V354:AB354)=0,"",IF(A354="","Review: missing entry ID",IF(COUNTIF($A$7:$A$506,A354)&gt;1,"Review: duplicate entry ID",IF(NOT(ISNUMBER(B354)),"Review: work date",IF(OR(C354="",E354="",K354="",M354="",H354=""),"Review: source details",IF(J354&lt;&gt;'Estimate review'!$J$5,"Review: project scope",IF(OR(NOT(ISNUMBER(N354)),N354&lt;0,O354&lt;&gt;"Complete"),"Review: duration",IF(S354&lt;&gt;"Coded","Review: coding status",IF(OR(U354="",COUNTIF('Project codes'!$A$7:$A$106,U354)=0),"Review: SOW mapping",IF(COUNTIF('Project codes'!$A$7:$A$106,U354)&gt;1,"Review: duplicate code",IF(_xlfn.XLOOKUP(U354,'Project codes'!$A$7:$A$106,'Project codes'!$F$7:$F$106,"Review",0)="Hold","Review: allocation hold",IF(OR(D354="",COUNTIF('SOW register'!$A$7:$A$36,D354)&lt;&gt;1),"Review: SOW mapping",IF(AND(G354&lt;&gt;"Yes",G354&lt;&gt;"No"),"Review: billability",IF(AB354="","Review: billing evidence","OK"))))))))))))))</x:f>
      </x:c>
      <x:c r="J354" s="24"/>
      <x:c r="K354" s="38"/>
      <x:c r="L354" s="38"/>
      <x:c r="M354" s="38"/>
      <x:c r="N354" s="39"/>
      <x:c r="O354" s="24"/>
      <x:c r="P354" s="24"/>
      <x:c r="Q354" s="38"/>
      <x:c r="R354" s="38"/>
      <x:c r="S354" s="24"/>
      <x:c r="T354" s="24"/>
      <x:c r="U354" s="37" t="str">
        <x:f>IF(OR(J354="",Q354="",R354=""),"",J354&amp;"|"&amp;Q354&amp;"|"&amp;R354)</x:f>
      </x:c>
      <x:c r="V354" s="24"/>
      <x:c r="W354" s="24"/>
      <x:c r="X354" s="40"/>
      <x:c r="Y354" s="40"/>
      <x:c r="Z354" s="39"/>
      <x:c r="AA354" s="39"/>
      <x:c r="AB354" s="24"/>
    </x:row>
    <x:row r="355" ht="23" customHeight="1">
      <x:c r="A355" s="20"/>
      <x:c r="B355" s="5"/>
      <x:c r="C355" s="4"/>
      <x:c r="D355" s="34" t="str">
        <x:f>IF(OR(A355="",U355="",COUNTIF('Project codes'!$A$7:$A$106,U355)&lt;&gt;1),"",_xlfn.XLOOKUP(U355,'Project codes'!$A$7:$A$106,'Project codes'!$I$7:$I$106,"",0))</x:f>
      </x:c>
      <x:c r="E355" s="4"/>
      <x:c r="F355" s="35" t="str">
        <x:f>IF(AND(ISNUMBER(N355),N355&gt;=0,O355="Complete"),N355/3600000,"")</x:f>
      </x:c>
      <x:c r="G355" s="4"/>
      <x:c r="H355" s="4"/>
      <x:c r="I355" s="36" t="str">
        <x:f>IF(COUNTA(A355:C355,E355,G355:H355,J355:T355,V355:AB355)=0,"",IF(A355="","Review: missing entry ID",IF(COUNTIF($A$7:$A$506,A355)&gt;1,"Review: duplicate entry ID",IF(NOT(ISNUMBER(B355)),"Review: work date",IF(OR(C355="",E355="",K355="",M355="",H355=""),"Review: source details",IF(J355&lt;&gt;'Estimate review'!$J$5,"Review: project scope",IF(OR(NOT(ISNUMBER(N355)),N355&lt;0,O355&lt;&gt;"Complete"),"Review: duration",IF(S355&lt;&gt;"Coded","Review: coding status",IF(OR(U355="",COUNTIF('Project codes'!$A$7:$A$106,U355)=0),"Review: SOW mapping",IF(COUNTIF('Project codes'!$A$7:$A$106,U355)&gt;1,"Review: duplicate code",IF(_xlfn.XLOOKUP(U355,'Project codes'!$A$7:$A$106,'Project codes'!$F$7:$F$106,"Review",0)="Hold","Review: allocation hold",IF(OR(D355="",COUNTIF('SOW register'!$A$7:$A$36,D355)&lt;&gt;1),"Review: SOW mapping",IF(AND(G355&lt;&gt;"Yes",G355&lt;&gt;"No"),"Review: billability",IF(AB355="","Review: billing evidence","OK"))))))))))))))</x:f>
      </x:c>
      <x:c r="J355" s="24"/>
      <x:c r="K355" s="38"/>
      <x:c r="L355" s="38"/>
      <x:c r="M355" s="38"/>
      <x:c r="N355" s="39"/>
      <x:c r="O355" s="24"/>
      <x:c r="P355" s="24"/>
      <x:c r="Q355" s="38"/>
      <x:c r="R355" s="38"/>
      <x:c r="S355" s="24"/>
      <x:c r="T355" s="24"/>
      <x:c r="U355" s="37" t="str">
        <x:f>IF(OR(J355="",Q355="",R355=""),"",J355&amp;"|"&amp;Q355&amp;"|"&amp;R355)</x:f>
      </x:c>
      <x:c r="V355" s="24"/>
      <x:c r="W355" s="24"/>
      <x:c r="X355" s="40"/>
      <x:c r="Y355" s="40"/>
      <x:c r="Z355" s="39"/>
      <x:c r="AA355" s="39"/>
      <x:c r="AB355" s="24"/>
    </x:row>
    <x:row r="356" ht="23" customHeight="1">
      <x:c r="A356" s="20"/>
      <x:c r="B356" s="5"/>
      <x:c r="C356" s="4"/>
      <x:c r="D356" s="34" t="str">
        <x:f>IF(OR(A356="",U356="",COUNTIF('Project codes'!$A$7:$A$106,U356)&lt;&gt;1),"",_xlfn.XLOOKUP(U356,'Project codes'!$A$7:$A$106,'Project codes'!$I$7:$I$106,"",0))</x:f>
      </x:c>
      <x:c r="E356" s="4"/>
      <x:c r="F356" s="35" t="str">
        <x:f>IF(AND(ISNUMBER(N356),N356&gt;=0,O356="Complete"),N356/3600000,"")</x:f>
      </x:c>
      <x:c r="G356" s="4"/>
      <x:c r="H356" s="4"/>
      <x:c r="I356" s="36" t="str">
        <x:f>IF(COUNTA(A356:C356,E356,G356:H356,J356:T356,V356:AB356)=0,"",IF(A356="","Review: missing entry ID",IF(COUNTIF($A$7:$A$506,A356)&gt;1,"Review: duplicate entry ID",IF(NOT(ISNUMBER(B356)),"Review: work date",IF(OR(C356="",E356="",K356="",M356="",H356=""),"Review: source details",IF(J356&lt;&gt;'Estimate review'!$J$5,"Review: project scope",IF(OR(NOT(ISNUMBER(N356)),N356&lt;0,O356&lt;&gt;"Complete"),"Review: duration",IF(S356&lt;&gt;"Coded","Review: coding status",IF(OR(U356="",COUNTIF('Project codes'!$A$7:$A$106,U356)=0),"Review: SOW mapping",IF(COUNTIF('Project codes'!$A$7:$A$106,U356)&gt;1,"Review: duplicate code",IF(_xlfn.XLOOKUP(U356,'Project codes'!$A$7:$A$106,'Project codes'!$F$7:$F$106,"Review",0)="Hold","Review: allocation hold",IF(OR(D356="",COUNTIF('SOW register'!$A$7:$A$36,D356)&lt;&gt;1),"Review: SOW mapping",IF(AND(G356&lt;&gt;"Yes",G356&lt;&gt;"No"),"Review: billability",IF(AB356="","Review: billing evidence","OK"))))))))))))))</x:f>
      </x:c>
      <x:c r="J356" s="24"/>
      <x:c r="K356" s="38"/>
      <x:c r="L356" s="38"/>
      <x:c r="M356" s="38"/>
      <x:c r="N356" s="39"/>
      <x:c r="O356" s="24"/>
      <x:c r="P356" s="24"/>
      <x:c r="Q356" s="38"/>
      <x:c r="R356" s="38"/>
      <x:c r="S356" s="24"/>
      <x:c r="T356" s="24"/>
      <x:c r="U356" s="37" t="str">
        <x:f>IF(OR(J356="",Q356="",R356=""),"",J356&amp;"|"&amp;Q356&amp;"|"&amp;R356)</x:f>
      </x:c>
      <x:c r="V356" s="24"/>
      <x:c r="W356" s="24"/>
      <x:c r="X356" s="40"/>
      <x:c r="Y356" s="40"/>
      <x:c r="Z356" s="39"/>
      <x:c r="AA356" s="39"/>
      <x:c r="AB356" s="24"/>
    </x:row>
    <x:row r="357" ht="23" customHeight="1">
      <x:c r="A357" s="20"/>
      <x:c r="B357" s="5"/>
      <x:c r="C357" s="4"/>
      <x:c r="D357" s="34" t="str">
        <x:f>IF(OR(A357="",U357="",COUNTIF('Project codes'!$A$7:$A$106,U357)&lt;&gt;1),"",_xlfn.XLOOKUP(U357,'Project codes'!$A$7:$A$106,'Project codes'!$I$7:$I$106,"",0))</x:f>
      </x:c>
      <x:c r="E357" s="4"/>
      <x:c r="F357" s="35" t="str">
        <x:f>IF(AND(ISNUMBER(N357),N357&gt;=0,O357="Complete"),N357/3600000,"")</x:f>
      </x:c>
      <x:c r="G357" s="4"/>
      <x:c r="H357" s="4"/>
      <x:c r="I357" s="36" t="str">
        <x:f>IF(COUNTA(A357:C357,E357,G357:H357,J357:T357,V357:AB357)=0,"",IF(A357="","Review: missing entry ID",IF(COUNTIF($A$7:$A$506,A357)&gt;1,"Review: duplicate entry ID",IF(NOT(ISNUMBER(B357)),"Review: work date",IF(OR(C357="",E357="",K357="",M357="",H357=""),"Review: source details",IF(J357&lt;&gt;'Estimate review'!$J$5,"Review: project scope",IF(OR(NOT(ISNUMBER(N357)),N357&lt;0,O357&lt;&gt;"Complete"),"Review: duration",IF(S357&lt;&gt;"Coded","Review: coding status",IF(OR(U357="",COUNTIF('Project codes'!$A$7:$A$106,U357)=0),"Review: SOW mapping",IF(COUNTIF('Project codes'!$A$7:$A$106,U357)&gt;1,"Review: duplicate code",IF(_xlfn.XLOOKUP(U357,'Project codes'!$A$7:$A$106,'Project codes'!$F$7:$F$106,"Review",0)="Hold","Review: allocation hold",IF(OR(D357="",COUNTIF('SOW register'!$A$7:$A$36,D357)&lt;&gt;1),"Review: SOW mapping",IF(AND(G357&lt;&gt;"Yes",G357&lt;&gt;"No"),"Review: billability",IF(AB357="","Review: billing evidence","OK"))))))))))))))</x:f>
      </x:c>
      <x:c r="J357" s="24"/>
      <x:c r="K357" s="38"/>
      <x:c r="L357" s="38"/>
      <x:c r="M357" s="38"/>
      <x:c r="N357" s="39"/>
      <x:c r="O357" s="24"/>
      <x:c r="P357" s="24"/>
      <x:c r="Q357" s="38"/>
      <x:c r="R357" s="38"/>
      <x:c r="S357" s="24"/>
      <x:c r="T357" s="24"/>
      <x:c r="U357" s="37" t="str">
        <x:f>IF(OR(J357="",Q357="",R357=""),"",J357&amp;"|"&amp;Q357&amp;"|"&amp;R357)</x:f>
      </x:c>
      <x:c r="V357" s="24"/>
      <x:c r="W357" s="24"/>
      <x:c r="X357" s="40"/>
      <x:c r="Y357" s="40"/>
      <x:c r="Z357" s="39"/>
      <x:c r="AA357" s="39"/>
      <x:c r="AB357" s="24"/>
    </x:row>
    <x:row r="358" ht="23" customHeight="1">
      <x:c r="A358" s="20"/>
      <x:c r="B358" s="5"/>
      <x:c r="C358" s="4"/>
      <x:c r="D358" s="34" t="str">
        <x:f>IF(OR(A358="",U358="",COUNTIF('Project codes'!$A$7:$A$106,U358)&lt;&gt;1),"",_xlfn.XLOOKUP(U358,'Project codes'!$A$7:$A$106,'Project codes'!$I$7:$I$106,"",0))</x:f>
      </x:c>
      <x:c r="E358" s="4"/>
      <x:c r="F358" s="35" t="str">
        <x:f>IF(AND(ISNUMBER(N358),N358&gt;=0,O358="Complete"),N358/3600000,"")</x:f>
      </x:c>
      <x:c r="G358" s="4"/>
      <x:c r="H358" s="4"/>
      <x:c r="I358" s="36" t="str">
        <x:f>IF(COUNTA(A358:C358,E358,G358:H358,J358:T358,V358:AB358)=0,"",IF(A358="","Review: missing entry ID",IF(COUNTIF($A$7:$A$506,A358)&gt;1,"Review: duplicate entry ID",IF(NOT(ISNUMBER(B358)),"Review: work date",IF(OR(C358="",E358="",K358="",M358="",H358=""),"Review: source details",IF(J358&lt;&gt;'Estimate review'!$J$5,"Review: project scope",IF(OR(NOT(ISNUMBER(N358)),N358&lt;0,O358&lt;&gt;"Complete"),"Review: duration",IF(S358&lt;&gt;"Coded","Review: coding status",IF(OR(U358="",COUNTIF('Project codes'!$A$7:$A$106,U358)=0),"Review: SOW mapping",IF(COUNTIF('Project codes'!$A$7:$A$106,U358)&gt;1,"Review: duplicate code",IF(_xlfn.XLOOKUP(U358,'Project codes'!$A$7:$A$106,'Project codes'!$F$7:$F$106,"Review",0)="Hold","Review: allocation hold",IF(OR(D358="",COUNTIF('SOW register'!$A$7:$A$36,D358)&lt;&gt;1),"Review: SOW mapping",IF(AND(G358&lt;&gt;"Yes",G358&lt;&gt;"No"),"Review: billability",IF(AB358="","Review: billing evidence","OK"))))))))))))))</x:f>
      </x:c>
      <x:c r="J358" s="24"/>
      <x:c r="K358" s="38"/>
      <x:c r="L358" s="38"/>
      <x:c r="M358" s="38"/>
      <x:c r="N358" s="39"/>
      <x:c r="O358" s="24"/>
      <x:c r="P358" s="24"/>
      <x:c r="Q358" s="38"/>
      <x:c r="R358" s="38"/>
      <x:c r="S358" s="24"/>
      <x:c r="T358" s="24"/>
      <x:c r="U358" s="37" t="str">
        <x:f>IF(OR(J358="",Q358="",R358=""),"",J358&amp;"|"&amp;Q358&amp;"|"&amp;R358)</x:f>
      </x:c>
      <x:c r="V358" s="24"/>
      <x:c r="W358" s="24"/>
      <x:c r="X358" s="40"/>
      <x:c r="Y358" s="40"/>
      <x:c r="Z358" s="39"/>
      <x:c r="AA358" s="39"/>
      <x:c r="AB358" s="24"/>
    </x:row>
    <x:row r="359" ht="23" customHeight="1">
      <x:c r="A359" s="20"/>
      <x:c r="B359" s="5"/>
      <x:c r="C359" s="4"/>
      <x:c r="D359" s="34" t="str">
        <x:f>IF(OR(A359="",U359="",COUNTIF('Project codes'!$A$7:$A$106,U359)&lt;&gt;1),"",_xlfn.XLOOKUP(U359,'Project codes'!$A$7:$A$106,'Project codes'!$I$7:$I$106,"",0))</x:f>
      </x:c>
      <x:c r="E359" s="4"/>
      <x:c r="F359" s="35" t="str">
        <x:f>IF(AND(ISNUMBER(N359),N359&gt;=0,O359="Complete"),N359/3600000,"")</x:f>
      </x:c>
      <x:c r="G359" s="4"/>
      <x:c r="H359" s="4"/>
      <x:c r="I359" s="36" t="str">
        <x:f>IF(COUNTA(A359:C359,E359,G359:H359,J359:T359,V359:AB359)=0,"",IF(A359="","Review: missing entry ID",IF(COUNTIF($A$7:$A$506,A359)&gt;1,"Review: duplicate entry ID",IF(NOT(ISNUMBER(B359)),"Review: work date",IF(OR(C359="",E359="",K359="",M359="",H359=""),"Review: source details",IF(J359&lt;&gt;'Estimate review'!$J$5,"Review: project scope",IF(OR(NOT(ISNUMBER(N359)),N359&lt;0,O359&lt;&gt;"Complete"),"Review: duration",IF(S359&lt;&gt;"Coded","Review: coding status",IF(OR(U359="",COUNTIF('Project codes'!$A$7:$A$106,U359)=0),"Review: SOW mapping",IF(COUNTIF('Project codes'!$A$7:$A$106,U359)&gt;1,"Review: duplicate code",IF(_xlfn.XLOOKUP(U359,'Project codes'!$A$7:$A$106,'Project codes'!$F$7:$F$106,"Review",0)="Hold","Review: allocation hold",IF(OR(D359="",COUNTIF('SOW register'!$A$7:$A$36,D359)&lt;&gt;1),"Review: SOW mapping",IF(AND(G359&lt;&gt;"Yes",G359&lt;&gt;"No"),"Review: billability",IF(AB359="","Review: billing evidence","OK"))))))))))))))</x:f>
      </x:c>
      <x:c r="J359" s="24"/>
      <x:c r="K359" s="38"/>
      <x:c r="L359" s="38"/>
      <x:c r="M359" s="38"/>
      <x:c r="N359" s="39"/>
      <x:c r="O359" s="24"/>
      <x:c r="P359" s="24"/>
      <x:c r="Q359" s="38"/>
      <x:c r="R359" s="38"/>
      <x:c r="S359" s="24"/>
      <x:c r="T359" s="24"/>
      <x:c r="U359" s="37" t="str">
        <x:f>IF(OR(J359="",Q359="",R359=""),"",J359&amp;"|"&amp;Q359&amp;"|"&amp;R359)</x:f>
      </x:c>
      <x:c r="V359" s="24"/>
      <x:c r="W359" s="24"/>
      <x:c r="X359" s="40"/>
      <x:c r="Y359" s="40"/>
      <x:c r="Z359" s="39"/>
      <x:c r="AA359" s="39"/>
      <x:c r="AB359" s="24"/>
    </x:row>
    <x:row r="360" ht="23" customHeight="1">
      <x:c r="A360" s="20"/>
      <x:c r="B360" s="5"/>
      <x:c r="C360" s="4"/>
      <x:c r="D360" s="34" t="str">
        <x:f>IF(OR(A360="",U360="",COUNTIF('Project codes'!$A$7:$A$106,U360)&lt;&gt;1),"",_xlfn.XLOOKUP(U360,'Project codes'!$A$7:$A$106,'Project codes'!$I$7:$I$106,"",0))</x:f>
      </x:c>
      <x:c r="E360" s="4"/>
      <x:c r="F360" s="35" t="str">
        <x:f>IF(AND(ISNUMBER(N360),N360&gt;=0,O360="Complete"),N360/3600000,"")</x:f>
      </x:c>
      <x:c r="G360" s="4"/>
      <x:c r="H360" s="4"/>
      <x:c r="I360" s="36" t="str">
        <x:f>IF(COUNTA(A360:C360,E360,G360:H360,J360:T360,V360:AB360)=0,"",IF(A360="","Review: missing entry ID",IF(COUNTIF($A$7:$A$506,A360)&gt;1,"Review: duplicate entry ID",IF(NOT(ISNUMBER(B360)),"Review: work date",IF(OR(C360="",E360="",K360="",M360="",H360=""),"Review: source details",IF(J360&lt;&gt;'Estimate review'!$J$5,"Review: project scope",IF(OR(NOT(ISNUMBER(N360)),N360&lt;0,O360&lt;&gt;"Complete"),"Review: duration",IF(S360&lt;&gt;"Coded","Review: coding status",IF(OR(U360="",COUNTIF('Project codes'!$A$7:$A$106,U360)=0),"Review: SOW mapping",IF(COUNTIF('Project codes'!$A$7:$A$106,U360)&gt;1,"Review: duplicate code",IF(_xlfn.XLOOKUP(U360,'Project codes'!$A$7:$A$106,'Project codes'!$F$7:$F$106,"Review",0)="Hold","Review: allocation hold",IF(OR(D360="",COUNTIF('SOW register'!$A$7:$A$36,D360)&lt;&gt;1),"Review: SOW mapping",IF(AND(G360&lt;&gt;"Yes",G360&lt;&gt;"No"),"Review: billability",IF(AB360="","Review: billing evidence","OK"))))))))))))))</x:f>
      </x:c>
      <x:c r="J360" s="24"/>
      <x:c r="K360" s="38"/>
      <x:c r="L360" s="38"/>
      <x:c r="M360" s="38"/>
      <x:c r="N360" s="39"/>
      <x:c r="O360" s="24"/>
      <x:c r="P360" s="24"/>
      <x:c r="Q360" s="38"/>
      <x:c r="R360" s="38"/>
      <x:c r="S360" s="24"/>
      <x:c r="T360" s="24"/>
      <x:c r="U360" s="37" t="str">
        <x:f>IF(OR(J360="",Q360="",R360=""),"",J360&amp;"|"&amp;Q360&amp;"|"&amp;R360)</x:f>
      </x:c>
      <x:c r="V360" s="24"/>
      <x:c r="W360" s="24"/>
      <x:c r="X360" s="40"/>
      <x:c r="Y360" s="40"/>
      <x:c r="Z360" s="39"/>
      <x:c r="AA360" s="39"/>
      <x:c r="AB360" s="24"/>
    </x:row>
    <x:row r="361" ht="23" customHeight="1">
      <x:c r="A361" s="20"/>
      <x:c r="B361" s="5"/>
      <x:c r="C361" s="4"/>
      <x:c r="D361" s="34" t="str">
        <x:f>IF(OR(A361="",U361="",COUNTIF('Project codes'!$A$7:$A$106,U361)&lt;&gt;1),"",_xlfn.XLOOKUP(U361,'Project codes'!$A$7:$A$106,'Project codes'!$I$7:$I$106,"",0))</x:f>
      </x:c>
      <x:c r="E361" s="4"/>
      <x:c r="F361" s="35" t="str">
        <x:f>IF(AND(ISNUMBER(N361),N361&gt;=0,O361="Complete"),N361/3600000,"")</x:f>
      </x:c>
      <x:c r="G361" s="4"/>
      <x:c r="H361" s="4"/>
      <x:c r="I361" s="36" t="str">
        <x:f>IF(COUNTA(A361:C361,E361,G361:H361,J361:T361,V361:AB361)=0,"",IF(A361="","Review: missing entry ID",IF(COUNTIF($A$7:$A$506,A361)&gt;1,"Review: duplicate entry ID",IF(NOT(ISNUMBER(B361)),"Review: work date",IF(OR(C361="",E361="",K361="",M361="",H361=""),"Review: source details",IF(J361&lt;&gt;'Estimate review'!$J$5,"Review: project scope",IF(OR(NOT(ISNUMBER(N361)),N361&lt;0,O361&lt;&gt;"Complete"),"Review: duration",IF(S361&lt;&gt;"Coded","Review: coding status",IF(OR(U361="",COUNTIF('Project codes'!$A$7:$A$106,U361)=0),"Review: SOW mapping",IF(COUNTIF('Project codes'!$A$7:$A$106,U361)&gt;1,"Review: duplicate code",IF(_xlfn.XLOOKUP(U361,'Project codes'!$A$7:$A$106,'Project codes'!$F$7:$F$106,"Review",0)="Hold","Review: allocation hold",IF(OR(D361="",COUNTIF('SOW register'!$A$7:$A$36,D361)&lt;&gt;1),"Review: SOW mapping",IF(AND(G361&lt;&gt;"Yes",G361&lt;&gt;"No"),"Review: billability",IF(AB361="","Review: billing evidence","OK"))))))))))))))</x:f>
      </x:c>
      <x:c r="J361" s="24"/>
      <x:c r="K361" s="38"/>
      <x:c r="L361" s="38"/>
      <x:c r="M361" s="38"/>
      <x:c r="N361" s="39"/>
      <x:c r="O361" s="24"/>
      <x:c r="P361" s="24"/>
      <x:c r="Q361" s="38"/>
      <x:c r="R361" s="38"/>
      <x:c r="S361" s="24"/>
      <x:c r="T361" s="24"/>
      <x:c r="U361" s="37" t="str">
        <x:f>IF(OR(J361="",Q361="",R361=""),"",J361&amp;"|"&amp;Q361&amp;"|"&amp;R361)</x:f>
      </x:c>
      <x:c r="V361" s="24"/>
      <x:c r="W361" s="24"/>
      <x:c r="X361" s="40"/>
      <x:c r="Y361" s="40"/>
      <x:c r="Z361" s="39"/>
      <x:c r="AA361" s="39"/>
      <x:c r="AB361" s="24"/>
    </x:row>
    <x:row r="362" ht="23" customHeight="1">
      <x:c r="A362" s="20"/>
      <x:c r="B362" s="5"/>
      <x:c r="C362" s="4"/>
      <x:c r="D362" s="34" t="str">
        <x:f>IF(OR(A362="",U362="",COUNTIF('Project codes'!$A$7:$A$106,U362)&lt;&gt;1),"",_xlfn.XLOOKUP(U362,'Project codes'!$A$7:$A$106,'Project codes'!$I$7:$I$106,"",0))</x:f>
      </x:c>
      <x:c r="E362" s="4"/>
      <x:c r="F362" s="35" t="str">
        <x:f>IF(AND(ISNUMBER(N362),N362&gt;=0,O362="Complete"),N362/3600000,"")</x:f>
      </x:c>
      <x:c r="G362" s="4"/>
      <x:c r="H362" s="4"/>
      <x:c r="I362" s="36" t="str">
        <x:f>IF(COUNTA(A362:C362,E362,G362:H362,J362:T362,V362:AB362)=0,"",IF(A362="","Review: missing entry ID",IF(COUNTIF($A$7:$A$506,A362)&gt;1,"Review: duplicate entry ID",IF(NOT(ISNUMBER(B362)),"Review: work date",IF(OR(C362="",E362="",K362="",M362="",H362=""),"Review: source details",IF(J362&lt;&gt;'Estimate review'!$J$5,"Review: project scope",IF(OR(NOT(ISNUMBER(N362)),N362&lt;0,O362&lt;&gt;"Complete"),"Review: duration",IF(S362&lt;&gt;"Coded","Review: coding status",IF(OR(U362="",COUNTIF('Project codes'!$A$7:$A$106,U362)=0),"Review: SOW mapping",IF(COUNTIF('Project codes'!$A$7:$A$106,U362)&gt;1,"Review: duplicate code",IF(_xlfn.XLOOKUP(U362,'Project codes'!$A$7:$A$106,'Project codes'!$F$7:$F$106,"Review",0)="Hold","Review: allocation hold",IF(OR(D362="",COUNTIF('SOW register'!$A$7:$A$36,D362)&lt;&gt;1),"Review: SOW mapping",IF(AND(G362&lt;&gt;"Yes",G362&lt;&gt;"No"),"Review: billability",IF(AB362="","Review: billing evidence","OK"))))))))))))))</x:f>
      </x:c>
      <x:c r="J362" s="24"/>
      <x:c r="K362" s="38"/>
      <x:c r="L362" s="38"/>
      <x:c r="M362" s="38"/>
      <x:c r="N362" s="39"/>
      <x:c r="O362" s="24"/>
      <x:c r="P362" s="24"/>
      <x:c r="Q362" s="38"/>
      <x:c r="R362" s="38"/>
      <x:c r="S362" s="24"/>
      <x:c r="T362" s="24"/>
      <x:c r="U362" s="37" t="str">
        <x:f>IF(OR(J362="",Q362="",R362=""),"",J362&amp;"|"&amp;Q362&amp;"|"&amp;R362)</x:f>
      </x:c>
      <x:c r="V362" s="24"/>
      <x:c r="W362" s="24"/>
      <x:c r="X362" s="40"/>
      <x:c r="Y362" s="40"/>
      <x:c r="Z362" s="39"/>
      <x:c r="AA362" s="39"/>
      <x:c r="AB362" s="24"/>
    </x:row>
    <x:row r="363" ht="23" customHeight="1">
      <x:c r="A363" s="20"/>
      <x:c r="B363" s="5"/>
      <x:c r="C363" s="4"/>
      <x:c r="D363" s="34" t="str">
        <x:f>IF(OR(A363="",U363="",COUNTIF('Project codes'!$A$7:$A$106,U363)&lt;&gt;1),"",_xlfn.XLOOKUP(U363,'Project codes'!$A$7:$A$106,'Project codes'!$I$7:$I$106,"",0))</x:f>
      </x:c>
      <x:c r="E363" s="4"/>
      <x:c r="F363" s="35" t="str">
        <x:f>IF(AND(ISNUMBER(N363),N363&gt;=0,O363="Complete"),N363/3600000,"")</x:f>
      </x:c>
      <x:c r="G363" s="4"/>
      <x:c r="H363" s="4"/>
      <x:c r="I363" s="36" t="str">
        <x:f>IF(COUNTA(A363:C363,E363,G363:H363,J363:T363,V363:AB363)=0,"",IF(A363="","Review: missing entry ID",IF(COUNTIF($A$7:$A$506,A363)&gt;1,"Review: duplicate entry ID",IF(NOT(ISNUMBER(B363)),"Review: work date",IF(OR(C363="",E363="",K363="",M363="",H363=""),"Review: source details",IF(J363&lt;&gt;'Estimate review'!$J$5,"Review: project scope",IF(OR(NOT(ISNUMBER(N363)),N363&lt;0,O363&lt;&gt;"Complete"),"Review: duration",IF(S363&lt;&gt;"Coded","Review: coding status",IF(OR(U363="",COUNTIF('Project codes'!$A$7:$A$106,U363)=0),"Review: SOW mapping",IF(COUNTIF('Project codes'!$A$7:$A$106,U363)&gt;1,"Review: duplicate code",IF(_xlfn.XLOOKUP(U363,'Project codes'!$A$7:$A$106,'Project codes'!$F$7:$F$106,"Review",0)="Hold","Review: allocation hold",IF(OR(D363="",COUNTIF('SOW register'!$A$7:$A$36,D363)&lt;&gt;1),"Review: SOW mapping",IF(AND(G363&lt;&gt;"Yes",G363&lt;&gt;"No"),"Review: billability",IF(AB363="","Review: billing evidence","OK"))))))))))))))</x:f>
      </x:c>
      <x:c r="J363" s="24"/>
      <x:c r="K363" s="38"/>
      <x:c r="L363" s="38"/>
      <x:c r="M363" s="38"/>
      <x:c r="N363" s="39"/>
      <x:c r="O363" s="24"/>
      <x:c r="P363" s="24"/>
      <x:c r="Q363" s="38"/>
      <x:c r="R363" s="38"/>
      <x:c r="S363" s="24"/>
      <x:c r="T363" s="24"/>
      <x:c r="U363" s="37" t="str">
        <x:f>IF(OR(J363="",Q363="",R363=""),"",J363&amp;"|"&amp;Q363&amp;"|"&amp;R363)</x:f>
      </x:c>
      <x:c r="V363" s="24"/>
      <x:c r="W363" s="24"/>
      <x:c r="X363" s="40"/>
      <x:c r="Y363" s="40"/>
      <x:c r="Z363" s="39"/>
      <x:c r="AA363" s="39"/>
      <x:c r="AB363" s="24"/>
    </x:row>
    <x:row r="364" ht="23" customHeight="1">
      <x:c r="A364" s="20"/>
      <x:c r="B364" s="5"/>
      <x:c r="C364" s="4"/>
      <x:c r="D364" s="34" t="str">
        <x:f>IF(OR(A364="",U364="",COUNTIF('Project codes'!$A$7:$A$106,U364)&lt;&gt;1),"",_xlfn.XLOOKUP(U364,'Project codes'!$A$7:$A$106,'Project codes'!$I$7:$I$106,"",0))</x:f>
      </x:c>
      <x:c r="E364" s="4"/>
      <x:c r="F364" s="35" t="str">
        <x:f>IF(AND(ISNUMBER(N364),N364&gt;=0,O364="Complete"),N364/3600000,"")</x:f>
      </x:c>
      <x:c r="G364" s="4"/>
      <x:c r="H364" s="4"/>
      <x:c r="I364" s="36" t="str">
        <x:f>IF(COUNTA(A364:C364,E364,G364:H364,J364:T364,V364:AB364)=0,"",IF(A364="","Review: missing entry ID",IF(COUNTIF($A$7:$A$506,A364)&gt;1,"Review: duplicate entry ID",IF(NOT(ISNUMBER(B364)),"Review: work date",IF(OR(C364="",E364="",K364="",M364="",H364=""),"Review: source details",IF(J364&lt;&gt;'Estimate review'!$J$5,"Review: project scope",IF(OR(NOT(ISNUMBER(N364)),N364&lt;0,O364&lt;&gt;"Complete"),"Review: duration",IF(S364&lt;&gt;"Coded","Review: coding status",IF(OR(U364="",COUNTIF('Project codes'!$A$7:$A$106,U364)=0),"Review: SOW mapping",IF(COUNTIF('Project codes'!$A$7:$A$106,U364)&gt;1,"Review: duplicate code",IF(_xlfn.XLOOKUP(U364,'Project codes'!$A$7:$A$106,'Project codes'!$F$7:$F$106,"Review",0)="Hold","Review: allocation hold",IF(OR(D364="",COUNTIF('SOW register'!$A$7:$A$36,D364)&lt;&gt;1),"Review: SOW mapping",IF(AND(G364&lt;&gt;"Yes",G364&lt;&gt;"No"),"Review: billability",IF(AB364="","Review: billing evidence","OK"))))))))))))))</x:f>
      </x:c>
      <x:c r="J364" s="24"/>
      <x:c r="K364" s="38"/>
      <x:c r="L364" s="38"/>
      <x:c r="M364" s="38"/>
      <x:c r="N364" s="39"/>
      <x:c r="O364" s="24"/>
      <x:c r="P364" s="24"/>
      <x:c r="Q364" s="38"/>
      <x:c r="R364" s="38"/>
      <x:c r="S364" s="24"/>
      <x:c r="T364" s="24"/>
      <x:c r="U364" s="37" t="str">
        <x:f>IF(OR(J364="",Q364="",R364=""),"",J364&amp;"|"&amp;Q364&amp;"|"&amp;R364)</x:f>
      </x:c>
      <x:c r="V364" s="24"/>
      <x:c r="W364" s="24"/>
      <x:c r="X364" s="40"/>
      <x:c r="Y364" s="40"/>
      <x:c r="Z364" s="39"/>
      <x:c r="AA364" s="39"/>
      <x:c r="AB364" s="24"/>
    </x:row>
    <x:row r="365" ht="23" customHeight="1">
      <x:c r="A365" s="20"/>
      <x:c r="B365" s="5"/>
      <x:c r="C365" s="4"/>
      <x:c r="D365" s="34" t="str">
        <x:f>IF(OR(A365="",U365="",COUNTIF('Project codes'!$A$7:$A$106,U365)&lt;&gt;1),"",_xlfn.XLOOKUP(U365,'Project codes'!$A$7:$A$106,'Project codes'!$I$7:$I$106,"",0))</x:f>
      </x:c>
      <x:c r="E365" s="4"/>
      <x:c r="F365" s="35" t="str">
        <x:f>IF(AND(ISNUMBER(N365),N365&gt;=0,O365="Complete"),N365/3600000,"")</x:f>
      </x:c>
      <x:c r="G365" s="4"/>
      <x:c r="H365" s="4"/>
      <x:c r="I365" s="36" t="str">
        <x:f>IF(COUNTA(A365:C365,E365,G365:H365,J365:T365,V365:AB365)=0,"",IF(A365="","Review: missing entry ID",IF(COUNTIF($A$7:$A$506,A365)&gt;1,"Review: duplicate entry ID",IF(NOT(ISNUMBER(B365)),"Review: work date",IF(OR(C365="",E365="",K365="",M365="",H365=""),"Review: source details",IF(J365&lt;&gt;'Estimate review'!$J$5,"Review: project scope",IF(OR(NOT(ISNUMBER(N365)),N365&lt;0,O365&lt;&gt;"Complete"),"Review: duration",IF(S365&lt;&gt;"Coded","Review: coding status",IF(OR(U365="",COUNTIF('Project codes'!$A$7:$A$106,U365)=0),"Review: SOW mapping",IF(COUNTIF('Project codes'!$A$7:$A$106,U365)&gt;1,"Review: duplicate code",IF(_xlfn.XLOOKUP(U365,'Project codes'!$A$7:$A$106,'Project codes'!$F$7:$F$106,"Review",0)="Hold","Review: allocation hold",IF(OR(D365="",COUNTIF('SOW register'!$A$7:$A$36,D365)&lt;&gt;1),"Review: SOW mapping",IF(AND(G365&lt;&gt;"Yes",G365&lt;&gt;"No"),"Review: billability",IF(AB365="","Review: billing evidence","OK"))))))))))))))</x:f>
      </x:c>
      <x:c r="J365" s="24"/>
      <x:c r="K365" s="38"/>
      <x:c r="L365" s="38"/>
      <x:c r="M365" s="38"/>
      <x:c r="N365" s="39"/>
      <x:c r="O365" s="24"/>
      <x:c r="P365" s="24"/>
      <x:c r="Q365" s="38"/>
      <x:c r="R365" s="38"/>
      <x:c r="S365" s="24"/>
      <x:c r="T365" s="24"/>
      <x:c r="U365" s="37" t="str">
        <x:f>IF(OR(J365="",Q365="",R365=""),"",J365&amp;"|"&amp;Q365&amp;"|"&amp;R365)</x:f>
      </x:c>
      <x:c r="V365" s="24"/>
      <x:c r="W365" s="24"/>
      <x:c r="X365" s="40"/>
      <x:c r="Y365" s="40"/>
      <x:c r="Z365" s="39"/>
      <x:c r="AA365" s="39"/>
      <x:c r="AB365" s="24"/>
    </x:row>
    <x:row r="366" ht="23" customHeight="1">
      <x:c r="A366" s="20"/>
      <x:c r="B366" s="5"/>
      <x:c r="C366" s="4"/>
      <x:c r="D366" s="34" t="str">
        <x:f>IF(OR(A366="",U366="",COUNTIF('Project codes'!$A$7:$A$106,U366)&lt;&gt;1),"",_xlfn.XLOOKUP(U366,'Project codes'!$A$7:$A$106,'Project codes'!$I$7:$I$106,"",0))</x:f>
      </x:c>
      <x:c r="E366" s="4"/>
      <x:c r="F366" s="35" t="str">
        <x:f>IF(AND(ISNUMBER(N366),N366&gt;=0,O366="Complete"),N366/3600000,"")</x:f>
      </x:c>
      <x:c r="G366" s="4"/>
      <x:c r="H366" s="4"/>
      <x:c r="I366" s="36" t="str">
        <x:f>IF(COUNTA(A366:C366,E366,G366:H366,J366:T366,V366:AB366)=0,"",IF(A366="","Review: missing entry ID",IF(COUNTIF($A$7:$A$506,A366)&gt;1,"Review: duplicate entry ID",IF(NOT(ISNUMBER(B366)),"Review: work date",IF(OR(C366="",E366="",K366="",M366="",H366=""),"Review: source details",IF(J366&lt;&gt;'Estimate review'!$J$5,"Review: project scope",IF(OR(NOT(ISNUMBER(N366)),N366&lt;0,O366&lt;&gt;"Complete"),"Review: duration",IF(S366&lt;&gt;"Coded","Review: coding status",IF(OR(U366="",COUNTIF('Project codes'!$A$7:$A$106,U366)=0),"Review: SOW mapping",IF(COUNTIF('Project codes'!$A$7:$A$106,U366)&gt;1,"Review: duplicate code",IF(_xlfn.XLOOKUP(U366,'Project codes'!$A$7:$A$106,'Project codes'!$F$7:$F$106,"Review",0)="Hold","Review: allocation hold",IF(OR(D366="",COUNTIF('SOW register'!$A$7:$A$36,D366)&lt;&gt;1),"Review: SOW mapping",IF(AND(G366&lt;&gt;"Yes",G366&lt;&gt;"No"),"Review: billability",IF(AB366="","Review: billing evidence","OK"))))))))))))))</x:f>
      </x:c>
      <x:c r="J366" s="24"/>
      <x:c r="K366" s="38"/>
      <x:c r="L366" s="38"/>
      <x:c r="M366" s="38"/>
      <x:c r="N366" s="39"/>
      <x:c r="O366" s="24"/>
      <x:c r="P366" s="24"/>
      <x:c r="Q366" s="38"/>
      <x:c r="R366" s="38"/>
      <x:c r="S366" s="24"/>
      <x:c r="T366" s="24"/>
      <x:c r="U366" s="37" t="str">
        <x:f>IF(OR(J366="",Q366="",R366=""),"",J366&amp;"|"&amp;Q366&amp;"|"&amp;R366)</x:f>
      </x:c>
      <x:c r="V366" s="24"/>
      <x:c r="W366" s="24"/>
      <x:c r="X366" s="40"/>
      <x:c r="Y366" s="40"/>
      <x:c r="Z366" s="39"/>
      <x:c r="AA366" s="39"/>
      <x:c r="AB366" s="24"/>
    </x:row>
    <x:row r="367" ht="23" customHeight="1">
      <x:c r="A367" s="20"/>
      <x:c r="B367" s="5"/>
      <x:c r="C367" s="4"/>
      <x:c r="D367" s="34" t="str">
        <x:f>IF(OR(A367="",U367="",COUNTIF('Project codes'!$A$7:$A$106,U367)&lt;&gt;1),"",_xlfn.XLOOKUP(U367,'Project codes'!$A$7:$A$106,'Project codes'!$I$7:$I$106,"",0))</x:f>
      </x:c>
      <x:c r="E367" s="4"/>
      <x:c r="F367" s="35" t="str">
        <x:f>IF(AND(ISNUMBER(N367),N367&gt;=0,O367="Complete"),N367/3600000,"")</x:f>
      </x:c>
      <x:c r="G367" s="4"/>
      <x:c r="H367" s="4"/>
      <x:c r="I367" s="36" t="str">
        <x:f>IF(COUNTA(A367:C367,E367,G367:H367,J367:T367,V367:AB367)=0,"",IF(A367="","Review: missing entry ID",IF(COUNTIF($A$7:$A$506,A367)&gt;1,"Review: duplicate entry ID",IF(NOT(ISNUMBER(B367)),"Review: work date",IF(OR(C367="",E367="",K367="",M367="",H367=""),"Review: source details",IF(J367&lt;&gt;'Estimate review'!$J$5,"Review: project scope",IF(OR(NOT(ISNUMBER(N367)),N367&lt;0,O367&lt;&gt;"Complete"),"Review: duration",IF(S367&lt;&gt;"Coded","Review: coding status",IF(OR(U367="",COUNTIF('Project codes'!$A$7:$A$106,U367)=0),"Review: SOW mapping",IF(COUNTIF('Project codes'!$A$7:$A$106,U367)&gt;1,"Review: duplicate code",IF(_xlfn.XLOOKUP(U367,'Project codes'!$A$7:$A$106,'Project codes'!$F$7:$F$106,"Review",0)="Hold","Review: allocation hold",IF(OR(D367="",COUNTIF('SOW register'!$A$7:$A$36,D367)&lt;&gt;1),"Review: SOW mapping",IF(AND(G367&lt;&gt;"Yes",G367&lt;&gt;"No"),"Review: billability",IF(AB367="","Review: billing evidence","OK"))))))))))))))</x:f>
      </x:c>
      <x:c r="J367" s="24"/>
      <x:c r="K367" s="38"/>
      <x:c r="L367" s="38"/>
      <x:c r="M367" s="38"/>
      <x:c r="N367" s="39"/>
      <x:c r="O367" s="24"/>
      <x:c r="P367" s="24"/>
      <x:c r="Q367" s="38"/>
      <x:c r="R367" s="38"/>
      <x:c r="S367" s="24"/>
      <x:c r="T367" s="24"/>
      <x:c r="U367" s="37" t="str">
        <x:f>IF(OR(J367="",Q367="",R367=""),"",J367&amp;"|"&amp;Q367&amp;"|"&amp;R367)</x:f>
      </x:c>
      <x:c r="V367" s="24"/>
      <x:c r="W367" s="24"/>
      <x:c r="X367" s="40"/>
      <x:c r="Y367" s="40"/>
      <x:c r="Z367" s="39"/>
      <x:c r="AA367" s="39"/>
      <x:c r="AB367" s="24"/>
    </x:row>
    <x:row r="368" ht="23" customHeight="1">
      <x:c r="A368" s="20"/>
      <x:c r="B368" s="5"/>
      <x:c r="C368" s="4"/>
      <x:c r="D368" s="34" t="str">
        <x:f>IF(OR(A368="",U368="",COUNTIF('Project codes'!$A$7:$A$106,U368)&lt;&gt;1),"",_xlfn.XLOOKUP(U368,'Project codes'!$A$7:$A$106,'Project codes'!$I$7:$I$106,"",0))</x:f>
      </x:c>
      <x:c r="E368" s="4"/>
      <x:c r="F368" s="35" t="str">
        <x:f>IF(AND(ISNUMBER(N368),N368&gt;=0,O368="Complete"),N368/3600000,"")</x:f>
      </x:c>
      <x:c r="G368" s="4"/>
      <x:c r="H368" s="4"/>
      <x:c r="I368" s="36" t="str">
        <x:f>IF(COUNTA(A368:C368,E368,G368:H368,J368:T368,V368:AB368)=0,"",IF(A368="","Review: missing entry ID",IF(COUNTIF($A$7:$A$506,A368)&gt;1,"Review: duplicate entry ID",IF(NOT(ISNUMBER(B368)),"Review: work date",IF(OR(C368="",E368="",K368="",M368="",H368=""),"Review: source details",IF(J368&lt;&gt;'Estimate review'!$J$5,"Review: project scope",IF(OR(NOT(ISNUMBER(N368)),N368&lt;0,O368&lt;&gt;"Complete"),"Review: duration",IF(S368&lt;&gt;"Coded","Review: coding status",IF(OR(U368="",COUNTIF('Project codes'!$A$7:$A$106,U368)=0),"Review: SOW mapping",IF(COUNTIF('Project codes'!$A$7:$A$106,U368)&gt;1,"Review: duplicate code",IF(_xlfn.XLOOKUP(U368,'Project codes'!$A$7:$A$106,'Project codes'!$F$7:$F$106,"Review",0)="Hold","Review: allocation hold",IF(OR(D368="",COUNTIF('SOW register'!$A$7:$A$36,D368)&lt;&gt;1),"Review: SOW mapping",IF(AND(G368&lt;&gt;"Yes",G368&lt;&gt;"No"),"Review: billability",IF(AB368="","Review: billing evidence","OK"))))))))))))))</x:f>
      </x:c>
      <x:c r="J368" s="24"/>
      <x:c r="K368" s="38"/>
      <x:c r="L368" s="38"/>
      <x:c r="M368" s="38"/>
      <x:c r="N368" s="39"/>
      <x:c r="O368" s="24"/>
      <x:c r="P368" s="24"/>
      <x:c r="Q368" s="38"/>
      <x:c r="R368" s="38"/>
      <x:c r="S368" s="24"/>
      <x:c r="T368" s="24"/>
      <x:c r="U368" s="37" t="str">
        <x:f>IF(OR(J368="",Q368="",R368=""),"",J368&amp;"|"&amp;Q368&amp;"|"&amp;R368)</x:f>
      </x:c>
      <x:c r="V368" s="24"/>
      <x:c r="W368" s="24"/>
      <x:c r="X368" s="40"/>
      <x:c r="Y368" s="40"/>
      <x:c r="Z368" s="39"/>
      <x:c r="AA368" s="39"/>
      <x:c r="AB368" s="24"/>
    </x:row>
    <x:row r="369" ht="23" customHeight="1">
      <x:c r="A369" s="20"/>
      <x:c r="B369" s="5"/>
      <x:c r="C369" s="4"/>
      <x:c r="D369" s="34" t="str">
        <x:f>IF(OR(A369="",U369="",COUNTIF('Project codes'!$A$7:$A$106,U369)&lt;&gt;1),"",_xlfn.XLOOKUP(U369,'Project codes'!$A$7:$A$106,'Project codes'!$I$7:$I$106,"",0))</x:f>
      </x:c>
      <x:c r="E369" s="4"/>
      <x:c r="F369" s="35" t="str">
        <x:f>IF(AND(ISNUMBER(N369),N369&gt;=0,O369="Complete"),N369/3600000,"")</x:f>
      </x:c>
      <x:c r="G369" s="4"/>
      <x:c r="H369" s="4"/>
      <x:c r="I369" s="36" t="str">
        <x:f>IF(COUNTA(A369:C369,E369,G369:H369,J369:T369,V369:AB369)=0,"",IF(A369="","Review: missing entry ID",IF(COUNTIF($A$7:$A$506,A369)&gt;1,"Review: duplicate entry ID",IF(NOT(ISNUMBER(B369)),"Review: work date",IF(OR(C369="",E369="",K369="",M369="",H369=""),"Review: source details",IF(J369&lt;&gt;'Estimate review'!$J$5,"Review: project scope",IF(OR(NOT(ISNUMBER(N369)),N369&lt;0,O369&lt;&gt;"Complete"),"Review: duration",IF(S369&lt;&gt;"Coded","Review: coding status",IF(OR(U369="",COUNTIF('Project codes'!$A$7:$A$106,U369)=0),"Review: SOW mapping",IF(COUNTIF('Project codes'!$A$7:$A$106,U369)&gt;1,"Review: duplicate code",IF(_xlfn.XLOOKUP(U369,'Project codes'!$A$7:$A$106,'Project codes'!$F$7:$F$106,"Review",0)="Hold","Review: allocation hold",IF(OR(D369="",COUNTIF('SOW register'!$A$7:$A$36,D369)&lt;&gt;1),"Review: SOW mapping",IF(AND(G369&lt;&gt;"Yes",G369&lt;&gt;"No"),"Review: billability",IF(AB369="","Review: billing evidence","OK"))))))))))))))</x:f>
      </x:c>
      <x:c r="J369" s="24"/>
      <x:c r="K369" s="38"/>
      <x:c r="L369" s="38"/>
      <x:c r="M369" s="38"/>
      <x:c r="N369" s="39"/>
      <x:c r="O369" s="24"/>
      <x:c r="P369" s="24"/>
      <x:c r="Q369" s="38"/>
      <x:c r="R369" s="38"/>
      <x:c r="S369" s="24"/>
      <x:c r="T369" s="24"/>
      <x:c r="U369" s="37" t="str">
        <x:f>IF(OR(J369="",Q369="",R369=""),"",J369&amp;"|"&amp;Q369&amp;"|"&amp;R369)</x:f>
      </x:c>
      <x:c r="V369" s="24"/>
      <x:c r="W369" s="24"/>
      <x:c r="X369" s="40"/>
      <x:c r="Y369" s="40"/>
      <x:c r="Z369" s="39"/>
      <x:c r="AA369" s="39"/>
      <x:c r="AB369" s="24"/>
    </x:row>
    <x:row r="370" ht="23" customHeight="1">
      <x:c r="A370" s="20"/>
      <x:c r="B370" s="5"/>
      <x:c r="C370" s="4"/>
      <x:c r="D370" s="34" t="str">
        <x:f>IF(OR(A370="",U370="",COUNTIF('Project codes'!$A$7:$A$106,U370)&lt;&gt;1),"",_xlfn.XLOOKUP(U370,'Project codes'!$A$7:$A$106,'Project codes'!$I$7:$I$106,"",0))</x:f>
      </x:c>
      <x:c r="E370" s="4"/>
      <x:c r="F370" s="35" t="str">
        <x:f>IF(AND(ISNUMBER(N370),N370&gt;=0,O370="Complete"),N370/3600000,"")</x:f>
      </x:c>
      <x:c r="G370" s="4"/>
      <x:c r="H370" s="4"/>
      <x:c r="I370" s="36" t="str">
        <x:f>IF(COUNTA(A370:C370,E370,G370:H370,J370:T370,V370:AB370)=0,"",IF(A370="","Review: missing entry ID",IF(COUNTIF($A$7:$A$506,A370)&gt;1,"Review: duplicate entry ID",IF(NOT(ISNUMBER(B370)),"Review: work date",IF(OR(C370="",E370="",K370="",M370="",H370=""),"Review: source details",IF(J370&lt;&gt;'Estimate review'!$J$5,"Review: project scope",IF(OR(NOT(ISNUMBER(N370)),N370&lt;0,O370&lt;&gt;"Complete"),"Review: duration",IF(S370&lt;&gt;"Coded","Review: coding status",IF(OR(U370="",COUNTIF('Project codes'!$A$7:$A$106,U370)=0),"Review: SOW mapping",IF(COUNTIF('Project codes'!$A$7:$A$106,U370)&gt;1,"Review: duplicate code",IF(_xlfn.XLOOKUP(U370,'Project codes'!$A$7:$A$106,'Project codes'!$F$7:$F$106,"Review",0)="Hold","Review: allocation hold",IF(OR(D370="",COUNTIF('SOW register'!$A$7:$A$36,D370)&lt;&gt;1),"Review: SOW mapping",IF(AND(G370&lt;&gt;"Yes",G370&lt;&gt;"No"),"Review: billability",IF(AB370="","Review: billing evidence","OK"))))))))))))))</x:f>
      </x:c>
      <x:c r="J370" s="24"/>
      <x:c r="K370" s="38"/>
      <x:c r="L370" s="38"/>
      <x:c r="M370" s="38"/>
      <x:c r="N370" s="39"/>
      <x:c r="O370" s="24"/>
      <x:c r="P370" s="24"/>
      <x:c r="Q370" s="38"/>
      <x:c r="R370" s="38"/>
      <x:c r="S370" s="24"/>
      <x:c r="T370" s="24"/>
      <x:c r="U370" s="37" t="str">
        <x:f>IF(OR(J370="",Q370="",R370=""),"",J370&amp;"|"&amp;Q370&amp;"|"&amp;R370)</x:f>
      </x:c>
      <x:c r="V370" s="24"/>
      <x:c r="W370" s="24"/>
      <x:c r="X370" s="40"/>
      <x:c r="Y370" s="40"/>
      <x:c r="Z370" s="39"/>
      <x:c r="AA370" s="39"/>
      <x:c r="AB370" s="24"/>
    </x:row>
    <x:row r="371" ht="23" customHeight="1">
      <x:c r="A371" s="20"/>
      <x:c r="B371" s="5"/>
      <x:c r="C371" s="4"/>
      <x:c r="D371" s="34" t="str">
        <x:f>IF(OR(A371="",U371="",COUNTIF('Project codes'!$A$7:$A$106,U371)&lt;&gt;1),"",_xlfn.XLOOKUP(U371,'Project codes'!$A$7:$A$106,'Project codes'!$I$7:$I$106,"",0))</x:f>
      </x:c>
      <x:c r="E371" s="4"/>
      <x:c r="F371" s="35" t="str">
        <x:f>IF(AND(ISNUMBER(N371),N371&gt;=0,O371="Complete"),N371/3600000,"")</x:f>
      </x:c>
      <x:c r="G371" s="4"/>
      <x:c r="H371" s="4"/>
      <x:c r="I371" s="36" t="str">
        <x:f>IF(COUNTA(A371:C371,E371,G371:H371,J371:T371,V371:AB371)=0,"",IF(A371="","Review: missing entry ID",IF(COUNTIF($A$7:$A$506,A371)&gt;1,"Review: duplicate entry ID",IF(NOT(ISNUMBER(B371)),"Review: work date",IF(OR(C371="",E371="",K371="",M371="",H371=""),"Review: source details",IF(J371&lt;&gt;'Estimate review'!$J$5,"Review: project scope",IF(OR(NOT(ISNUMBER(N371)),N371&lt;0,O371&lt;&gt;"Complete"),"Review: duration",IF(S371&lt;&gt;"Coded","Review: coding status",IF(OR(U371="",COUNTIF('Project codes'!$A$7:$A$106,U371)=0),"Review: SOW mapping",IF(COUNTIF('Project codes'!$A$7:$A$106,U371)&gt;1,"Review: duplicate code",IF(_xlfn.XLOOKUP(U371,'Project codes'!$A$7:$A$106,'Project codes'!$F$7:$F$106,"Review",0)="Hold","Review: allocation hold",IF(OR(D371="",COUNTIF('SOW register'!$A$7:$A$36,D371)&lt;&gt;1),"Review: SOW mapping",IF(AND(G371&lt;&gt;"Yes",G371&lt;&gt;"No"),"Review: billability",IF(AB371="","Review: billing evidence","OK"))))))))))))))</x:f>
      </x:c>
      <x:c r="J371" s="24"/>
      <x:c r="K371" s="38"/>
      <x:c r="L371" s="38"/>
      <x:c r="M371" s="38"/>
      <x:c r="N371" s="39"/>
      <x:c r="O371" s="24"/>
      <x:c r="P371" s="24"/>
      <x:c r="Q371" s="38"/>
      <x:c r="R371" s="38"/>
      <x:c r="S371" s="24"/>
      <x:c r="T371" s="24"/>
      <x:c r="U371" s="37" t="str">
        <x:f>IF(OR(J371="",Q371="",R371=""),"",J371&amp;"|"&amp;Q371&amp;"|"&amp;R371)</x:f>
      </x:c>
      <x:c r="V371" s="24"/>
      <x:c r="W371" s="24"/>
      <x:c r="X371" s="40"/>
      <x:c r="Y371" s="40"/>
      <x:c r="Z371" s="39"/>
      <x:c r="AA371" s="39"/>
      <x:c r="AB371" s="24"/>
    </x:row>
    <x:row r="372" ht="23" customHeight="1">
      <x:c r="A372" s="20"/>
      <x:c r="B372" s="5"/>
      <x:c r="C372" s="4"/>
      <x:c r="D372" s="34" t="str">
        <x:f>IF(OR(A372="",U372="",COUNTIF('Project codes'!$A$7:$A$106,U372)&lt;&gt;1),"",_xlfn.XLOOKUP(U372,'Project codes'!$A$7:$A$106,'Project codes'!$I$7:$I$106,"",0))</x:f>
      </x:c>
      <x:c r="E372" s="4"/>
      <x:c r="F372" s="35" t="str">
        <x:f>IF(AND(ISNUMBER(N372),N372&gt;=0,O372="Complete"),N372/3600000,"")</x:f>
      </x:c>
      <x:c r="G372" s="4"/>
      <x:c r="H372" s="4"/>
      <x:c r="I372" s="36" t="str">
        <x:f>IF(COUNTA(A372:C372,E372,G372:H372,J372:T372,V372:AB372)=0,"",IF(A372="","Review: missing entry ID",IF(COUNTIF($A$7:$A$506,A372)&gt;1,"Review: duplicate entry ID",IF(NOT(ISNUMBER(B372)),"Review: work date",IF(OR(C372="",E372="",K372="",M372="",H372=""),"Review: source details",IF(J372&lt;&gt;'Estimate review'!$J$5,"Review: project scope",IF(OR(NOT(ISNUMBER(N372)),N372&lt;0,O372&lt;&gt;"Complete"),"Review: duration",IF(S372&lt;&gt;"Coded","Review: coding status",IF(OR(U372="",COUNTIF('Project codes'!$A$7:$A$106,U372)=0),"Review: SOW mapping",IF(COUNTIF('Project codes'!$A$7:$A$106,U372)&gt;1,"Review: duplicate code",IF(_xlfn.XLOOKUP(U372,'Project codes'!$A$7:$A$106,'Project codes'!$F$7:$F$106,"Review",0)="Hold","Review: allocation hold",IF(OR(D372="",COUNTIF('SOW register'!$A$7:$A$36,D372)&lt;&gt;1),"Review: SOW mapping",IF(AND(G372&lt;&gt;"Yes",G372&lt;&gt;"No"),"Review: billability",IF(AB372="","Review: billing evidence","OK"))))))))))))))</x:f>
      </x:c>
      <x:c r="J372" s="24"/>
      <x:c r="K372" s="38"/>
      <x:c r="L372" s="38"/>
      <x:c r="M372" s="38"/>
      <x:c r="N372" s="39"/>
      <x:c r="O372" s="24"/>
      <x:c r="P372" s="24"/>
      <x:c r="Q372" s="38"/>
      <x:c r="R372" s="38"/>
      <x:c r="S372" s="24"/>
      <x:c r="T372" s="24"/>
      <x:c r="U372" s="37" t="str">
        <x:f>IF(OR(J372="",Q372="",R372=""),"",J372&amp;"|"&amp;Q372&amp;"|"&amp;R372)</x:f>
      </x:c>
      <x:c r="V372" s="24"/>
      <x:c r="W372" s="24"/>
      <x:c r="X372" s="40"/>
      <x:c r="Y372" s="40"/>
      <x:c r="Z372" s="39"/>
      <x:c r="AA372" s="39"/>
      <x:c r="AB372" s="24"/>
    </x:row>
    <x:row r="373" ht="23" customHeight="1">
      <x:c r="A373" s="20"/>
      <x:c r="B373" s="5"/>
      <x:c r="C373" s="4"/>
      <x:c r="D373" s="34" t="str">
        <x:f>IF(OR(A373="",U373="",COUNTIF('Project codes'!$A$7:$A$106,U373)&lt;&gt;1),"",_xlfn.XLOOKUP(U373,'Project codes'!$A$7:$A$106,'Project codes'!$I$7:$I$106,"",0))</x:f>
      </x:c>
      <x:c r="E373" s="4"/>
      <x:c r="F373" s="35" t="str">
        <x:f>IF(AND(ISNUMBER(N373),N373&gt;=0,O373="Complete"),N373/3600000,"")</x:f>
      </x:c>
      <x:c r="G373" s="4"/>
      <x:c r="H373" s="4"/>
      <x:c r="I373" s="36" t="str">
        <x:f>IF(COUNTA(A373:C373,E373,G373:H373,J373:T373,V373:AB373)=0,"",IF(A373="","Review: missing entry ID",IF(COUNTIF($A$7:$A$506,A373)&gt;1,"Review: duplicate entry ID",IF(NOT(ISNUMBER(B373)),"Review: work date",IF(OR(C373="",E373="",K373="",M373="",H373=""),"Review: source details",IF(J373&lt;&gt;'Estimate review'!$J$5,"Review: project scope",IF(OR(NOT(ISNUMBER(N373)),N373&lt;0,O373&lt;&gt;"Complete"),"Review: duration",IF(S373&lt;&gt;"Coded","Review: coding status",IF(OR(U373="",COUNTIF('Project codes'!$A$7:$A$106,U373)=0),"Review: SOW mapping",IF(COUNTIF('Project codes'!$A$7:$A$106,U373)&gt;1,"Review: duplicate code",IF(_xlfn.XLOOKUP(U373,'Project codes'!$A$7:$A$106,'Project codes'!$F$7:$F$106,"Review",0)="Hold","Review: allocation hold",IF(OR(D373="",COUNTIF('SOW register'!$A$7:$A$36,D373)&lt;&gt;1),"Review: SOW mapping",IF(AND(G373&lt;&gt;"Yes",G373&lt;&gt;"No"),"Review: billability",IF(AB373="","Review: billing evidence","OK"))))))))))))))</x:f>
      </x:c>
      <x:c r="J373" s="24"/>
      <x:c r="K373" s="38"/>
      <x:c r="L373" s="38"/>
      <x:c r="M373" s="38"/>
      <x:c r="N373" s="39"/>
      <x:c r="O373" s="24"/>
      <x:c r="P373" s="24"/>
      <x:c r="Q373" s="38"/>
      <x:c r="R373" s="38"/>
      <x:c r="S373" s="24"/>
      <x:c r="T373" s="24"/>
      <x:c r="U373" s="37" t="str">
        <x:f>IF(OR(J373="",Q373="",R373=""),"",J373&amp;"|"&amp;Q373&amp;"|"&amp;R373)</x:f>
      </x:c>
      <x:c r="V373" s="24"/>
      <x:c r="W373" s="24"/>
      <x:c r="X373" s="40"/>
      <x:c r="Y373" s="40"/>
      <x:c r="Z373" s="39"/>
      <x:c r="AA373" s="39"/>
      <x:c r="AB373" s="24"/>
    </x:row>
    <x:row r="374" ht="23" customHeight="1">
      <x:c r="A374" s="20"/>
      <x:c r="B374" s="5"/>
      <x:c r="C374" s="4"/>
      <x:c r="D374" s="34" t="str">
        <x:f>IF(OR(A374="",U374="",COUNTIF('Project codes'!$A$7:$A$106,U374)&lt;&gt;1),"",_xlfn.XLOOKUP(U374,'Project codes'!$A$7:$A$106,'Project codes'!$I$7:$I$106,"",0))</x:f>
      </x:c>
      <x:c r="E374" s="4"/>
      <x:c r="F374" s="35" t="str">
        <x:f>IF(AND(ISNUMBER(N374),N374&gt;=0,O374="Complete"),N374/3600000,"")</x:f>
      </x:c>
      <x:c r="G374" s="4"/>
      <x:c r="H374" s="4"/>
      <x:c r="I374" s="36" t="str">
        <x:f>IF(COUNTA(A374:C374,E374,G374:H374,J374:T374,V374:AB374)=0,"",IF(A374="","Review: missing entry ID",IF(COUNTIF($A$7:$A$506,A374)&gt;1,"Review: duplicate entry ID",IF(NOT(ISNUMBER(B374)),"Review: work date",IF(OR(C374="",E374="",K374="",M374="",H374=""),"Review: source details",IF(J374&lt;&gt;'Estimate review'!$J$5,"Review: project scope",IF(OR(NOT(ISNUMBER(N374)),N374&lt;0,O374&lt;&gt;"Complete"),"Review: duration",IF(S374&lt;&gt;"Coded","Review: coding status",IF(OR(U374="",COUNTIF('Project codes'!$A$7:$A$106,U374)=0),"Review: SOW mapping",IF(COUNTIF('Project codes'!$A$7:$A$106,U374)&gt;1,"Review: duplicate code",IF(_xlfn.XLOOKUP(U374,'Project codes'!$A$7:$A$106,'Project codes'!$F$7:$F$106,"Review",0)="Hold","Review: allocation hold",IF(OR(D374="",COUNTIF('SOW register'!$A$7:$A$36,D374)&lt;&gt;1),"Review: SOW mapping",IF(AND(G374&lt;&gt;"Yes",G374&lt;&gt;"No"),"Review: billability",IF(AB374="","Review: billing evidence","OK"))))))))))))))</x:f>
      </x:c>
      <x:c r="J374" s="24"/>
      <x:c r="K374" s="38"/>
      <x:c r="L374" s="38"/>
      <x:c r="M374" s="38"/>
      <x:c r="N374" s="39"/>
      <x:c r="O374" s="24"/>
      <x:c r="P374" s="24"/>
      <x:c r="Q374" s="38"/>
      <x:c r="R374" s="38"/>
      <x:c r="S374" s="24"/>
      <x:c r="T374" s="24"/>
      <x:c r="U374" s="37" t="str">
        <x:f>IF(OR(J374="",Q374="",R374=""),"",J374&amp;"|"&amp;Q374&amp;"|"&amp;R374)</x:f>
      </x:c>
      <x:c r="V374" s="24"/>
      <x:c r="W374" s="24"/>
      <x:c r="X374" s="40"/>
      <x:c r="Y374" s="40"/>
      <x:c r="Z374" s="39"/>
      <x:c r="AA374" s="39"/>
      <x:c r="AB374" s="24"/>
    </x:row>
    <x:row r="375" ht="23" customHeight="1">
      <x:c r="A375" s="20"/>
      <x:c r="B375" s="5"/>
      <x:c r="C375" s="4"/>
      <x:c r="D375" s="34" t="str">
        <x:f>IF(OR(A375="",U375="",COUNTIF('Project codes'!$A$7:$A$106,U375)&lt;&gt;1),"",_xlfn.XLOOKUP(U375,'Project codes'!$A$7:$A$106,'Project codes'!$I$7:$I$106,"",0))</x:f>
      </x:c>
      <x:c r="E375" s="4"/>
      <x:c r="F375" s="35" t="str">
        <x:f>IF(AND(ISNUMBER(N375),N375&gt;=0,O375="Complete"),N375/3600000,"")</x:f>
      </x:c>
      <x:c r="G375" s="4"/>
      <x:c r="H375" s="4"/>
      <x:c r="I375" s="36" t="str">
        <x:f>IF(COUNTA(A375:C375,E375,G375:H375,J375:T375,V375:AB375)=0,"",IF(A375="","Review: missing entry ID",IF(COUNTIF($A$7:$A$506,A375)&gt;1,"Review: duplicate entry ID",IF(NOT(ISNUMBER(B375)),"Review: work date",IF(OR(C375="",E375="",K375="",M375="",H375=""),"Review: source details",IF(J375&lt;&gt;'Estimate review'!$J$5,"Review: project scope",IF(OR(NOT(ISNUMBER(N375)),N375&lt;0,O375&lt;&gt;"Complete"),"Review: duration",IF(S375&lt;&gt;"Coded","Review: coding status",IF(OR(U375="",COUNTIF('Project codes'!$A$7:$A$106,U375)=0),"Review: SOW mapping",IF(COUNTIF('Project codes'!$A$7:$A$106,U375)&gt;1,"Review: duplicate code",IF(_xlfn.XLOOKUP(U375,'Project codes'!$A$7:$A$106,'Project codes'!$F$7:$F$106,"Review",0)="Hold","Review: allocation hold",IF(OR(D375="",COUNTIF('SOW register'!$A$7:$A$36,D375)&lt;&gt;1),"Review: SOW mapping",IF(AND(G375&lt;&gt;"Yes",G375&lt;&gt;"No"),"Review: billability",IF(AB375="","Review: billing evidence","OK"))))))))))))))</x:f>
      </x:c>
      <x:c r="J375" s="24"/>
      <x:c r="K375" s="38"/>
      <x:c r="L375" s="38"/>
      <x:c r="M375" s="38"/>
      <x:c r="N375" s="39"/>
      <x:c r="O375" s="24"/>
      <x:c r="P375" s="24"/>
      <x:c r="Q375" s="38"/>
      <x:c r="R375" s="38"/>
      <x:c r="S375" s="24"/>
      <x:c r="T375" s="24"/>
      <x:c r="U375" s="37" t="str">
        <x:f>IF(OR(J375="",Q375="",R375=""),"",J375&amp;"|"&amp;Q375&amp;"|"&amp;R375)</x:f>
      </x:c>
      <x:c r="V375" s="24"/>
      <x:c r="W375" s="24"/>
      <x:c r="X375" s="40"/>
      <x:c r="Y375" s="40"/>
      <x:c r="Z375" s="39"/>
      <x:c r="AA375" s="39"/>
      <x:c r="AB375" s="24"/>
    </x:row>
    <x:row r="376" ht="23" customHeight="1">
      <x:c r="A376" s="20"/>
      <x:c r="B376" s="5"/>
      <x:c r="C376" s="4"/>
      <x:c r="D376" s="34" t="str">
        <x:f>IF(OR(A376="",U376="",COUNTIF('Project codes'!$A$7:$A$106,U376)&lt;&gt;1),"",_xlfn.XLOOKUP(U376,'Project codes'!$A$7:$A$106,'Project codes'!$I$7:$I$106,"",0))</x:f>
      </x:c>
      <x:c r="E376" s="4"/>
      <x:c r="F376" s="35" t="str">
        <x:f>IF(AND(ISNUMBER(N376),N376&gt;=0,O376="Complete"),N376/3600000,"")</x:f>
      </x:c>
      <x:c r="G376" s="4"/>
      <x:c r="H376" s="4"/>
      <x:c r="I376" s="36" t="str">
        <x:f>IF(COUNTA(A376:C376,E376,G376:H376,J376:T376,V376:AB376)=0,"",IF(A376="","Review: missing entry ID",IF(COUNTIF($A$7:$A$506,A376)&gt;1,"Review: duplicate entry ID",IF(NOT(ISNUMBER(B376)),"Review: work date",IF(OR(C376="",E376="",K376="",M376="",H376=""),"Review: source details",IF(J376&lt;&gt;'Estimate review'!$J$5,"Review: project scope",IF(OR(NOT(ISNUMBER(N376)),N376&lt;0,O376&lt;&gt;"Complete"),"Review: duration",IF(S376&lt;&gt;"Coded","Review: coding status",IF(OR(U376="",COUNTIF('Project codes'!$A$7:$A$106,U376)=0),"Review: SOW mapping",IF(COUNTIF('Project codes'!$A$7:$A$106,U376)&gt;1,"Review: duplicate code",IF(_xlfn.XLOOKUP(U376,'Project codes'!$A$7:$A$106,'Project codes'!$F$7:$F$106,"Review",0)="Hold","Review: allocation hold",IF(OR(D376="",COUNTIF('SOW register'!$A$7:$A$36,D376)&lt;&gt;1),"Review: SOW mapping",IF(AND(G376&lt;&gt;"Yes",G376&lt;&gt;"No"),"Review: billability",IF(AB376="","Review: billing evidence","OK"))))))))))))))</x:f>
      </x:c>
      <x:c r="J376" s="24"/>
      <x:c r="K376" s="38"/>
      <x:c r="L376" s="38"/>
      <x:c r="M376" s="38"/>
      <x:c r="N376" s="39"/>
      <x:c r="O376" s="24"/>
      <x:c r="P376" s="24"/>
      <x:c r="Q376" s="38"/>
      <x:c r="R376" s="38"/>
      <x:c r="S376" s="24"/>
      <x:c r="T376" s="24"/>
      <x:c r="U376" s="37" t="str">
        <x:f>IF(OR(J376="",Q376="",R376=""),"",J376&amp;"|"&amp;Q376&amp;"|"&amp;R376)</x:f>
      </x:c>
      <x:c r="V376" s="24"/>
      <x:c r="W376" s="24"/>
      <x:c r="X376" s="40"/>
      <x:c r="Y376" s="40"/>
      <x:c r="Z376" s="39"/>
      <x:c r="AA376" s="39"/>
      <x:c r="AB376" s="24"/>
    </x:row>
    <x:row r="377" ht="23" customHeight="1">
      <x:c r="A377" s="20"/>
      <x:c r="B377" s="5"/>
      <x:c r="C377" s="4"/>
      <x:c r="D377" s="34" t="str">
        <x:f>IF(OR(A377="",U377="",COUNTIF('Project codes'!$A$7:$A$106,U377)&lt;&gt;1),"",_xlfn.XLOOKUP(U377,'Project codes'!$A$7:$A$106,'Project codes'!$I$7:$I$106,"",0))</x:f>
      </x:c>
      <x:c r="E377" s="4"/>
      <x:c r="F377" s="35" t="str">
        <x:f>IF(AND(ISNUMBER(N377),N377&gt;=0,O377="Complete"),N377/3600000,"")</x:f>
      </x:c>
      <x:c r="G377" s="4"/>
      <x:c r="H377" s="4"/>
      <x:c r="I377" s="36" t="str">
        <x:f>IF(COUNTA(A377:C377,E377,G377:H377,J377:T377,V377:AB377)=0,"",IF(A377="","Review: missing entry ID",IF(COUNTIF($A$7:$A$506,A377)&gt;1,"Review: duplicate entry ID",IF(NOT(ISNUMBER(B377)),"Review: work date",IF(OR(C377="",E377="",K377="",M377="",H377=""),"Review: source details",IF(J377&lt;&gt;'Estimate review'!$J$5,"Review: project scope",IF(OR(NOT(ISNUMBER(N377)),N377&lt;0,O377&lt;&gt;"Complete"),"Review: duration",IF(S377&lt;&gt;"Coded","Review: coding status",IF(OR(U377="",COUNTIF('Project codes'!$A$7:$A$106,U377)=0),"Review: SOW mapping",IF(COUNTIF('Project codes'!$A$7:$A$106,U377)&gt;1,"Review: duplicate code",IF(_xlfn.XLOOKUP(U377,'Project codes'!$A$7:$A$106,'Project codes'!$F$7:$F$106,"Review",0)="Hold","Review: allocation hold",IF(OR(D377="",COUNTIF('SOW register'!$A$7:$A$36,D377)&lt;&gt;1),"Review: SOW mapping",IF(AND(G377&lt;&gt;"Yes",G377&lt;&gt;"No"),"Review: billability",IF(AB377="","Review: billing evidence","OK"))))))))))))))</x:f>
      </x:c>
      <x:c r="J377" s="24"/>
      <x:c r="K377" s="38"/>
      <x:c r="L377" s="38"/>
      <x:c r="M377" s="38"/>
      <x:c r="N377" s="39"/>
      <x:c r="O377" s="24"/>
      <x:c r="P377" s="24"/>
      <x:c r="Q377" s="38"/>
      <x:c r="R377" s="38"/>
      <x:c r="S377" s="24"/>
      <x:c r="T377" s="24"/>
      <x:c r="U377" s="37" t="str">
        <x:f>IF(OR(J377="",Q377="",R377=""),"",J377&amp;"|"&amp;Q377&amp;"|"&amp;R377)</x:f>
      </x:c>
      <x:c r="V377" s="24"/>
      <x:c r="W377" s="24"/>
      <x:c r="X377" s="40"/>
      <x:c r="Y377" s="40"/>
      <x:c r="Z377" s="39"/>
      <x:c r="AA377" s="39"/>
      <x:c r="AB377" s="24"/>
    </x:row>
    <x:row r="378" ht="23" customHeight="1">
      <x:c r="A378" s="20"/>
      <x:c r="B378" s="5"/>
      <x:c r="C378" s="4"/>
      <x:c r="D378" s="34" t="str">
        <x:f>IF(OR(A378="",U378="",COUNTIF('Project codes'!$A$7:$A$106,U378)&lt;&gt;1),"",_xlfn.XLOOKUP(U378,'Project codes'!$A$7:$A$106,'Project codes'!$I$7:$I$106,"",0))</x:f>
      </x:c>
      <x:c r="E378" s="4"/>
      <x:c r="F378" s="35" t="str">
        <x:f>IF(AND(ISNUMBER(N378),N378&gt;=0,O378="Complete"),N378/3600000,"")</x:f>
      </x:c>
      <x:c r="G378" s="4"/>
      <x:c r="H378" s="4"/>
      <x:c r="I378" s="36" t="str">
        <x:f>IF(COUNTA(A378:C378,E378,G378:H378,J378:T378,V378:AB378)=0,"",IF(A378="","Review: missing entry ID",IF(COUNTIF($A$7:$A$506,A378)&gt;1,"Review: duplicate entry ID",IF(NOT(ISNUMBER(B378)),"Review: work date",IF(OR(C378="",E378="",K378="",M378="",H378=""),"Review: source details",IF(J378&lt;&gt;'Estimate review'!$J$5,"Review: project scope",IF(OR(NOT(ISNUMBER(N378)),N378&lt;0,O378&lt;&gt;"Complete"),"Review: duration",IF(S378&lt;&gt;"Coded","Review: coding status",IF(OR(U378="",COUNTIF('Project codes'!$A$7:$A$106,U378)=0),"Review: SOW mapping",IF(COUNTIF('Project codes'!$A$7:$A$106,U378)&gt;1,"Review: duplicate code",IF(_xlfn.XLOOKUP(U378,'Project codes'!$A$7:$A$106,'Project codes'!$F$7:$F$106,"Review",0)="Hold","Review: allocation hold",IF(OR(D378="",COUNTIF('SOW register'!$A$7:$A$36,D378)&lt;&gt;1),"Review: SOW mapping",IF(AND(G378&lt;&gt;"Yes",G378&lt;&gt;"No"),"Review: billability",IF(AB378="","Review: billing evidence","OK"))))))))))))))</x:f>
      </x:c>
      <x:c r="J378" s="24"/>
      <x:c r="K378" s="38"/>
      <x:c r="L378" s="38"/>
      <x:c r="M378" s="38"/>
      <x:c r="N378" s="39"/>
      <x:c r="O378" s="24"/>
      <x:c r="P378" s="24"/>
      <x:c r="Q378" s="38"/>
      <x:c r="R378" s="38"/>
      <x:c r="S378" s="24"/>
      <x:c r="T378" s="24"/>
      <x:c r="U378" s="37" t="str">
        <x:f>IF(OR(J378="",Q378="",R378=""),"",J378&amp;"|"&amp;Q378&amp;"|"&amp;R378)</x:f>
      </x:c>
      <x:c r="V378" s="24"/>
      <x:c r="W378" s="24"/>
      <x:c r="X378" s="40"/>
      <x:c r="Y378" s="40"/>
      <x:c r="Z378" s="39"/>
      <x:c r="AA378" s="39"/>
      <x:c r="AB378" s="24"/>
    </x:row>
    <x:row r="379" ht="23" customHeight="1">
      <x:c r="A379" s="20"/>
      <x:c r="B379" s="5"/>
      <x:c r="C379" s="4"/>
      <x:c r="D379" s="34" t="str">
        <x:f>IF(OR(A379="",U379="",COUNTIF('Project codes'!$A$7:$A$106,U379)&lt;&gt;1),"",_xlfn.XLOOKUP(U379,'Project codes'!$A$7:$A$106,'Project codes'!$I$7:$I$106,"",0))</x:f>
      </x:c>
      <x:c r="E379" s="4"/>
      <x:c r="F379" s="35" t="str">
        <x:f>IF(AND(ISNUMBER(N379),N379&gt;=0,O379="Complete"),N379/3600000,"")</x:f>
      </x:c>
      <x:c r="G379" s="4"/>
      <x:c r="H379" s="4"/>
      <x:c r="I379" s="36" t="str">
        <x:f>IF(COUNTA(A379:C379,E379,G379:H379,J379:T379,V379:AB379)=0,"",IF(A379="","Review: missing entry ID",IF(COUNTIF($A$7:$A$506,A379)&gt;1,"Review: duplicate entry ID",IF(NOT(ISNUMBER(B379)),"Review: work date",IF(OR(C379="",E379="",K379="",M379="",H379=""),"Review: source details",IF(J379&lt;&gt;'Estimate review'!$J$5,"Review: project scope",IF(OR(NOT(ISNUMBER(N379)),N379&lt;0,O379&lt;&gt;"Complete"),"Review: duration",IF(S379&lt;&gt;"Coded","Review: coding status",IF(OR(U379="",COUNTIF('Project codes'!$A$7:$A$106,U379)=0),"Review: SOW mapping",IF(COUNTIF('Project codes'!$A$7:$A$106,U379)&gt;1,"Review: duplicate code",IF(_xlfn.XLOOKUP(U379,'Project codes'!$A$7:$A$106,'Project codes'!$F$7:$F$106,"Review",0)="Hold","Review: allocation hold",IF(OR(D379="",COUNTIF('SOW register'!$A$7:$A$36,D379)&lt;&gt;1),"Review: SOW mapping",IF(AND(G379&lt;&gt;"Yes",G379&lt;&gt;"No"),"Review: billability",IF(AB379="","Review: billing evidence","OK"))))))))))))))</x:f>
      </x:c>
      <x:c r="J379" s="24"/>
      <x:c r="K379" s="38"/>
      <x:c r="L379" s="38"/>
      <x:c r="M379" s="38"/>
      <x:c r="N379" s="39"/>
      <x:c r="O379" s="24"/>
      <x:c r="P379" s="24"/>
      <x:c r="Q379" s="38"/>
      <x:c r="R379" s="38"/>
      <x:c r="S379" s="24"/>
      <x:c r="T379" s="24"/>
      <x:c r="U379" s="37" t="str">
        <x:f>IF(OR(J379="",Q379="",R379=""),"",J379&amp;"|"&amp;Q379&amp;"|"&amp;R379)</x:f>
      </x:c>
      <x:c r="V379" s="24"/>
      <x:c r="W379" s="24"/>
      <x:c r="X379" s="40"/>
      <x:c r="Y379" s="40"/>
      <x:c r="Z379" s="39"/>
      <x:c r="AA379" s="39"/>
      <x:c r="AB379" s="24"/>
    </x:row>
    <x:row r="380" ht="23" customHeight="1">
      <x:c r="A380" s="20"/>
      <x:c r="B380" s="5"/>
      <x:c r="C380" s="4"/>
      <x:c r="D380" s="34" t="str">
        <x:f>IF(OR(A380="",U380="",COUNTIF('Project codes'!$A$7:$A$106,U380)&lt;&gt;1),"",_xlfn.XLOOKUP(U380,'Project codes'!$A$7:$A$106,'Project codes'!$I$7:$I$106,"",0))</x:f>
      </x:c>
      <x:c r="E380" s="4"/>
      <x:c r="F380" s="35" t="str">
        <x:f>IF(AND(ISNUMBER(N380),N380&gt;=0,O380="Complete"),N380/3600000,"")</x:f>
      </x:c>
      <x:c r="G380" s="4"/>
      <x:c r="H380" s="4"/>
      <x:c r="I380" s="36" t="str">
        <x:f>IF(COUNTA(A380:C380,E380,G380:H380,J380:T380,V380:AB380)=0,"",IF(A380="","Review: missing entry ID",IF(COUNTIF($A$7:$A$506,A380)&gt;1,"Review: duplicate entry ID",IF(NOT(ISNUMBER(B380)),"Review: work date",IF(OR(C380="",E380="",K380="",M380="",H380=""),"Review: source details",IF(J380&lt;&gt;'Estimate review'!$J$5,"Review: project scope",IF(OR(NOT(ISNUMBER(N380)),N380&lt;0,O380&lt;&gt;"Complete"),"Review: duration",IF(S380&lt;&gt;"Coded","Review: coding status",IF(OR(U380="",COUNTIF('Project codes'!$A$7:$A$106,U380)=0),"Review: SOW mapping",IF(COUNTIF('Project codes'!$A$7:$A$106,U380)&gt;1,"Review: duplicate code",IF(_xlfn.XLOOKUP(U380,'Project codes'!$A$7:$A$106,'Project codes'!$F$7:$F$106,"Review",0)="Hold","Review: allocation hold",IF(OR(D380="",COUNTIF('SOW register'!$A$7:$A$36,D380)&lt;&gt;1),"Review: SOW mapping",IF(AND(G380&lt;&gt;"Yes",G380&lt;&gt;"No"),"Review: billability",IF(AB380="","Review: billing evidence","OK"))))))))))))))</x:f>
      </x:c>
      <x:c r="J380" s="24"/>
      <x:c r="K380" s="38"/>
      <x:c r="L380" s="38"/>
      <x:c r="M380" s="38"/>
      <x:c r="N380" s="39"/>
      <x:c r="O380" s="24"/>
      <x:c r="P380" s="24"/>
      <x:c r="Q380" s="38"/>
      <x:c r="R380" s="38"/>
      <x:c r="S380" s="24"/>
      <x:c r="T380" s="24"/>
      <x:c r="U380" s="37" t="str">
        <x:f>IF(OR(J380="",Q380="",R380=""),"",J380&amp;"|"&amp;Q380&amp;"|"&amp;R380)</x:f>
      </x:c>
      <x:c r="V380" s="24"/>
      <x:c r="W380" s="24"/>
      <x:c r="X380" s="40"/>
      <x:c r="Y380" s="40"/>
      <x:c r="Z380" s="39"/>
      <x:c r="AA380" s="39"/>
      <x:c r="AB380" s="24"/>
    </x:row>
    <x:row r="381" ht="23" customHeight="1">
      <x:c r="A381" s="20"/>
      <x:c r="B381" s="5"/>
      <x:c r="C381" s="4"/>
      <x:c r="D381" s="34" t="str">
        <x:f>IF(OR(A381="",U381="",COUNTIF('Project codes'!$A$7:$A$106,U381)&lt;&gt;1),"",_xlfn.XLOOKUP(U381,'Project codes'!$A$7:$A$106,'Project codes'!$I$7:$I$106,"",0))</x:f>
      </x:c>
      <x:c r="E381" s="4"/>
      <x:c r="F381" s="35" t="str">
        <x:f>IF(AND(ISNUMBER(N381),N381&gt;=0,O381="Complete"),N381/3600000,"")</x:f>
      </x:c>
      <x:c r="G381" s="4"/>
      <x:c r="H381" s="4"/>
      <x:c r="I381" s="36" t="str">
        <x:f>IF(COUNTA(A381:C381,E381,G381:H381,J381:T381,V381:AB381)=0,"",IF(A381="","Review: missing entry ID",IF(COUNTIF($A$7:$A$506,A381)&gt;1,"Review: duplicate entry ID",IF(NOT(ISNUMBER(B381)),"Review: work date",IF(OR(C381="",E381="",K381="",M381="",H381=""),"Review: source details",IF(J381&lt;&gt;'Estimate review'!$J$5,"Review: project scope",IF(OR(NOT(ISNUMBER(N381)),N381&lt;0,O381&lt;&gt;"Complete"),"Review: duration",IF(S381&lt;&gt;"Coded","Review: coding status",IF(OR(U381="",COUNTIF('Project codes'!$A$7:$A$106,U381)=0),"Review: SOW mapping",IF(COUNTIF('Project codes'!$A$7:$A$106,U381)&gt;1,"Review: duplicate code",IF(_xlfn.XLOOKUP(U381,'Project codes'!$A$7:$A$106,'Project codes'!$F$7:$F$106,"Review",0)="Hold","Review: allocation hold",IF(OR(D381="",COUNTIF('SOW register'!$A$7:$A$36,D381)&lt;&gt;1),"Review: SOW mapping",IF(AND(G381&lt;&gt;"Yes",G381&lt;&gt;"No"),"Review: billability",IF(AB381="","Review: billing evidence","OK"))))))))))))))</x:f>
      </x:c>
      <x:c r="J381" s="24"/>
      <x:c r="K381" s="38"/>
      <x:c r="L381" s="38"/>
      <x:c r="M381" s="38"/>
      <x:c r="N381" s="39"/>
      <x:c r="O381" s="24"/>
      <x:c r="P381" s="24"/>
      <x:c r="Q381" s="38"/>
      <x:c r="R381" s="38"/>
      <x:c r="S381" s="24"/>
      <x:c r="T381" s="24"/>
      <x:c r="U381" s="37" t="str">
        <x:f>IF(OR(J381="",Q381="",R381=""),"",J381&amp;"|"&amp;Q381&amp;"|"&amp;R381)</x:f>
      </x:c>
      <x:c r="V381" s="24"/>
      <x:c r="W381" s="24"/>
      <x:c r="X381" s="40"/>
      <x:c r="Y381" s="40"/>
      <x:c r="Z381" s="39"/>
      <x:c r="AA381" s="39"/>
      <x:c r="AB381" s="24"/>
    </x:row>
    <x:row r="382" ht="23" customHeight="1">
      <x:c r="A382" s="20"/>
      <x:c r="B382" s="5"/>
      <x:c r="C382" s="4"/>
      <x:c r="D382" s="34" t="str">
        <x:f>IF(OR(A382="",U382="",COUNTIF('Project codes'!$A$7:$A$106,U382)&lt;&gt;1),"",_xlfn.XLOOKUP(U382,'Project codes'!$A$7:$A$106,'Project codes'!$I$7:$I$106,"",0))</x:f>
      </x:c>
      <x:c r="E382" s="4"/>
      <x:c r="F382" s="35" t="str">
        <x:f>IF(AND(ISNUMBER(N382),N382&gt;=0,O382="Complete"),N382/3600000,"")</x:f>
      </x:c>
      <x:c r="G382" s="4"/>
      <x:c r="H382" s="4"/>
      <x:c r="I382" s="36" t="str">
        <x:f>IF(COUNTA(A382:C382,E382,G382:H382,J382:T382,V382:AB382)=0,"",IF(A382="","Review: missing entry ID",IF(COUNTIF($A$7:$A$506,A382)&gt;1,"Review: duplicate entry ID",IF(NOT(ISNUMBER(B382)),"Review: work date",IF(OR(C382="",E382="",K382="",M382="",H382=""),"Review: source details",IF(J382&lt;&gt;'Estimate review'!$J$5,"Review: project scope",IF(OR(NOT(ISNUMBER(N382)),N382&lt;0,O382&lt;&gt;"Complete"),"Review: duration",IF(S382&lt;&gt;"Coded","Review: coding status",IF(OR(U382="",COUNTIF('Project codes'!$A$7:$A$106,U382)=0),"Review: SOW mapping",IF(COUNTIF('Project codes'!$A$7:$A$106,U382)&gt;1,"Review: duplicate code",IF(_xlfn.XLOOKUP(U382,'Project codes'!$A$7:$A$106,'Project codes'!$F$7:$F$106,"Review",0)="Hold","Review: allocation hold",IF(OR(D382="",COUNTIF('SOW register'!$A$7:$A$36,D382)&lt;&gt;1),"Review: SOW mapping",IF(AND(G382&lt;&gt;"Yes",G382&lt;&gt;"No"),"Review: billability",IF(AB382="","Review: billing evidence","OK"))))))))))))))</x:f>
      </x:c>
      <x:c r="J382" s="24"/>
      <x:c r="K382" s="38"/>
      <x:c r="L382" s="38"/>
      <x:c r="M382" s="38"/>
      <x:c r="N382" s="39"/>
      <x:c r="O382" s="24"/>
      <x:c r="P382" s="24"/>
      <x:c r="Q382" s="38"/>
      <x:c r="R382" s="38"/>
      <x:c r="S382" s="24"/>
      <x:c r="T382" s="24"/>
      <x:c r="U382" s="37" t="str">
        <x:f>IF(OR(J382="",Q382="",R382=""),"",J382&amp;"|"&amp;Q382&amp;"|"&amp;R382)</x:f>
      </x:c>
      <x:c r="V382" s="24"/>
      <x:c r="W382" s="24"/>
      <x:c r="X382" s="40"/>
      <x:c r="Y382" s="40"/>
      <x:c r="Z382" s="39"/>
      <x:c r="AA382" s="39"/>
      <x:c r="AB382" s="24"/>
    </x:row>
    <x:row r="383" ht="23" customHeight="1">
      <x:c r="A383" s="20"/>
      <x:c r="B383" s="5"/>
      <x:c r="C383" s="4"/>
      <x:c r="D383" s="34" t="str">
        <x:f>IF(OR(A383="",U383="",COUNTIF('Project codes'!$A$7:$A$106,U383)&lt;&gt;1),"",_xlfn.XLOOKUP(U383,'Project codes'!$A$7:$A$106,'Project codes'!$I$7:$I$106,"",0))</x:f>
      </x:c>
      <x:c r="E383" s="4"/>
      <x:c r="F383" s="35" t="str">
        <x:f>IF(AND(ISNUMBER(N383),N383&gt;=0,O383="Complete"),N383/3600000,"")</x:f>
      </x:c>
      <x:c r="G383" s="4"/>
      <x:c r="H383" s="4"/>
      <x:c r="I383" s="36" t="str">
        <x:f>IF(COUNTA(A383:C383,E383,G383:H383,J383:T383,V383:AB383)=0,"",IF(A383="","Review: missing entry ID",IF(COUNTIF($A$7:$A$506,A383)&gt;1,"Review: duplicate entry ID",IF(NOT(ISNUMBER(B383)),"Review: work date",IF(OR(C383="",E383="",K383="",M383="",H383=""),"Review: source details",IF(J383&lt;&gt;'Estimate review'!$J$5,"Review: project scope",IF(OR(NOT(ISNUMBER(N383)),N383&lt;0,O383&lt;&gt;"Complete"),"Review: duration",IF(S383&lt;&gt;"Coded","Review: coding status",IF(OR(U383="",COUNTIF('Project codes'!$A$7:$A$106,U383)=0),"Review: SOW mapping",IF(COUNTIF('Project codes'!$A$7:$A$106,U383)&gt;1,"Review: duplicate code",IF(_xlfn.XLOOKUP(U383,'Project codes'!$A$7:$A$106,'Project codes'!$F$7:$F$106,"Review",0)="Hold","Review: allocation hold",IF(OR(D383="",COUNTIF('SOW register'!$A$7:$A$36,D383)&lt;&gt;1),"Review: SOW mapping",IF(AND(G383&lt;&gt;"Yes",G383&lt;&gt;"No"),"Review: billability",IF(AB383="","Review: billing evidence","OK"))))))))))))))</x:f>
      </x:c>
      <x:c r="J383" s="24"/>
      <x:c r="K383" s="38"/>
      <x:c r="L383" s="38"/>
      <x:c r="M383" s="38"/>
      <x:c r="N383" s="39"/>
      <x:c r="O383" s="24"/>
      <x:c r="P383" s="24"/>
      <x:c r="Q383" s="38"/>
      <x:c r="R383" s="38"/>
      <x:c r="S383" s="24"/>
      <x:c r="T383" s="24"/>
      <x:c r="U383" s="37" t="str">
        <x:f>IF(OR(J383="",Q383="",R383=""),"",J383&amp;"|"&amp;Q383&amp;"|"&amp;R383)</x:f>
      </x:c>
      <x:c r="V383" s="24"/>
      <x:c r="W383" s="24"/>
      <x:c r="X383" s="40"/>
      <x:c r="Y383" s="40"/>
      <x:c r="Z383" s="39"/>
      <x:c r="AA383" s="39"/>
      <x:c r="AB383" s="24"/>
    </x:row>
    <x:row r="384" ht="23" customHeight="1">
      <x:c r="A384" s="20"/>
      <x:c r="B384" s="5"/>
      <x:c r="C384" s="4"/>
      <x:c r="D384" s="34" t="str">
        <x:f>IF(OR(A384="",U384="",COUNTIF('Project codes'!$A$7:$A$106,U384)&lt;&gt;1),"",_xlfn.XLOOKUP(U384,'Project codes'!$A$7:$A$106,'Project codes'!$I$7:$I$106,"",0))</x:f>
      </x:c>
      <x:c r="E384" s="4"/>
      <x:c r="F384" s="35" t="str">
        <x:f>IF(AND(ISNUMBER(N384),N384&gt;=0,O384="Complete"),N384/3600000,"")</x:f>
      </x:c>
      <x:c r="G384" s="4"/>
      <x:c r="H384" s="4"/>
      <x:c r="I384" s="36" t="str">
        <x:f>IF(COUNTA(A384:C384,E384,G384:H384,J384:T384,V384:AB384)=0,"",IF(A384="","Review: missing entry ID",IF(COUNTIF($A$7:$A$506,A384)&gt;1,"Review: duplicate entry ID",IF(NOT(ISNUMBER(B384)),"Review: work date",IF(OR(C384="",E384="",K384="",M384="",H384=""),"Review: source details",IF(J384&lt;&gt;'Estimate review'!$J$5,"Review: project scope",IF(OR(NOT(ISNUMBER(N384)),N384&lt;0,O384&lt;&gt;"Complete"),"Review: duration",IF(S384&lt;&gt;"Coded","Review: coding status",IF(OR(U384="",COUNTIF('Project codes'!$A$7:$A$106,U384)=0),"Review: SOW mapping",IF(COUNTIF('Project codes'!$A$7:$A$106,U384)&gt;1,"Review: duplicate code",IF(_xlfn.XLOOKUP(U384,'Project codes'!$A$7:$A$106,'Project codes'!$F$7:$F$106,"Review",0)="Hold","Review: allocation hold",IF(OR(D384="",COUNTIF('SOW register'!$A$7:$A$36,D384)&lt;&gt;1),"Review: SOW mapping",IF(AND(G384&lt;&gt;"Yes",G384&lt;&gt;"No"),"Review: billability",IF(AB384="","Review: billing evidence","OK"))))))))))))))</x:f>
      </x:c>
      <x:c r="J384" s="24"/>
      <x:c r="K384" s="38"/>
      <x:c r="L384" s="38"/>
      <x:c r="M384" s="38"/>
      <x:c r="N384" s="39"/>
      <x:c r="O384" s="24"/>
      <x:c r="P384" s="24"/>
      <x:c r="Q384" s="38"/>
      <x:c r="R384" s="38"/>
      <x:c r="S384" s="24"/>
      <x:c r="T384" s="24"/>
      <x:c r="U384" s="37" t="str">
        <x:f>IF(OR(J384="",Q384="",R384=""),"",J384&amp;"|"&amp;Q384&amp;"|"&amp;R384)</x:f>
      </x:c>
      <x:c r="V384" s="24"/>
      <x:c r="W384" s="24"/>
      <x:c r="X384" s="40"/>
      <x:c r="Y384" s="40"/>
      <x:c r="Z384" s="39"/>
      <x:c r="AA384" s="39"/>
      <x:c r="AB384" s="24"/>
    </x:row>
    <x:row r="385" ht="23" customHeight="1">
      <x:c r="A385" s="20"/>
      <x:c r="B385" s="5"/>
      <x:c r="C385" s="4"/>
      <x:c r="D385" s="34" t="str">
        <x:f>IF(OR(A385="",U385="",COUNTIF('Project codes'!$A$7:$A$106,U385)&lt;&gt;1),"",_xlfn.XLOOKUP(U385,'Project codes'!$A$7:$A$106,'Project codes'!$I$7:$I$106,"",0))</x:f>
      </x:c>
      <x:c r="E385" s="4"/>
      <x:c r="F385" s="35" t="str">
        <x:f>IF(AND(ISNUMBER(N385),N385&gt;=0,O385="Complete"),N385/3600000,"")</x:f>
      </x:c>
      <x:c r="G385" s="4"/>
      <x:c r="H385" s="4"/>
      <x:c r="I385" s="36" t="str">
        <x:f>IF(COUNTA(A385:C385,E385,G385:H385,J385:T385,V385:AB385)=0,"",IF(A385="","Review: missing entry ID",IF(COUNTIF($A$7:$A$506,A385)&gt;1,"Review: duplicate entry ID",IF(NOT(ISNUMBER(B385)),"Review: work date",IF(OR(C385="",E385="",K385="",M385="",H385=""),"Review: source details",IF(J385&lt;&gt;'Estimate review'!$J$5,"Review: project scope",IF(OR(NOT(ISNUMBER(N385)),N385&lt;0,O385&lt;&gt;"Complete"),"Review: duration",IF(S385&lt;&gt;"Coded","Review: coding status",IF(OR(U385="",COUNTIF('Project codes'!$A$7:$A$106,U385)=0),"Review: SOW mapping",IF(COUNTIF('Project codes'!$A$7:$A$106,U385)&gt;1,"Review: duplicate code",IF(_xlfn.XLOOKUP(U385,'Project codes'!$A$7:$A$106,'Project codes'!$F$7:$F$106,"Review",0)="Hold","Review: allocation hold",IF(OR(D385="",COUNTIF('SOW register'!$A$7:$A$36,D385)&lt;&gt;1),"Review: SOW mapping",IF(AND(G385&lt;&gt;"Yes",G385&lt;&gt;"No"),"Review: billability",IF(AB385="","Review: billing evidence","OK"))))))))))))))</x:f>
      </x:c>
      <x:c r="J385" s="24"/>
      <x:c r="K385" s="38"/>
      <x:c r="L385" s="38"/>
      <x:c r="M385" s="38"/>
      <x:c r="N385" s="39"/>
      <x:c r="O385" s="24"/>
      <x:c r="P385" s="24"/>
      <x:c r="Q385" s="38"/>
      <x:c r="R385" s="38"/>
      <x:c r="S385" s="24"/>
      <x:c r="T385" s="24"/>
      <x:c r="U385" s="37" t="str">
        <x:f>IF(OR(J385="",Q385="",R385=""),"",J385&amp;"|"&amp;Q385&amp;"|"&amp;R385)</x:f>
      </x:c>
      <x:c r="V385" s="24"/>
      <x:c r="W385" s="24"/>
      <x:c r="X385" s="40"/>
      <x:c r="Y385" s="40"/>
      <x:c r="Z385" s="39"/>
      <x:c r="AA385" s="39"/>
      <x:c r="AB385" s="24"/>
    </x:row>
    <x:row r="386" ht="23" customHeight="1">
      <x:c r="A386" s="20"/>
      <x:c r="B386" s="5"/>
      <x:c r="C386" s="4"/>
      <x:c r="D386" s="34" t="str">
        <x:f>IF(OR(A386="",U386="",COUNTIF('Project codes'!$A$7:$A$106,U386)&lt;&gt;1),"",_xlfn.XLOOKUP(U386,'Project codes'!$A$7:$A$106,'Project codes'!$I$7:$I$106,"",0))</x:f>
      </x:c>
      <x:c r="E386" s="4"/>
      <x:c r="F386" s="35" t="str">
        <x:f>IF(AND(ISNUMBER(N386),N386&gt;=0,O386="Complete"),N386/3600000,"")</x:f>
      </x:c>
      <x:c r="G386" s="4"/>
      <x:c r="H386" s="4"/>
      <x:c r="I386" s="36" t="str">
        <x:f>IF(COUNTA(A386:C386,E386,G386:H386,J386:T386,V386:AB386)=0,"",IF(A386="","Review: missing entry ID",IF(COUNTIF($A$7:$A$506,A386)&gt;1,"Review: duplicate entry ID",IF(NOT(ISNUMBER(B386)),"Review: work date",IF(OR(C386="",E386="",K386="",M386="",H386=""),"Review: source details",IF(J386&lt;&gt;'Estimate review'!$J$5,"Review: project scope",IF(OR(NOT(ISNUMBER(N386)),N386&lt;0,O386&lt;&gt;"Complete"),"Review: duration",IF(S386&lt;&gt;"Coded","Review: coding status",IF(OR(U386="",COUNTIF('Project codes'!$A$7:$A$106,U386)=0),"Review: SOW mapping",IF(COUNTIF('Project codes'!$A$7:$A$106,U386)&gt;1,"Review: duplicate code",IF(_xlfn.XLOOKUP(U386,'Project codes'!$A$7:$A$106,'Project codes'!$F$7:$F$106,"Review",0)="Hold","Review: allocation hold",IF(OR(D386="",COUNTIF('SOW register'!$A$7:$A$36,D386)&lt;&gt;1),"Review: SOW mapping",IF(AND(G386&lt;&gt;"Yes",G386&lt;&gt;"No"),"Review: billability",IF(AB386="","Review: billing evidence","OK"))))))))))))))</x:f>
      </x:c>
      <x:c r="J386" s="24"/>
      <x:c r="K386" s="38"/>
      <x:c r="L386" s="38"/>
      <x:c r="M386" s="38"/>
      <x:c r="N386" s="39"/>
      <x:c r="O386" s="24"/>
      <x:c r="P386" s="24"/>
      <x:c r="Q386" s="38"/>
      <x:c r="R386" s="38"/>
      <x:c r="S386" s="24"/>
      <x:c r="T386" s="24"/>
      <x:c r="U386" s="37" t="str">
        <x:f>IF(OR(J386="",Q386="",R386=""),"",J386&amp;"|"&amp;Q386&amp;"|"&amp;R386)</x:f>
      </x:c>
      <x:c r="V386" s="24"/>
      <x:c r="W386" s="24"/>
      <x:c r="X386" s="40"/>
      <x:c r="Y386" s="40"/>
      <x:c r="Z386" s="39"/>
      <x:c r="AA386" s="39"/>
      <x:c r="AB386" s="24"/>
    </x:row>
    <x:row r="387" ht="23" customHeight="1">
      <x:c r="A387" s="20"/>
      <x:c r="B387" s="5"/>
      <x:c r="C387" s="4"/>
      <x:c r="D387" s="34" t="str">
        <x:f>IF(OR(A387="",U387="",COUNTIF('Project codes'!$A$7:$A$106,U387)&lt;&gt;1),"",_xlfn.XLOOKUP(U387,'Project codes'!$A$7:$A$106,'Project codes'!$I$7:$I$106,"",0))</x:f>
      </x:c>
      <x:c r="E387" s="4"/>
      <x:c r="F387" s="35" t="str">
        <x:f>IF(AND(ISNUMBER(N387),N387&gt;=0,O387="Complete"),N387/3600000,"")</x:f>
      </x:c>
      <x:c r="G387" s="4"/>
      <x:c r="H387" s="4"/>
      <x:c r="I387" s="36" t="str">
        <x:f>IF(COUNTA(A387:C387,E387,G387:H387,J387:T387,V387:AB387)=0,"",IF(A387="","Review: missing entry ID",IF(COUNTIF($A$7:$A$506,A387)&gt;1,"Review: duplicate entry ID",IF(NOT(ISNUMBER(B387)),"Review: work date",IF(OR(C387="",E387="",K387="",M387="",H387=""),"Review: source details",IF(J387&lt;&gt;'Estimate review'!$J$5,"Review: project scope",IF(OR(NOT(ISNUMBER(N387)),N387&lt;0,O387&lt;&gt;"Complete"),"Review: duration",IF(S387&lt;&gt;"Coded","Review: coding status",IF(OR(U387="",COUNTIF('Project codes'!$A$7:$A$106,U387)=0),"Review: SOW mapping",IF(COUNTIF('Project codes'!$A$7:$A$106,U387)&gt;1,"Review: duplicate code",IF(_xlfn.XLOOKUP(U387,'Project codes'!$A$7:$A$106,'Project codes'!$F$7:$F$106,"Review",0)="Hold","Review: allocation hold",IF(OR(D387="",COUNTIF('SOW register'!$A$7:$A$36,D387)&lt;&gt;1),"Review: SOW mapping",IF(AND(G387&lt;&gt;"Yes",G387&lt;&gt;"No"),"Review: billability",IF(AB387="","Review: billing evidence","OK"))))))))))))))</x:f>
      </x:c>
      <x:c r="J387" s="24"/>
      <x:c r="K387" s="38"/>
      <x:c r="L387" s="38"/>
      <x:c r="M387" s="38"/>
      <x:c r="N387" s="39"/>
      <x:c r="O387" s="24"/>
      <x:c r="P387" s="24"/>
      <x:c r="Q387" s="38"/>
      <x:c r="R387" s="38"/>
      <x:c r="S387" s="24"/>
      <x:c r="T387" s="24"/>
      <x:c r="U387" s="37" t="str">
        <x:f>IF(OR(J387="",Q387="",R387=""),"",J387&amp;"|"&amp;Q387&amp;"|"&amp;R387)</x:f>
      </x:c>
      <x:c r="V387" s="24"/>
      <x:c r="W387" s="24"/>
      <x:c r="X387" s="40"/>
      <x:c r="Y387" s="40"/>
      <x:c r="Z387" s="39"/>
      <x:c r="AA387" s="39"/>
      <x:c r="AB387" s="24"/>
    </x:row>
    <x:row r="388" ht="23" customHeight="1">
      <x:c r="A388" s="20"/>
      <x:c r="B388" s="5"/>
      <x:c r="C388" s="4"/>
      <x:c r="D388" s="34" t="str">
        <x:f>IF(OR(A388="",U388="",COUNTIF('Project codes'!$A$7:$A$106,U388)&lt;&gt;1),"",_xlfn.XLOOKUP(U388,'Project codes'!$A$7:$A$106,'Project codes'!$I$7:$I$106,"",0))</x:f>
      </x:c>
      <x:c r="E388" s="4"/>
      <x:c r="F388" s="35" t="str">
        <x:f>IF(AND(ISNUMBER(N388),N388&gt;=0,O388="Complete"),N388/3600000,"")</x:f>
      </x:c>
      <x:c r="G388" s="4"/>
      <x:c r="H388" s="4"/>
      <x:c r="I388" s="36" t="str">
        <x:f>IF(COUNTA(A388:C388,E388,G388:H388,J388:T388,V388:AB388)=0,"",IF(A388="","Review: missing entry ID",IF(COUNTIF($A$7:$A$506,A388)&gt;1,"Review: duplicate entry ID",IF(NOT(ISNUMBER(B388)),"Review: work date",IF(OR(C388="",E388="",K388="",M388="",H388=""),"Review: source details",IF(J388&lt;&gt;'Estimate review'!$J$5,"Review: project scope",IF(OR(NOT(ISNUMBER(N388)),N388&lt;0,O388&lt;&gt;"Complete"),"Review: duration",IF(S388&lt;&gt;"Coded","Review: coding status",IF(OR(U388="",COUNTIF('Project codes'!$A$7:$A$106,U388)=0),"Review: SOW mapping",IF(COUNTIF('Project codes'!$A$7:$A$106,U388)&gt;1,"Review: duplicate code",IF(_xlfn.XLOOKUP(U388,'Project codes'!$A$7:$A$106,'Project codes'!$F$7:$F$106,"Review",0)="Hold","Review: allocation hold",IF(OR(D388="",COUNTIF('SOW register'!$A$7:$A$36,D388)&lt;&gt;1),"Review: SOW mapping",IF(AND(G388&lt;&gt;"Yes",G388&lt;&gt;"No"),"Review: billability",IF(AB388="","Review: billing evidence","OK"))))))))))))))</x:f>
      </x:c>
      <x:c r="J388" s="24"/>
      <x:c r="K388" s="38"/>
      <x:c r="L388" s="38"/>
      <x:c r="M388" s="38"/>
      <x:c r="N388" s="39"/>
      <x:c r="O388" s="24"/>
      <x:c r="P388" s="24"/>
      <x:c r="Q388" s="38"/>
      <x:c r="R388" s="38"/>
      <x:c r="S388" s="24"/>
      <x:c r="T388" s="24"/>
      <x:c r="U388" s="37" t="str">
        <x:f>IF(OR(J388="",Q388="",R388=""),"",J388&amp;"|"&amp;Q388&amp;"|"&amp;R388)</x:f>
      </x:c>
      <x:c r="V388" s="24"/>
      <x:c r="W388" s="24"/>
      <x:c r="X388" s="40"/>
      <x:c r="Y388" s="40"/>
      <x:c r="Z388" s="39"/>
      <x:c r="AA388" s="39"/>
      <x:c r="AB388" s="24"/>
    </x:row>
    <x:row r="389" ht="23" customHeight="1">
      <x:c r="A389" s="20"/>
      <x:c r="B389" s="5"/>
      <x:c r="C389" s="4"/>
      <x:c r="D389" s="34" t="str">
        <x:f>IF(OR(A389="",U389="",COUNTIF('Project codes'!$A$7:$A$106,U389)&lt;&gt;1),"",_xlfn.XLOOKUP(U389,'Project codes'!$A$7:$A$106,'Project codes'!$I$7:$I$106,"",0))</x:f>
      </x:c>
      <x:c r="E389" s="4"/>
      <x:c r="F389" s="35" t="str">
        <x:f>IF(AND(ISNUMBER(N389),N389&gt;=0,O389="Complete"),N389/3600000,"")</x:f>
      </x:c>
      <x:c r="G389" s="4"/>
      <x:c r="H389" s="4"/>
      <x:c r="I389" s="36" t="str">
        <x:f>IF(COUNTA(A389:C389,E389,G389:H389,J389:T389,V389:AB389)=0,"",IF(A389="","Review: missing entry ID",IF(COUNTIF($A$7:$A$506,A389)&gt;1,"Review: duplicate entry ID",IF(NOT(ISNUMBER(B389)),"Review: work date",IF(OR(C389="",E389="",K389="",M389="",H389=""),"Review: source details",IF(J389&lt;&gt;'Estimate review'!$J$5,"Review: project scope",IF(OR(NOT(ISNUMBER(N389)),N389&lt;0,O389&lt;&gt;"Complete"),"Review: duration",IF(S389&lt;&gt;"Coded","Review: coding status",IF(OR(U389="",COUNTIF('Project codes'!$A$7:$A$106,U389)=0),"Review: SOW mapping",IF(COUNTIF('Project codes'!$A$7:$A$106,U389)&gt;1,"Review: duplicate code",IF(_xlfn.XLOOKUP(U389,'Project codes'!$A$7:$A$106,'Project codes'!$F$7:$F$106,"Review",0)="Hold","Review: allocation hold",IF(OR(D389="",COUNTIF('SOW register'!$A$7:$A$36,D389)&lt;&gt;1),"Review: SOW mapping",IF(AND(G389&lt;&gt;"Yes",G389&lt;&gt;"No"),"Review: billability",IF(AB389="","Review: billing evidence","OK"))))))))))))))</x:f>
      </x:c>
      <x:c r="J389" s="24"/>
      <x:c r="K389" s="38"/>
      <x:c r="L389" s="38"/>
      <x:c r="M389" s="38"/>
      <x:c r="N389" s="39"/>
      <x:c r="O389" s="24"/>
      <x:c r="P389" s="24"/>
      <x:c r="Q389" s="38"/>
      <x:c r="R389" s="38"/>
      <x:c r="S389" s="24"/>
      <x:c r="T389" s="24"/>
      <x:c r="U389" s="37" t="str">
        <x:f>IF(OR(J389="",Q389="",R389=""),"",J389&amp;"|"&amp;Q389&amp;"|"&amp;R389)</x:f>
      </x:c>
      <x:c r="V389" s="24"/>
      <x:c r="W389" s="24"/>
      <x:c r="X389" s="40"/>
      <x:c r="Y389" s="40"/>
      <x:c r="Z389" s="39"/>
      <x:c r="AA389" s="39"/>
      <x:c r="AB389" s="24"/>
    </x:row>
    <x:row r="390" ht="23" customHeight="1">
      <x:c r="A390" s="20"/>
      <x:c r="B390" s="5"/>
      <x:c r="C390" s="4"/>
      <x:c r="D390" s="34" t="str">
        <x:f>IF(OR(A390="",U390="",COUNTIF('Project codes'!$A$7:$A$106,U390)&lt;&gt;1),"",_xlfn.XLOOKUP(U390,'Project codes'!$A$7:$A$106,'Project codes'!$I$7:$I$106,"",0))</x:f>
      </x:c>
      <x:c r="E390" s="4"/>
      <x:c r="F390" s="35" t="str">
        <x:f>IF(AND(ISNUMBER(N390),N390&gt;=0,O390="Complete"),N390/3600000,"")</x:f>
      </x:c>
      <x:c r="G390" s="4"/>
      <x:c r="H390" s="4"/>
      <x:c r="I390" s="36" t="str">
        <x:f>IF(COUNTA(A390:C390,E390,G390:H390,J390:T390,V390:AB390)=0,"",IF(A390="","Review: missing entry ID",IF(COUNTIF($A$7:$A$506,A390)&gt;1,"Review: duplicate entry ID",IF(NOT(ISNUMBER(B390)),"Review: work date",IF(OR(C390="",E390="",K390="",M390="",H390=""),"Review: source details",IF(J390&lt;&gt;'Estimate review'!$J$5,"Review: project scope",IF(OR(NOT(ISNUMBER(N390)),N390&lt;0,O390&lt;&gt;"Complete"),"Review: duration",IF(S390&lt;&gt;"Coded","Review: coding status",IF(OR(U390="",COUNTIF('Project codes'!$A$7:$A$106,U390)=0),"Review: SOW mapping",IF(COUNTIF('Project codes'!$A$7:$A$106,U390)&gt;1,"Review: duplicate code",IF(_xlfn.XLOOKUP(U390,'Project codes'!$A$7:$A$106,'Project codes'!$F$7:$F$106,"Review",0)="Hold","Review: allocation hold",IF(OR(D390="",COUNTIF('SOW register'!$A$7:$A$36,D390)&lt;&gt;1),"Review: SOW mapping",IF(AND(G390&lt;&gt;"Yes",G390&lt;&gt;"No"),"Review: billability",IF(AB390="","Review: billing evidence","OK"))))))))))))))</x:f>
      </x:c>
      <x:c r="J390" s="24"/>
      <x:c r="K390" s="38"/>
      <x:c r="L390" s="38"/>
      <x:c r="M390" s="38"/>
      <x:c r="N390" s="39"/>
      <x:c r="O390" s="24"/>
      <x:c r="P390" s="24"/>
      <x:c r="Q390" s="38"/>
      <x:c r="R390" s="38"/>
      <x:c r="S390" s="24"/>
      <x:c r="T390" s="24"/>
      <x:c r="U390" s="37" t="str">
        <x:f>IF(OR(J390="",Q390="",R390=""),"",J390&amp;"|"&amp;Q390&amp;"|"&amp;R390)</x:f>
      </x:c>
      <x:c r="V390" s="24"/>
      <x:c r="W390" s="24"/>
      <x:c r="X390" s="40"/>
      <x:c r="Y390" s="40"/>
      <x:c r="Z390" s="39"/>
      <x:c r="AA390" s="39"/>
      <x:c r="AB390" s="24"/>
    </x:row>
    <x:row r="391" ht="23" customHeight="1">
      <x:c r="A391" s="20"/>
      <x:c r="B391" s="5"/>
      <x:c r="C391" s="4"/>
      <x:c r="D391" s="34" t="str">
        <x:f>IF(OR(A391="",U391="",COUNTIF('Project codes'!$A$7:$A$106,U391)&lt;&gt;1),"",_xlfn.XLOOKUP(U391,'Project codes'!$A$7:$A$106,'Project codes'!$I$7:$I$106,"",0))</x:f>
      </x:c>
      <x:c r="E391" s="4"/>
      <x:c r="F391" s="35" t="str">
        <x:f>IF(AND(ISNUMBER(N391),N391&gt;=0,O391="Complete"),N391/3600000,"")</x:f>
      </x:c>
      <x:c r="G391" s="4"/>
      <x:c r="H391" s="4"/>
      <x:c r="I391" s="36" t="str">
        <x:f>IF(COUNTA(A391:C391,E391,G391:H391,J391:T391,V391:AB391)=0,"",IF(A391="","Review: missing entry ID",IF(COUNTIF($A$7:$A$506,A391)&gt;1,"Review: duplicate entry ID",IF(NOT(ISNUMBER(B391)),"Review: work date",IF(OR(C391="",E391="",K391="",M391="",H391=""),"Review: source details",IF(J391&lt;&gt;'Estimate review'!$J$5,"Review: project scope",IF(OR(NOT(ISNUMBER(N391)),N391&lt;0,O391&lt;&gt;"Complete"),"Review: duration",IF(S391&lt;&gt;"Coded","Review: coding status",IF(OR(U391="",COUNTIF('Project codes'!$A$7:$A$106,U391)=0),"Review: SOW mapping",IF(COUNTIF('Project codes'!$A$7:$A$106,U391)&gt;1,"Review: duplicate code",IF(_xlfn.XLOOKUP(U391,'Project codes'!$A$7:$A$106,'Project codes'!$F$7:$F$106,"Review",0)="Hold","Review: allocation hold",IF(OR(D391="",COUNTIF('SOW register'!$A$7:$A$36,D391)&lt;&gt;1),"Review: SOW mapping",IF(AND(G391&lt;&gt;"Yes",G391&lt;&gt;"No"),"Review: billability",IF(AB391="","Review: billing evidence","OK"))))))))))))))</x:f>
      </x:c>
      <x:c r="J391" s="24"/>
      <x:c r="K391" s="38"/>
      <x:c r="L391" s="38"/>
      <x:c r="M391" s="38"/>
      <x:c r="N391" s="39"/>
      <x:c r="O391" s="24"/>
      <x:c r="P391" s="24"/>
      <x:c r="Q391" s="38"/>
      <x:c r="R391" s="38"/>
      <x:c r="S391" s="24"/>
      <x:c r="T391" s="24"/>
      <x:c r="U391" s="37" t="str">
        <x:f>IF(OR(J391="",Q391="",R391=""),"",J391&amp;"|"&amp;Q391&amp;"|"&amp;R391)</x:f>
      </x:c>
      <x:c r="V391" s="24"/>
      <x:c r="W391" s="24"/>
      <x:c r="X391" s="40"/>
      <x:c r="Y391" s="40"/>
      <x:c r="Z391" s="39"/>
      <x:c r="AA391" s="39"/>
      <x:c r="AB391" s="24"/>
    </x:row>
    <x:row r="392" ht="23" customHeight="1">
      <x:c r="A392" s="20"/>
      <x:c r="B392" s="5"/>
      <x:c r="C392" s="4"/>
      <x:c r="D392" s="34" t="str">
        <x:f>IF(OR(A392="",U392="",COUNTIF('Project codes'!$A$7:$A$106,U392)&lt;&gt;1),"",_xlfn.XLOOKUP(U392,'Project codes'!$A$7:$A$106,'Project codes'!$I$7:$I$106,"",0))</x:f>
      </x:c>
      <x:c r="E392" s="4"/>
      <x:c r="F392" s="35" t="str">
        <x:f>IF(AND(ISNUMBER(N392),N392&gt;=0,O392="Complete"),N392/3600000,"")</x:f>
      </x:c>
      <x:c r="G392" s="4"/>
      <x:c r="H392" s="4"/>
      <x:c r="I392" s="36" t="str">
        <x:f>IF(COUNTA(A392:C392,E392,G392:H392,J392:T392,V392:AB392)=0,"",IF(A392="","Review: missing entry ID",IF(COUNTIF($A$7:$A$506,A392)&gt;1,"Review: duplicate entry ID",IF(NOT(ISNUMBER(B392)),"Review: work date",IF(OR(C392="",E392="",K392="",M392="",H392=""),"Review: source details",IF(J392&lt;&gt;'Estimate review'!$J$5,"Review: project scope",IF(OR(NOT(ISNUMBER(N392)),N392&lt;0,O392&lt;&gt;"Complete"),"Review: duration",IF(S392&lt;&gt;"Coded","Review: coding status",IF(OR(U392="",COUNTIF('Project codes'!$A$7:$A$106,U392)=0),"Review: SOW mapping",IF(COUNTIF('Project codes'!$A$7:$A$106,U392)&gt;1,"Review: duplicate code",IF(_xlfn.XLOOKUP(U392,'Project codes'!$A$7:$A$106,'Project codes'!$F$7:$F$106,"Review",0)="Hold","Review: allocation hold",IF(OR(D392="",COUNTIF('SOW register'!$A$7:$A$36,D392)&lt;&gt;1),"Review: SOW mapping",IF(AND(G392&lt;&gt;"Yes",G392&lt;&gt;"No"),"Review: billability",IF(AB392="","Review: billing evidence","OK"))))))))))))))</x:f>
      </x:c>
      <x:c r="J392" s="24"/>
      <x:c r="K392" s="38"/>
      <x:c r="L392" s="38"/>
      <x:c r="M392" s="38"/>
      <x:c r="N392" s="39"/>
      <x:c r="O392" s="24"/>
      <x:c r="P392" s="24"/>
      <x:c r="Q392" s="38"/>
      <x:c r="R392" s="38"/>
      <x:c r="S392" s="24"/>
      <x:c r="T392" s="24"/>
      <x:c r="U392" s="37" t="str">
        <x:f>IF(OR(J392="",Q392="",R392=""),"",J392&amp;"|"&amp;Q392&amp;"|"&amp;R392)</x:f>
      </x:c>
      <x:c r="V392" s="24"/>
      <x:c r="W392" s="24"/>
      <x:c r="X392" s="40"/>
      <x:c r="Y392" s="40"/>
      <x:c r="Z392" s="39"/>
      <x:c r="AA392" s="39"/>
      <x:c r="AB392" s="24"/>
    </x:row>
    <x:row r="393" ht="23" customHeight="1">
      <x:c r="A393" s="20"/>
      <x:c r="B393" s="5"/>
      <x:c r="C393" s="4"/>
      <x:c r="D393" s="34" t="str">
        <x:f>IF(OR(A393="",U393="",COUNTIF('Project codes'!$A$7:$A$106,U393)&lt;&gt;1),"",_xlfn.XLOOKUP(U393,'Project codes'!$A$7:$A$106,'Project codes'!$I$7:$I$106,"",0))</x:f>
      </x:c>
      <x:c r="E393" s="4"/>
      <x:c r="F393" s="35" t="str">
        <x:f>IF(AND(ISNUMBER(N393),N393&gt;=0,O393="Complete"),N393/3600000,"")</x:f>
      </x:c>
      <x:c r="G393" s="4"/>
      <x:c r="H393" s="4"/>
      <x:c r="I393" s="36" t="str">
        <x:f>IF(COUNTA(A393:C393,E393,G393:H393,J393:T393,V393:AB393)=0,"",IF(A393="","Review: missing entry ID",IF(COUNTIF($A$7:$A$506,A393)&gt;1,"Review: duplicate entry ID",IF(NOT(ISNUMBER(B393)),"Review: work date",IF(OR(C393="",E393="",K393="",M393="",H393=""),"Review: source details",IF(J393&lt;&gt;'Estimate review'!$J$5,"Review: project scope",IF(OR(NOT(ISNUMBER(N393)),N393&lt;0,O393&lt;&gt;"Complete"),"Review: duration",IF(S393&lt;&gt;"Coded","Review: coding status",IF(OR(U393="",COUNTIF('Project codes'!$A$7:$A$106,U393)=0),"Review: SOW mapping",IF(COUNTIF('Project codes'!$A$7:$A$106,U393)&gt;1,"Review: duplicate code",IF(_xlfn.XLOOKUP(U393,'Project codes'!$A$7:$A$106,'Project codes'!$F$7:$F$106,"Review",0)="Hold","Review: allocation hold",IF(OR(D393="",COUNTIF('SOW register'!$A$7:$A$36,D393)&lt;&gt;1),"Review: SOW mapping",IF(AND(G393&lt;&gt;"Yes",G393&lt;&gt;"No"),"Review: billability",IF(AB393="","Review: billing evidence","OK"))))))))))))))</x:f>
      </x:c>
      <x:c r="J393" s="24"/>
      <x:c r="K393" s="38"/>
      <x:c r="L393" s="38"/>
      <x:c r="M393" s="38"/>
      <x:c r="N393" s="39"/>
      <x:c r="O393" s="24"/>
      <x:c r="P393" s="24"/>
      <x:c r="Q393" s="38"/>
      <x:c r="R393" s="38"/>
      <x:c r="S393" s="24"/>
      <x:c r="T393" s="24"/>
      <x:c r="U393" s="37" t="str">
        <x:f>IF(OR(J393="",Q393="",R393=""),"",J393&amp;"|"&amp;Q393&amp;"|"&amp;R393)</x:f>
      </x:c>
      <x:c r="V393" s="24"/>
      <x:c r="W393" s="24"/>
      <x:c r="X393" s="40"/>
      <x:c r="Y393" s="40"/>
      <x:c r="Z393" s="39"/>
      <x:c r="AA393" s="39"/>
      <x:c r="AB393" s="24"/>
    </x:row>
    <x:row r="394" ht="23" customHeight="1">
      <x:c r="A394" s="20"/>
      <x:c r="B394" s="5"/>
      <x:c r="C394" s="4"/>
      <x:c r="D394" s="34" t="str">
        <x:f>IF(OR(A394="",U394="",COUNTIF('Project codes'!$A$7:$A$106,U394)&lt;&gt;1),"",_xlfn.XLOOKUP(U394,'Project codes'!$A$7:$A$106,'Project codes'!$I$7:$I$106,"",0))</x:f>
      </x:c>
      <x:c r="E394" s="4"/>
      <x:c r="F394" s="35" t="str">
        <x:f>IF(AND(ISNUMBER(N394),N394&gt;=0,O394="Complete"),N394/3600000,"")</x:f>
      </x:c>
      <x:c r="G394" s="4"/>
      <x:c r="H394" s="4"/>
      <x:c r="I394" s="36" t="str">
        <x:f>IF(COUNTA(A394:C394,E394,G394:H394,J394:T394,V394:AB394)=0,"",IF(A394="","Review: missing entry ID",IF(COUNTIF($A$7:$A$506,A394)&gt;1,"Review: duplicate entry ID",IF(NOT(ISNUMBER(B394)),"Review: work date",IF(OR(C394="",E394="",K394="",M394="",H394=""),"Review: source details",IF(J394&lt;&gt;'Estimate review'!$J$5,"Review: project scope",IF(OR(NOT(ISNUMBER(N394)),N394&lt;0,O394&lt;&gt;"Complete"),"Review: duration",IF(S394&lt;&gt;"Coded","Review: coding status",IF(OR(U394="",COUNTIF('Project codes'!$A$7:$A$106,U394)=0),"Review: SOW mapping",IF(COUNTIF('Project codes'!$A$7:$A$106,U394)&gt;1,"Review: duplicate code",IF(_xlfn.XLOOKUP(U394,'Project codes'!$A$7:$A$106,'Project codes'!$F$7:$F$106,"Review",0)="Hold","Review: allocation hold",IF(OR(D394="",COUNTIF('SOW register'!$A$7:$A$36,D394)&lt;&gt;1),"Review: SOW mapping",IF(AND(G394&lt;&gt;"Yes",G394&lt;&gt;"No"),"Review: billability",IF(AB394="","Review: billing evidence","OK"))))))))))))))</x:f>
      </x:c>
      <x:c r="J394" s="24"/>
      <x:c r="K394" s="38"/>
      <x:c r="L394" s="38"/>
      <x:c r="M394" s="38"/>
      <x:c r="N394" s="39"/>
      <x:c r="O394" s="24"/>
      <x:c r="P394" s="24"/>
      <x:c r="Q394" s="38"/>
      <x:c r="R394" s="38"/>
      <x:c r="S394" s="24"/>
      <x:c r="T394" s="24"/>
      <x:c r="U394" s="37" t="str">
        <x:f>IF(OR(J394="",Q394="",R394=""),"",J394&amp;"|"&amp;Q394&amp;"|"&amp;R394)</x:f>
      </x:c>
      <x:c r="V394" s="24"/>
      <x:c r="W394" s="24"/>
      <x:c r="X394" s="40"/>
      <x:c r="Y394" s="40"/>
      <x:c r="Z394" s="39"/>
      <x:c r="AA394" s="39"/>
      <x:c r="AB394" s="24"/>
    </x:row>
    <x:row r="395" ht="23" customHeight="1">
      <x:c r="A395" s="20"/>
      <x:c r="B395" s="5"/>
      <x:c r="C395" s="4"/>
      <x:c r="D395" s="34" t="str">
        <x:f>IF(OR(A395="",U395="",COUNTIF('Project codes'!$A$7:$A$106,U395)&lt;&gt;1),"",_xlfn.XLOOKUP(U395,'Project codes'!$A$7:$A$106,'Project codes'!$I$7:$I$106,"",0))</x:f>
      </x:c>
      <x:c r="E395" s="4"/>
      <x:c r="F395" s="35" t="str">
        <x:f>IF(AND(ISNUMBER(N395),N395&gt;=0,O395="Complete"),N395/3600000,"")</x:f>
      </x:c>
      <x:c r="G395" s="4"/>
      <x:c r="H395" s="4"/>
      <x:c r="I395" s="36" t="str">
        <x:f>IF(COUNTA(A395:C395,E395,G395:H395,J395:T395,V395:AB395)=0,"",IF(A395="","Review: missing entry ID",IF(COUNTIF($A$7:$A$506,A395)&gt;1,"Review: duplicate entry ID",IF(NOT(ISNUMBER(B395)),"Review: work date",IF(OR(C395="",E395="",K395="",M395="",H395=""),"Review: source details",IF(J395&lt;&gt;'Estimate review'!$J$5,"Review: project scope",IF(OR(NOT(ISNUMBER(N395)),N395&lt;0,O395&lt;&gt;"Complete"),"Review: duration",IF(S395&lt;&gt;"Coded","Review: coding status",IF(OR(U395="",COUNTIF('Project codes'!$A$7:$A$106,U395)=0),"Review: SOW mapping",IF(COUNTIF('Project codes'!$A$7:$A$106,U395)&gt;1,"Review: duplicate code",IF(_xlfn.XLOOKUP(U395,'Project codes'!$A$7:$A$106,'Project codes'!$F$7:$F$106,"Review",0)="Hold","Review: allocation hold",IF(OR(D395="",COUNTIF('SOW register'!$A$7:$A$36,D395)&lt;&gt;1),"Review: SOW mapping",IF(AND(G395&lt;&gt;"Yes",G395&lt;&gt;"No"),"Review: billability",IF(AB395="","Review: billing evidence","OK"))))))))))))))</x:f>
      </x:c>
      <x:c r="J395" s="24"/>
      <x:c r="K395" s="38"/>
      <x:c r="L395" s="38"/>
      <x:c r="M395" s="38"/>
      <x:c r="N395" s="39"/>
      <x:c r="O395" s="24"/>
      <x:c r="P395" s="24"/>
      <x:c r="Q395" s="38"/>
      <x:c r="R395" s="38"/>
      <x:c r="S395" s="24"/>
      <x:c r="T395" s="24"/>
      <x:c r="U395" s="37" t="str">
        <x:f>IF(OR(J395="",Q395="",R395=""),"",J395&amp;"|"&amp;Q395&amp;"|"&amp;R395)</x:f>
      </x:c>
      <x:c r="V395" s="24"/>
      <x:c r="W395" s="24"/>
      <x:c r="X395" s="40"/>
      <x:c r="Y395" s="40"/>
      <x:c r="Z395" s="39"/>
      <x:c r="AA395" s="39"/>
      <x:c r="AB395" s="24"/>
    </x:row>
    <x:row r="396" ht="23" customHeight="1">
      <x:c r="A396" s="20"/>
      <x:c r="B396" s="5"/>
      <x:c r="C396" s="4"/>
      <x:c r="D396" s="34" t="str">
        <x:f>IF(OR(A396="",U396="",COUNTIF('Project codes'!$A$7:$A$106,U396)&lt;&gt;1),"",_xlfn.XLOOKUP(U396,'Project codes'!$A$7:$A$106,'Project codes'!$I$7:$I$106,"",0))</x:f>
      </x:c>
      <x:c r="E396" s="4"/>
      <x:c r="F396" s="35" t="str">
        <x:f>IF(AND(ISNUMBER(N396),N396&gt;=0,O396="Complete"),N396/3600000,"")</x:f>
      </x:c>
      <x:c r="G396" s="4"/>
      <x:c r="H396" s="4"/>
      <x:c r="I396" s="36" t="str">
        <x:f>IF(COUNTA(A396:C396,E396,G396:H396,J396:T396,V396:AB396)=0,"",IF(A396="","Review: missing entry ID",IF(COUNTIF($A$7:$A$506,A396)&gt;1,"Review: duplicate entry ID",IF(NOT(ISNUMBER(B396)),"Review: work date",IF(OR(C396="",E396="",K396="",M396="",H396=""),"Review: source details",IF(J396&lt;&gt;'Estimate review'!$J$5,"Review: project scope",IF(OR(NOT(ISNUMBER(N396)),N396&lt;0,O396&lt;&gt;"Complete"),"Review: duration",IF(S396&lt;&gt;"Coded","Review: coding status",IF(OR(U396="",COUNTIF('Project codes'!$A$7:$A$106,U396)=0),"Review: SOW mapping",IF(COUNTIF('Project codes'!$A$7:$A$106,U396)&gt;1,"Review: duplicate code",IF(_xlfn.XLOOKUP(U396,'Project codes'!$A$7:$A$106,'Project codes'!$F$7:$F$106,"Review",0)="Hold","Review: allocation hold",IF(OR(D396="",COUNTIF('SOW register'!$A$7:$A$36,D396)&lt;&gt;1),"Review: SOW mapping",IF(AND(G396&lt;&gt;"Yes",G396&lt;&gt;"No"),"Review: billability",IF(AB396="","Review: billing evidence","OK"))))))))))))))</x:f>
      </x:c>
      <x:c r="J396" s="24"/>
      <x:c r="K396" s="38"/>
      <x:c r="L396" s="38"/>
      <x:c r="M396" s="38"/>
      <x:c r="N396" s="39"/>
      <x:c r="O396" s="24"/>
      <x:c r="P396" s="24"/>
      <x:c r="Q396" s="38"/>
      <x:c r="R396" s="38"/>
      <x:c r="S396" s="24"/>
      <x:c r="T396" s="24"/>
      <x:c r="U396" s="37" t="str">
        <x:f>IF(OR(J396="",Q396="",R396=""),"",J396&amp;"|"&amp;Q396&amp;"|"&amp;R396)</x:f>
      </x:c>
      <x:c r="V396" s="24"/>
      <x:c r="W396" s="24"/>
      <x:c r="X396" s="40"/>
      <x:c r="Y396" s="40"/>
      <x:c r="Z396" s="39"/>
      <x:c r="AA396" s="39"/>
      <x:c r="AB396" s="24"/>
    </x:row>
    <x:row r="397" ht="23" customHeight="1">
      <x:c r="A397" s="20"/>
      <x:c r="B397" s="5"/>
      <x:c r="C397" s="4"/>
      <x:c r="D397" s="34" t="str">
        <x:f>IF(OR(A397="",U397="",COUNTIF('Project codes'!$A$7:$A$106,U397)&lt;&gt;1),"",_xlfn.XLOOKUP(U397,'Project codes'!$A$7:$A$106,'Project codes'!$I$7:$I$106,"",0))</x:f>
      </x:c>
      <x:c r="E397" s="4"/>
      <x:c r="F397" s="35" t="str">
        <x:f>IF(AND(ISNUMBER(N397),N397&gt;=0,O397="Complete"),N397/3600000,"")</x:f>
      </x:c>
      <x:c r="G397" s="4"/>
      <x:c r="H397" s="4"/>
      <x:c r="I397" s="36" t="str">
        <x:f>IF(COUNTA(A397:C397,E397,G397:H397,J397:T397,V397:AB397)=0,"",IF(A397="","Review: missing entry ID",IF(COUNTIF($A$7:$A$506,A397)&gt;1,"Review: duplicate entry ID",IF(NOT(ISNUMBER(B397)),"Review: work date",IF(OR(C397="",E397="",K397="",M397="",H397=""),"Review: source details",IF(J397&lt;&gt;'Estimate review'!$J$5,"Review: project scope",IF(OR(NOT(ISNUMBER(N397)),N397&lt;0,O397&lt;&gt;"Complete"),"Review: duration",IF(S397&lt;&gt;"Coded","Review: coding status",IF(OR(U397="",COUNTIF('Project codes'!$A$7:$A$106,U397)=0),"Review: SOW mapping",IF(COUNTIF('Project codes'!$A$7:$A$106,U397)&gt;1,"Review: duplicate code",IF(_xlfn.XLOOKUP(U397,'Project codes'!$A$7:$A$106,'Project codes'!$F$7:$F$106,"Review",0)="Hold","Review: allocation hold",IF(OR(D397="",COUNTIF('SOW register'!$A$7:$A$36,D397)&lt;&gt;1),"Review: SOW mapping",IF(AND(G397&lt;&gt;"Yes",G397&lt;&gt;"No"),"Review: billability",IF(AB397="","Review: billing evidence","OK"))))))))))))))</x:f>
      </x:c>
      <x:c r="J397" s="24"/>
      <x:c r="K397" s="38"/>
      <x:c r="L397" s="38"/>
      <x:c r="M397" s="38"/>
      <x:c r="N397" s="39"/>
      <x:c r="O397" s="24"/>
      <x:c r="P397" s="24"/>
      <x:c r="Q397" s="38"/>
      <x:c r="R397" s="38"/>
      <x:c r="S397" s="24"/>
      <x:c r="T397" s="24"/>
      <x:c r="U397" s="37" t="str">
        <x:f>IF(OR(J397="",Q397="",R397=""),"",J397&amp;"|"&amp;Q397&amp;"|"&amp;R397)</x:f>
      </x:c>
      <x:c r="V397" s="24"/>
      <x:c r="W397" s="24"/>
      <x:c r="X397" s="40"/>
      <x:c r="Y397" s="40"/>
      <x:c r="Z397" s="39"/>
      <x:c r="AA397" s="39"/>
      <x:c r="AB397" s="24"/>
    </x:row>
    <x:row r="398" ht="23" customHeight="1">
      <x:c r="A398" s="20"/>
      <x:c r="B398" s="5"/>
      <x:c r="C398" s="4"/>
      <x:c r="D398" s="34" t="str">
        <x:f>IF(OR(A398="",U398="",COUNTIF('Project codes'!$A$7:$A$106,U398)&lt;&gt;1),"",_xlfn.XLOOKUP(U398,'Project codes'!$A$7:$A$106,'Project codes'!$I$7:$I$106,"",0))</x:f>
      </x:c>
      <x:c r="E398" s="4"/>
      <x:c r="F398" s="35" t="str">
        <x:f>IF(AND(ISNUMBER(N398),N398&gt;=0,O398="Complete"),N398/3600000,"")</x:f>
      </x:c>
      <x:c r="G398" s="4"/>
      <x:c r="H398" s="4"/>
      <x:c r="I398" s="36" t="str">
        <x:f>IF(COUNTA(A398:C398,E398,G398:H398,J398:T398,V398:AB398)=0,"",IF(A398="","Review: missing entry ID",IF(COUNTIF($A$7:$A$506,A398)&gt;1,"Review: duplicate entry ID",IF(NOT(ISNUMBER(B398)),"Review: work date",IF(OR(C398="",E398="",K398="",M398="",H398=""),"Review: source details",IF(J398&lt;&gt;'Estimate review'!$J$5,"Review: project scope",IF(OR(NOT(ISNUMBER(N398)),N398&lt;0,O398&lt;&gt;"Complete"),"Review: duration",IF(S398&lt;&gt;"Coded","Review: coding status",IF(OR(U398="",COUNTIF('Project codes'!$A$7:$A$106,U398)=0),"Review: SOW mapping",IF(COUNTIF('Project codes'!$A$7:$A$106,U398)&gt;1,"Review: duplicate code",IF(_xlfn.XLOOKUP(U398,'Project codes'!$A$7:$A$106,'Project codes'!$F$7:$F$106,"Review",0)="Hold","Review: allocation hold",IF(OR(D398="",COUNTIF('SOW register'!$A$7:$A$36,D398)&lt;&gt;1),"Review: SOW mapping",IF(AND(G398&lt;&gt;"Yes",G398&lt;&gt;"No"),"Review: billability",IF(AB398="","Review: billing evidence","OK"))))))))))))))</x:f>
      </x:c>
      <x:c r="J398" s="24"/>
      <x:c r="K398" s="38"/>
      <x:c r="L398" s="38"/>
      <x:c r="M398" s="38"/>
      <x:c r="N398" s="39"/>
      <x:c r="O398" s="24"/>
      <x:c r="P398" s="24"/>
      <x:c r="Q398" s="38"/>
      <x:c r="R398" s="38"/>
      <x:c r="S398" s="24"/>
      <x:c r="T398" s="24"/>
      <x:c r="U398" s="37" t="str">
        <x:f>IF(OR(J398="",Q398="",R398=""),"",J398&amp;"|"&amp;Q398&amp;"|"&amp;R398)</x:f>
      </x:c>
      <x:c r="V398" s="24"/>
      <x:c r="W398" s="24"/>
      <x:c r="X398" s="40"/>
      <x:c r="Y398" s="40"/>
      <x:c r="Z398" s="39"/>
      <x:c r="AA398" s="39"/>
      <x:c r="AB398" s="24"/>
    </x:row>
    <x:row r="399" ht="23" customHeight="1">
      <x:c r="A399" s="20"/>
      <x:c r="B399" s="5"/>
      <x:c r="C399" s="4"/>
      <x:c r="D399" s="34" t="str">
        <x:f>IF(OR(A399="",U399="",COUNTIF('Project codes'!$A$7:$A$106,U399)&lt;&gt;1),"",_xlfn.XLOOKUP(U399,'Project codes'!$A$7:$A$106,'Project codes'!$I$7:$I$106,"",0))</x:f>
      </x:c>
      <x:c r="E399" s="4"/>
      <x:c r="F399" s="35" t="str">
        <x:f>IF(AND(ISNUMBER(N399),N399&gt;=0,O399="Complete"),N399/3600000,"")</x:f>
      </x:c>
      <x:c r="G399" s="4"/>
      <x:c r="H399" s="4"/>
      <x:c r="I399" s="36" t="str">
        <x:f>IF(COUNTA(A399:C399,E399,G399:H399,J399:T399,V399:AB399)=0,"",IF(A399="","Review: missing entry ID",IF(COUNTIF($A$7:$A$506,A399)&gt;1,"Review: duplicate entry ID",IF(NOT(ISNUMBER(B399)),"Review: work date",IF(OR(C399="",E399="",K399="",M399="",H399=""),"Review: source details",IF(J399&lt;&gt;'Estimate review'!$J$5,"Review: project scope",IF(OR(NOT(ISNUMBER(N399)),N399&lt;0,O399&lt;&gt;"Complete"),"Review: duration",IF(S399&lt;&gt;"Coded","Review: coding status",IF(OR(U399="",COUNTIF('Project codes'!$A$7:$A$106,U399)=0),"Review: SOW mapping",IF(COUNTIF('Project codes'!$A$7:$A$106,U399)&gt;1,"Review: duplicate code",IF(_xlfn.XLOOKUP(U399,'Project codes'!$A$7:$A$106,'Project codes'!$F$7:$F$106,"Review",0)="Hold","Review: allocation hold",IF(OR(D399="",COUNTIF('SOW register'!$A$7:$A$36,D399)&lt;&gt;1),"Review: SOW mapping",IF(AND(G399&lt;&gt;"Yes",G399&lt;&gt;"No"),"Review: billability",IF(AB399="","Review: billing evidence","OK"))))))))))))))</x:f>
      </x:c>
      <x:c r="J399" s="24"/>
      <x:c r="K399" s="38"/>
      <x:c r="L399" s="38"/>
      <x:c r="M399" s="38"/>
      <x:c r="N399" s="39"/>
      <x:c r="O399" s="24"/>
      <x:c r="P399" s="24"/>
      <x:c r="Q399" s="38"/>
      <x:c r="R399" s="38"/>
      <x:c r="S399" s="24"/>
      <x:c r="T399" s="24"/>
      <x:c r="U399" s="37" t="str">
        <x:f>IF(OR(J399="",Q399="",R399=""),"",J399&amp;"|"&amp;Q399&amp;"|"&amp;R399)</x:f>
      </x:c>
      <x:c r="V399" s="24"/>
      <x:c r="W399" s="24"/>
      <x:c r="X399" s="40"/>
      <x:c r="Y399" s="40"/>
      <x:c r="Z399" s="39"/>
      <x:c r="AA399" s="39"/>
      <x:c r="AB399" s="24"/>
    </x:row>
    <x:row r="400" ht="23" customHeight="1">
      <x:c r="A400" s="20"/>
      <x:c r="B400" s="5"/>
      <x:c r="C400" s="4"/>
      <x:c r="D400" s="34" t="str">
        <x:f>IF(OR(A400="",U400="",COUNTIF('Project codes'!$A$7:$A$106,U400)&lt;&gt;1),"",_xlfn.XLOOKUP(U400,'Project codes'!$A$7:$A$106,'Project codes'!$I$7:$I$106,"",0))</x:f>
      </x:c>
      <x:c r="E400" s="4"/>
      <x:c r="F400" s="35" t="str">
        <x:f>IF(AND(ISNUMBER(N400),N400&gt;=0,O400="Complete"),N400/3600000,"")</x:f>
      </x:c>
      <x:c r="G400" s="4"/>
      <x:c r="H400" s="4"/>
      <x:c r="I400" s="36" t="str">
        <x:f>IF(COUNTA(A400:C400,E400,G400:H400,J400:T400,V400:AB400)=0,"",IF(A400="","Review: missing entry ID",IF(COUNTIF($A$7:$A$506,A400)&gt;1,"Review: duplicate entry ID",IF(NOT(ISNUMBER(B400)),"Review: work date",IF(OR(C400="",E400="",K400="",M400="",H400=""),"Review: source details",IF(J400&lt;&gt;'Estimate review'!$J$5,"Review: project scope",IF(OR(NOT(ISNUMBER(N400)),N400&lt;0,O400&lt;&gt;"Complete"),"Review: duration",IF(S400&lt;&gt;"Coded","Review: coding status",IF(OR(U400="",COUNTIF('Project codes'!$A$7:$A$106,U400)=0),"Review: SOW mapping",IF(COUNTIF('Project codes'!$A$7:$A$106,U400)&gt;1,"Review: duplicate code",IF(_xlfn.XLOOKUP(U400,'Project codes'!$A$7:$A$106,'Project codes'!$F$7:$F$106,"Review",0)="Hold","Review: allocation hold",IF(OR(D400="",COUNTIF('SOW register'!$A$7:$A$36,D400)&lt;&gt;1),"Review: SOW mapping",IF(AND(G400&lt;&gt;"Yes",G400&lt;&gt;"No"),"Review: billability",IF(AB400="","Review: billing evidence","OK"))))))))))))))</x:f>
      </x:c>
      <x:c r="J400" s="24"/>
      <x:c r="K400" s="38"/>
      <x:c r="L400" s="38"/>
      <x:c r="M400" s="38"/>
      <x:c r="N400" s="39"/>
      <x:c r="O400" s="24"/>
      <x:c r="P400" s="24"/>
      <x:c r="Q400" s="38"/>
      <x:c r="R400" s="38"/>
      <x:c r="S400" s="24"/>
      <x:c r="T400" s="24"/>
      <x:c r="U400" s="37" t="str">
        <x:f>IF(OR(J400="",Q400="",R400=""),"",J400&amp;"|"&amp;Q400&amp;"|"&amp;R400)</x:f>
      </x:c>
      <x:c r="V400" s="24"/>
      <x:c r="W400" s="24"/>
      <x:c r="X400" s="40"/>
      <x:c r="Y400" s="40"/>
      <x:c r="Z400" s="39"/>
      <x:c r="AA400" s="39"/>
      <x:c r="AB400" s="24"/>
    </x:row>
    <x:row r="401" ht="23" customHeight="1">
      <x:c r="A401" s="20"/>
      <x:c r="B401" s="5"/>
      <x:c r="C401" s="4"/>
      <x:c r="D401" s="34" t="str">
        <x:f>IF(OR(A401="",U401="",COUNTIF('Project codes'!$A$7:$A$106,U401)&lt;&gt;1),"",_xlfn.XLOOKUP(U401,'Project codes'!$A$7:$A$106,'Project codes'!$I$7:$I$106,"",0))</x:f>
      </x:c>
      <x:c r="E401" s="4"/>
      <x:c r="F401" s="35" t="str">
        <x:f>IF(AND(ISNUMBER(N401),N401&gt;=0,O401="Complete"),N401/3600000,"")</x:f>
      </x:c>
      <x:c r="G401" s="4"/>
      <x:c r="H401" s="4"/>
      <x:c r="I401" s="36" t="str">
        <x:f>IF(COUNTA(A401:C401,E401,G401:H401,J401:T401,V401:AB401)=0,"",IF(A401="","Review: missing entry ID",IF(COUNTIF($A$7:$A$506,A401)&gt;1,"Review: duplicate entry ID",IF(NOT(ISNUMBER(B401)),"Review: work date",IF(OR(C401="",E401="",K401="",M401="",H401=""),"Review: source details",IF(J401&lt;&gt;'Estimate review'!$J$5,"Review: project scope",IF(OR(NOT(ISNUMBER(N401)),N401&lt;0,O401&lt;&gt;"Complete"),"Review: duration",IF(S401&lt;&gt;"Coded","Review: coding status",IF(OR(U401="",COUNTIF('Project codes'!$A$7:$A$106,U401)=0),"Review: SOW mapping",IF(COUNTIF('Project codes'!$A$7:$A$106,U401)&gt;1,"Review: duplicate code",IF(_xlfn.XLOOKUP(U401,'Project codes'!$A$7:$A$106,'Project codes'!$F$7:$F$106,"Review",0)="Hold","Review: allocation hold",IF(OR(D401="",COUNTIF('SOW register'!$A$7:$A$36,D401)&lt;&gt;1),"Review: SOW mapping",IF(AND(G401&lt;&gt;"Yes",G401&lt;&gt;"No"),"Review: billability",IF(AB401="","Review: billing evidence","OK"))))))))))))))</x:f>
      </x:c>
      <x:c r="J401" s="24"/>
      <x:c r="K401" s="38"/>
      <x:c r="L401" s="38"/>
      <x:c r="M401" s="38"/>
      <x:c r="N401" s="39"/>
      <x:c r="O401" s="24"/>
      <x:c r="P401" s="24"/>
      <x:c r="Q401" s="38"/>
      <x:c r="R401" s="38"/>
      <x:c r="S401" s="24"/>
      <x:c r="T401" s="24"/>
      <x:c r="U401" s="37" t="str">
        <x:f>IF(OR(J401="",Q401="",R401=""),"",J401&amp;"|"&amp;Q401&amp;"|"&amp;R401)</x:f>
      </x:c>
      <x:c r="V401" s="24"/>
      <x:c r="W401" s="24"/>
      <x:c r="X401" s="40"/>
      <x:c r="Y401" s="40"/>
      <x:c r="Z401" s="39"/>
      <x:c r="AA401" s="39"/>
      <x:c r="AB401" s="24"/>
    </x:row>
    <x:row r="402" ht="23" customHeight="1">
      <x:c r="A402" s="20"/>
      <x:c r="B402" s="5"/>
      <x:c r="C402" s="4"/>
      <x:c r="D402" s="34" t="str">
        <x:f>IF(OR(A402="",U402="",COUNTIF('Project codes'!$A$7:$A$106,U402)&lt;&gt;1),"",_xlfn.XLOOKUP(U402,'Project codes'!$A$7:$A$106,'Project codes'!$I$7:$I$106,"",0))</x:f>
      </x:c>
      <x:c r="E402" s="4"/>
      <x:c r="F402" s="35" t="str">
        <x:f>IF(AND(ISNUMBER(N402),N402&gt;=0,O402="Complete"),N402/3600000,"")</x:f>
      </x:c>
      <x:c r="G402" s="4"/>
      <x:c r="H402" s="4"/>
      <x:c r="I402" s="36" t="str">
        <x:f>IF(COUNTA(A402:C402,E402,G402:H402,J402:T402,V402:AB402)=0,"",IF(A402="","Review: missing entry ID",IF(COUNTIF($A$7:$A$506,A402)&gt;1,"Review: duplicate entry ID",IF(NOT(ISNUMBER(B402)),"Review: work date",IF(OR(C402="",E402="",K402="",M402="",H402=""),"Review: source details",IF(J402&lt;&gt;'Estimate review'!$J$5,"Review: project scope",IF(OR(NOT(ISNUMBER(N402)),N402&lt;0,O402&lt;&gt;"Complete"),"Review: duration",IF(S402&lt;&gt;"Coded","Review: coding status",IF(OR(U402="",COUNTIF('Project codes'!$A$7:$A$106,U402)=0),"Review: SOW mapping",IF(COUNTIF('Project codes'!$A$7:$A$106,U402)&gt;1,"Review: duplicate code",IF(_xlfn.XLOOKUP(U402,'Project codes'!$A$7:$A$106,'Project codes'!$F$7:$F$106,"Review",0)="Hold","Review: allocation hold",IF(OR(D402="",COUNTIF('SOW register'!$A$7:$A$36,D402)&lt;&gt;1),"Review: SOW mapping",IF(AND(G402&lt;&gt;"Yes",G402&lt;&gt;"No"),"Review: billability",IF(AB402="","Review: billing evidence","OK"))))))))))))))</x:f>
      </x:c>
      <x:c r="J402" s="24"/>
      <x:c r="K402" s="38"/>
      <x:c r="L402" s="38"/>
      <x:c r="M402" s="38"/>
      <x:c r="N402" s="39"/>
      <x:c r="O402" s="24"/>
      <x:c r="P402" s="24"/>
      <x:c r="Q402" s="38"/>
      <x:c r="R402" s="38"/>
      <x:c r="S402" s="24"/>
      <x:c r="T402" s="24"/>
      <x:c r="U402" s="37" t="str">
        <x:f>IF(OR(J402="",Q402="",R402=""),"",J402&amp;"|"&amp;Q402&amp;"|"&amp;R402)</x:f>
      </x:c>
      <x:c r="V402" s="24"/>
      <x:c r="W402" s="24"/>
      <x:c r="X402" s="40"/>
      <x:c r="Y402" s="40"/>
      <x:c r="Z402" s="39"/>
      <x:c r="AA402" s="39"/>
      <x:c r="AB402" s="24"/>
    </x:row>
    <x:row r="403" ht="23" customHeight="1">
      <x:c r="A403" s="20"/>
      <x:c r="B403" s="5"/>
      <x:c r="C403" s="4"/>
      <x:c r="D403" s="34" t="str">
        <x:f>IF(OR(A403="",U403="",COUNTIF('Project codes'!$A$7:$A$106,U403)&lt;&gt;1),"",_xlfn.XLOOKUP(U403,'Project codes'!$A$7:$A$106,'Project codes'!$I$7:$I$106,"",0))</x:f>
      </x:c>
      <x:c r="E403" s="4"/>
      <x:c r="F403" s="35" t="str">
        <x:f>IF(AND(ISNUMBER(N403),N403&gt;=0,O403="Complete"),N403/3600000,"")</x:f>
      </x:c>
      <x:c r="G403" s="4"/>
      <x:c r="H403" s="4"/>
      <x:c r="I403" s="36" t="str">
        <x:f>IF(COUNTA(A403:C403,E403,G403:H403,J403:T403,V403:AB403)=0,"",IF(A403="","Review: missing entry ID",IF(COUNTIF($A$7:$A$506,A403)&gt;1,"Review: duplicate entry ID",IF(NOT(ISNUMBER(B403)),"Review: work date",IF(OR(C403="",E403="",K403="",M403="",H403=""),"Review: source details",IF(J403&lt;&gt;'Estimate review'!$J$5,"Review: project scope",IF(OR(NOT(ISNUMBER(N403)),N403&lt;0,O403&lt;&gt;"Complete"),"Review: duration",IF(S403&lt;&gt;"Coded","Review: coding status",IF(OR(U403="",COUNTIF('Project codes'!$A$7:$A$106,U403)=0),"Review: SOW mapping",IF(COUNTIF('Project codes'!$A$7:$A$106,U403)&gt;1,"Review: duplicate code",IF(_xlfn.XLOOKUP(U403,'Project codes'!$A$7:$A$106,'Project codes'!$F$7:$F$106,"Review",0)="Hold","Review: allocation hold",IF(OR(D403="",COUNTIF('SOW register'!$A$7:$A$36,D403)&lt;&gt;1),"Review: SOW mapping",IF(AND(G403&lt;&gt;"Yes",G403&lt;&gt;"No"),"Review: billability",IF(AB403="","Review: billing evidence","OK"))))))))))))))</x:f>
      </x:c>
      <x:c r="J403" s="24"/>
      <x:c r="K403" s="38"/>
      <x:c r="L403" s="38"/>
      <x:c r="M403" s="38"/>
      <x:c r="N403" s="39"/>
      <x:c r="O403" s="24"/>
      <x:c r="P403" s="24"/>
      <x:c r="Q403" s="38"/>
      <x:c r="R403" s="38"/>
      <x:c r="S403" s="24"/>
      <x:c r="T403" s="24"/>
      <x:c r="U403" s="37" t="str">
        <x:f>IF(OR(J403="",Q403="",R403=""),"",J403&amp;"|"&amp;Q403&amp;"|"&amp;R403)</x:f>
      </x:c>
      <x:c r="V403" s="24"/>
      <x:c r="W403" s="24"/>
      <x:c r="X403" s="40"/>
      <x:c r="Y403" s="40"/>
      <x:c r="Z403" s="39"/>
      <x:c r="AA403" s="39"/>
      <x:c r="AB403" s="24"/>
    </x:row>
    <x:row r="404" ht="23" customHeight="1">
      <x:c r="A404" s="20"/>
      <x:c r="B404" s="5"/>
      <x:c r="C404" s="4"/>
      <x:c r="D404" s="34" t="str">
        <x:f>IF(OR(A404="",U404="",COUNTIF('Project codes'!$A$7:$A$106,U404)&lt;&gt;1),"",_xlfn.XLOOKUP(U404,'Project codes'!$A$7:$A$106,'Project codes'!$I$7:$I$106,"",0))</x:f>
      </x:c>
      <x:c r="E404" s="4"/>
      <x:c r="F404" s="35" t="str">
        <x:f>IF(AND(ISNUMBER(N404),N404&gt;=0,O404="Complete"),N404/3600000,"")</x:f>
      </x:c>
      <x:c r="G404" s="4"/>
      <x:c r="H404" s="4"/>
      <x:c r="I404" s="36" t="str">
        <x:f>IF(COUNTA(A404:C404,E404,G404:H404,J404:T404,V404:AB404)=0,"",IF(A404="","Review: missing entry ID",IF(COUNTIF($A$7:$A$506,A404)&gt;1,"Review: duplicate entry ID",IF(NOT(ISNUMBER(B404)),"Review: work date",IF(OR(C404="",E404="",K404="",M404="",H404=""),"Review: source details",IF(J404&lt;&gt;'Estimate review'!$J$5,"Review: project scope",IF(OR(NOT(ISNUMBER(N404)),N404&lt;0,O404&lt;&gt;"Complete"),"Review: duration",IF(S404&lt;&gt;"Coded","Review: coding status",IF(OR(U404="",COUNTIF('Project codes'!$A$7:$A$106,U404)=0),"Review: SOW mapping",IF(COUNTIF('Project codes'!$A$7:$A$106,U404)&gt;1,"Review: duplicate code",IF(_xlfn.XLOOKUP(U404,'Project codes'!$A$7:$A$106,'Project codes'!$F$7:$F$106,"Review",0)="Hold","Review: allocation hold",IF(OR(D404="",COUNTIF('SOW register'!$A$7:$A$36,D404)&lt;&gt;1),"Review: SOW mapping",IF(AND(G404&lt;&gt;"Yes",G404&lt;&gt;"No"),"Review: billability",IF(AB404="","Review: billing evidence","OK"))))))))))))))</x:f>
      </x:c>
      <x:c r="J404" s="24"/>
      <x:c r="K404" s="38"/>
      <x:c r="L404" s="38"/>
      <x:c r="M404" s="38"/>
      <x:c r="N404" s="39"/>
      <x:c r="O404" s="24"/>
      <x:c r="P404" s="24"/>
      <x:c r="Q404" s="38"/>
      <x:c r="R404" s="38"/>
      <x:c r="S404" s="24"/>
      <x:c r="T404" s="24"/>
      <x:c r="U404" s="37" t="str">
        <x:f>IF(OR(J404="",Q404="",R404=""),"",J404&amp;"|"&amp;Q404&amp;"|"&amp;R404)</x:f>
      </x:c>
      <x:c r="V404" s="24"/>
      <x:c r="W404" s="24"/>
      <x:c r="X404" s="40"/>
      <x:c r="Y404" s="40"/>
      <x:c r="Z404" s="39"/>
      <x:c r="AA404" s="39"/>
      <x:c r="AB404" s="24"/>
    </x:row>
    <x:row r="405" ht="23" customHeight="1">
      <x:c r="A405" s="20"/>
      <x:c r="B405" s="5"/>
      <x:c r="C405" s="4"/>
      <x:c r="D405" s="34" t="str">
        <x:f>IF(OR(A405="",U405="",COUNTIF('Project codes'!$A$7:$A$106,U405)&lt;&gt;1),"",_xlfn.XLOOKUP(U405,'Project codes'!$A$7:$A$106,'Project codes'!$I$7:$I$106,"",0))</x:f>
      </x:c>
      <x:c r="E405" s="4"/>
      <x:c r="F405" s="35" t="str">
        <x:f>IF(AND(ISNUMBER(N405),N405&gt;=0,O405="Complete"),N405/3600000,"")</x:f>
      </x:c>
      <x:c r="G405" s="4"/>
      <x:c r="H405" s="4"/>
      <x:c r="I405" s="36" t="str">
        <x:f>IF(COUNTA(A405:C405,E405,G405:H405,J405:T405,V405:AB405)=0,"",IF(A405="","Review: missing entry ID",IF(COUNTIF($A$7:$A$506,A405)&gt;1,"Review: duplicate entry ID",IF(NOT(ISNUMBER(B405)),"Review: work date",IF(OR(C405="",E405="",K405="",M405="",H405=""),"Review: source details",IF(J405&lt;&gt;'Estimate review'!$J$5,"Review: project scope",IF(OR(NOT(ISNUMBER(N405)),N405&lt;0,O405&lt;&gt;"Complete"),"Review: duration",IF(S405&lt;&gt;"Coded","Review: coding status",IF(OR(U405="",COUNTIF('Project codes'!$A$7:$A$106,U405)=0),"Review: SOW mapping",IF(COUNTIF('Project codes'!$A$7:$A$106,U405)&gt;1,"Review: duplicate code",IF(_xlfn.XLOOKUP(U405,'Project codes'!$A$7:$A$106,'Project codes'!$F$7:$F$106,"Review",0)="Hold","Review: allocation hold",IF(OR(D405="",COUNTIF('SOW register'!$A$7:$A$36,D405)&lt;&gt;1),"Review: SOW mapping",IF(AND(G405&lt;&gt;"Yes",G405&lt;&gt;"No"),"Review: billability",IF(AB405="","Review: billing evidence","OK"))))))))))))))</x:f>
      </x:c>
      <x:c r="J405" s="24"/>
      <x:c r="K405" s="38"/>
      <x:c r="L405" s="38"/>
      <x:c r="M405" s="38"/>
      <x:c r="N405" s="39"/>
      <x:c r="O405" s="24"/>
      <x:c r="P405" s="24"/>
      <x:c r="Q405" s="38"/>
      <x:c r="R405" s="38"/>
      <x:c r="S405" s="24"/>
      <x:c r="T405" s="24"/>
      <x:c r="U405" s="37" t="str">
        <x:f>IF(OR(J405="",Q405="",R405=""),"",J405&amp;"|"&amp;Q405&amp;"|"&amp;R405)</x:f>
      </x:c>
      <x:c r="V405" s="24"/>
      <x:c r="W405" s="24"/>
      <x:c r="X405" s="40"/>
      <x:c r="Y405" s="40"/>
      <x:c r="Z405" s="39"/>
      <x:c r="AA405" s="39"/>
      <x:c r="AB405" s="24"/>
    </x:row>
    <x:row r="406" ht="23" customHeight="1">
      <x:c r="A406" s="20"/>
      <x:c r="B406" s="5"/>
      <x:c r="C406" s="4"/>
      <x:c r="D406" s="34" t="str">
        <x:f>IF(OR(A406="",U406="",COUNTIF('Project codes'!$A$7:$A$106,U406)&lt;&gt;1),"",_xlfn.XLOOKUP(U406,'Project codes'!$A$7:$A$106,'Project codes'!$I$7:$I$106,"",0))</x:f>
      </x:c>
      <x:c r="E406" s="4"/>
      <x:c r="F406" s="35" t="str">
        <x:f>IF(AND(ISNUMBER(N406),N406&gt;=0,O406="Complete"),N406/3600000,"")</x:f>
      </x:c>
      <x:c r="G406" s="4"/>
      <x:c r="H406" s="4"/>
      <x:c r="I406" s="36" t="str">
        <x:f>IF(COUNTA(A406:C406,E406,G406:H406,J406:T406,V406:AB406)=0,"",IF(A406="","Review: missing entry ID",IF(COUNTIF($A$7:$A$506,A406)&gt;1,"Review: duplicate entry ID",IF(NOT(ISNUMBER(B406)),"Review: work date",IF(OR(C406="",E406="",K406="",M406="",H406=""),"Review: source details",IF(J406&lt;&gt;'Estimate review'!$J$5,"Review: project scope",IF(OR(NOT(ISNUMBER(N406)),N406&lt;0,O406&lt;&gt;"Complete"),"Review: duration",IF(S406&lt;&gt;"Coded","Review: coding status",IF(OR(U406="",COUNTIF('Project codes'!$A$7:$A$106,U406)=0),"Review: SOW mapping",IF(COUNTIF('Project codes'!$A$7:$A$106,U406)&gt;1,"Review: duplicate code",IF(_xlfn.XLOOKUP(U406,'Project codes'!$A$7:$A$106,'Project codes'!$F$7:$F$106,"Review",0)="Hold","Review: allocation hold",IF(OR(D406="",COUNTIF('SOW register'!$A$7:$A$36,D406)&lt;&gt;1),"Review: SOW mapping",IF(AND(G406&lt;&gt;"Yes",G406&lt;&gt;"No"),"Review: billability",IF(AB406="","Review: billing evidence","OK"))))))))))))))</x:f>
      </x:c>
      <x:c r="J406" s="24"/>
      <x:c r="K406" s="38"/>
      <x:c r="L406" s="38"/>
      <x:c r="M406" s="38"/>
      <x:c r="N406" s="39"/>
      <x:c r="O406" s="24"/>
      <x:c r="P406" s="24"/>
      <x:c r="Q406" s="38"/>
      <x:c r="R406" s="38"/>
      <x:c r="S406" s="24"/>
      <x:c r="T406" s="24"/>
      <x:c r="U406" s="37" t="str">
        <x:f>IF(OR(J406="",Q406="",R406=""),"",J406&amp;"|"&amp;Q406&amp;"|"&amp;R406)</x:f>
      </x:c>
      <x:c r="V406" s="24"/>
      <x:c r="W406" s="24"/>
      <x:c r="X406" s="40"/>
      <x:c r="Y406" s="40"/>
      <x:c r="Z406" s="39"/>
      <x:c r="AA406" s="39"/>
      <x:c r="AB406" s="24"/>
    </x:row>
    <x:row r="407" ht="23" customHeight="1">
      <x:c r="A407" s="20"/>
      <x:c r="B407" s="5"/>
      <x:c r="C407" s="4"/>
      <x:c r="D407" s="34" t="str">
        <x:f>IF(OR(A407="",U407="",COUNTIF('Project codes'!$A$7:$A$106,U407)&lt;&gt;1),"",_xlfn.XLOOKUP(U407,'Project codes'!$A$7:$A$106,'Project codes'!$I$7:$I$106,"",0))</x:f>
      </x:c>
      <x:c r="E407" s="4"/>
      <x:c r="F407" s="35" t="str">
        <x:f>IF(AND(ISNUMBER(N407),N407&gt;=0,O407="Complete"),N407/3600000,"")</x:f>
      </x:c>
      <x:c r="G407" s="4"/>
      <x:c r="H407" s="4"/>
      <x:c r="I407" s="36" t="str">
        <x:f>IF(COUNTA(A407:C407,E407,G407:H407,J407:T407,V407:AB407)=0,"",IF(A407="","Review: missing entry ID",IF(COUNTIF($A$7:$A$506,A407)&gt;1,"Review: duplicate entry ID",IF(NOT(ISNUMBER(B407)),"Review: work date",IF(OR(C407="",E407="",K407="",M407="",H407=""),"Review: source details",IF(J407&lt;&gt;'Estimate review'!$J$5,"Review: project scope",IF(OR(NOT(ISNUMBER(N407)),N407&lt;0,O407&lt;&gt;"Complete"),"Review: duration",IF(S407&lt;&gt;"Coded","Review: coding status",IF(OR(U407="",COUNTIF('Project codes'!$A$7:$A$106,U407)=0),"Review: SOW mapping",IF(COUNTIF('Project codes'!$A$7:$A$106,U407)&gt;1,"Review: duplicate code",IF(_xlfn.XLOOKUP(U407,'Project codes'!$A$7:$A$106,'Project codes'!$F$7:$F$106,"Review",0)="Hold","Review: allocation hold",IF(OR(D407="",COUNTIF('SOW register'!$A$7:$A$36,D407)&lt;&gt;1),"Review: SOW mapping",IF(AND(G407&lt;&gt;"Yes",G407&lt;&gt;"No"),"Review: billability",IF(AB407="","Review: billing evidence","OK"))))))))))))))</x:f>
      </x:c>
      <x:c r="J407" s="24"/>
      <x:c r="K407" s="38"/>
      <x:c r="L407" s="38"/>
      <x:c r="M407" s="38"/>
      <x:c r="N407" s="39"/>
      <x:c r="O407" s="24"/>
      <x:c r="P407" s="24"/>
      <x:c r="Q407" s="38"/>
      <x:c r="R407" s="38"/>
      <x:c r="S407" s="24"/>
      <x:c r="T407" s="24"/>
      <x:c r="U407" s="37" t="str">
        <x:f>IF(OR(J407="",Q407="",R407=""),"",J407&amp;"|"&amp;Q407&amp;"|"&amp;R407)</x:f>
      </x:c>
      <x:c r="V407" s="24"/>
      <x:c r="W407" s="24"/>
      <x:c r="X407" s="40"/>
      <x:c r="Y407" s="40"/>
      <x:c r="Z407" s="39"/>
      <x:c r="AA407" s="39"/>
      <x:c r="AB407" s="24"/>
    </x:row>
    <x:row r="408" ht="23" customHeight="1">
      <x:c r="A408" s="20"/>
      <x:c r="B408" s="5"/>
      <x:c r="C408" s="4"/>
      <x:c r="D408" s="34" t="str">
        <x:f>IF(OR(A408="",U408="",COUNTIF('Project codes'!$A$7:$A$106,U408)&lt;&gt;1),"",_xlfn.XLOOKUP(U408,'Project codes'!$A$7:$A$106,'Project codes'!$I$7:$I$106,"",0))</x:f>
      </x:c>
      <x:c r="E408" s="4"/>
      <x:c r="F408" s="35" t="str">
        <x:f>IF(AND(ISNUMBER(N408),N408&gt;=0,O408="Complete"),N408/3600000,"")</x:f>
      </x:c>
      <x:c r="G408" s="4"/>
      <x:c r="H408" s="4"/>
      <x:c r="I408" s="36" t="str">
        <x:f>IF(COUNTA(A408:C408,E408,G408:H408,J408:T408,V408:AB408)=0,"",IF(A408="","Review: missing entry ID",IF(COUNTIF($A$7:$A$506,A408)&gt;1,"Review: duplicate entry ID",IF(NOT(ISNUMBER(B408)),"Review: work date",IF(OR(C408="",E408="",K408="",M408="",H408=""),"Review: source details",IF(J408&lt;&gt;'Estimate review'!$J$5,"Review: project scope",IF(OR(NOT(ISNUMBER(N408)),N408&lt;0,O408&lt;&gt;"Complete"),"Review: duration",IF(S408&lt;&gt;"Coded","Review: coding status",IF(OR(U408="",COUNTIF('Project codes'!$A$7:$A$106,U408)=0),"Review: SOW mapping",IF(COUNTIF('Project codes'!$A$7:$A$106,U408)&gt;1,"Review: duplicate code",IF(_xlfn.XLOOKUP(U408,'Project codes'!$A$7:$A$106,'Project codes'!$F$7:$F$106,"Review",0)="Hold","Review: allocation hold",IF(OR(D408="",COUNTIF('SOW register'!$A$7:$A$36,D408)&lt;&gt;1),"Review: SOW mapping",IF(AND(G408&lt;&gt;"Yes",G408&lt;&gt;"No"),"Review: billability",IF(AB408="","Review: billing evidence","OK"))))))))))))))</x:f>
      </x:c>
      <x:c r="J408" s="24"/>
      <x:c r="K408" s="38"/>
      <x:c r="L408" s="38"/>
      <x:c r="M408" s="38"/>
      <x:c r="N408" s="39"/>
      <x:c r="O408" s="24"/>
      <x:c r="P408" s="24"/>
      <x:c r="Q408" s="38"/>
      <x:c r="R408" s="38"/>
      <x:c r="S408" s="24"/>
      <x:c r="T408" s="24"/>
      <x:c r="U408" s="37" t="str">
        <x:f>IF(OR(J408="",Q408="",R408=""),"",J408&amp;"|"&amp;Q408&amp;"|"&amp;R408)</x:f>
      </x:c>
      <x:c r="V408" s="24"/>
      <x:c r="W408" s="24"/>
      <x:c r="X408" s="40"/>
      <x:c r="Y408" s="40"/>
      <x:c r="Z408" s="39"/>
      <x:c r="AA408" s="39"/>
      <x:c r="AB408" s="24"/>
    </x:row>
    <x:row r="409" ht="23" customHeight="1">
      <x:c r="A409" s="20"/>
      <x:c r="B409" s="5"/>
      <x:c r="C409" s="4"/>
      <x:c r="D409" s="34" t="str">
        <x:f>IF(OR(A409="",U409="",COUNTIF('Project codes'!$A$7:$A$106,U409)&lt;&gt;1),"",_xlfn.XLOOKUP(U409,'Project codes'!$A$7:$A$106,'Project codes'!$I$7:$I$106,"",0))</x:f>
      </x:c>
      <x:c r="E409" s="4"/>
      <x:c r="F409" s="35" t="str">
        <x:f>IF(AND(ISNUMBER(N409),N409&gt;=0,O409="Complete"),N409/3600000,"")</x:f>
      </x:c>
      <x:c r="G409" s="4"/>
      <x:c r="H409" s="4"/>
      <x:c r="I409" s="36" t="str">
        <x:f>IF(COUNTA(A409:C409,E409,G409:H409,J409:T409,V409:AB409)=0,"",IF(A409="","Review: missing entry ID",IF(COUNTIF($A$7:$A$506,A409)&gt;1,"Review: duplicate entry ID",IF(NOT(ISNUMBER(B409)),"Review: work date",IF(OR(C409="",E409="",K409="",M409="",H409=""),"Review: source details",IF(J409&lt;&gt;'Estimate review'!$J$5,"Review: project scope",IF(OR(NOT(ISNUMBER(N409)),N409&lt;0,O409&lt;&gt;"Complete"),"Review: duration",IF(S409&lt;&gt;"Coded","Review: coding status",IF(OR(U409="",COUNTIF('Project codes'!$A$7:$A$106,U409)=0),"Review: SOW mapping",IF(COUNTIF('Project codes'!$A$7:$A$106,U409)&gt;1,"Review: duplicate code",IF(_xlfn.XLOOKUP(U409,'Project codes'!$A$7:$A$106,'Project codes'!$F$7:$F$106,"Review",0)="Hold","Review: allocation hold",IF(OR(D409="",COUNTIF('SOW register'!$A$7:$A$36,D409)&lt;&gt;1),"Review: SOW mapping",IF(AND(G409&lt;&gt;"Yes",G409&lt;&gt;"No"),"Review: billability",IF(AB409="","Review: billing evidence","OK"))))))))))))))</x:f>
      </x:c>
      <x:c r="J409" s="24"/>
      <x:c r="K409" s="38"/>
      <x:c r="L409" s="38"/>
      <x:c r="M409" s="38"/>
      <x:c r="N409" s="39"/>
      <x:c r="O409" s="24"/>
      <x:c r="P409" s="24"/>
      <x:c r="Q409" s="38"/>
      <x:c r="R409" s="38"/>
      <x:c r="S409" s="24"/>
      <x:c r="T409" s="24"/>
      <x:c r="U409" s="37" t="str">
        <x:f>IF(OR(J409="",Q409="",R409=""),"",J409&amp;"|"&amp;Q409&amp;"|"&amp;R409)</x:f>
      </x:c>
      <x:c r="V409" s="24"/>
      <x:c r="W409" s="24"/>
      <x:c r="X409" s="40"/>
      <x:c r="Y409" s="40"/>
      <x:c r="Z409" s="39"/>
      <x:c r="AA409" s="39"/>
      <x:c r="AB409" s="24"/>
    </x:row>
    <x:row r="410" ht="23" customHeight="1">
      <x:c r="A410" s="20"/>
      <x:c r="B410" s="5"/>
      <x:c r="C410" s="4"/>
      <x:c r="D410" s="34" t="str">
        <x:f>IF(OR(A410="",U410="",COUNTIF('Project codes'!$A$7:$A$106,U410)&lt;&gt;1),"",_xlfn.XLOOKUP(U410,'Project codes'!$A$7:$A$106,'Project codes'!$I$7:$I$106,"",0))</x:f>
      </x:c>
      <x:c r="E410" s="4"/>
      <x:c r="F410" s="35" t="str">
        <x:f>IF(AND(ISNUMBER(N410),N410&gt;=0,O410="Complete"),N410/3600000,"")</x:f>
      </x:c>
      <x:c r="G410" s="4"/>
      <x:c r="H410" s="4"/>
      <x:c r="I410" s="36" t="str">
        <x:f>IF(COUNTA(A410:C410,E410,G410:H410,J410:T410,V410:AB410)=0,"",IF(A410="","Review: missing entry ID",IF(COUNTIF($A$7:$A$506,A410)&gt;1,"Review: duplicate entry ID",IF(NOT(ISNUMBER(B410)),"Review: work date",IF(OR(C410="",E410="",K410="",M410="",H410=""),"Review: source details",IF(J410&lt;&gt;'Estimate review'!$J$5,"Review: project scope",IF(OR(NOT(ISNUMBER(N410)),N410&lt;0,O410&lt;&gt;"Complete"),"Review: duration",IF(S410&lt;&gt;"Coded","Review: coding status",IF(OR(U410="",COUNTIF('Project codes'!$A$7:$A$106,U410)=0),"Review: SOW mapping",IF(COUNTIF('Project codes'!$A$7:$A$106,U410)&gt;1,"Review: duplicate code",IF(_xlfn.XLOOKUP(U410,'Project codes'!$A$7:$A$106,'Project codes'!$F$7:$F$106,"Review",0)="Hold","Review: allocation hold",IF(OR(D410="",COUNTIF('SOW register'!$A$7:$A$36,D410)&lt;&gt;1),"Review: SOW mapping",IF(AND(G410&lt;&gt;"Yes",G410&lt;&gt;"No"),"Review: billability",IF(AB410="","Review: billing evidence","OK"))))))))))))))</x:f>
      </x:c>
      <x:c r="J410" s="24"/>
      <x:c r="K410" s="38"/>
      <x:c r="L410" s="38"/>
      <x:c r="M410" s="38"/>
      <x:c r="N410" s="39"/>
      <x:c r="O410" s="24"/>
      <x:c r="P410" s="24"/>
      <x:c r="Q410" s="38"/>
      <x:c r="R410" s="38"/>
      <x:c r="S410" s="24"/>
      <x:c r="T410" s="24"/>
      <x:c r="U410" s="37" t="str">
        <x:f>IF(OR(J410="",Q410="",R410=""),"",J410&amp;"|"&amp;Q410&amp;"|"&amp;R410)</x:f>
      </x:c>
      <x:c r="V410" s="24"/>
      <x:c r="W410" s="24"/>
      <x:c r="X410" s="40"/>
      <x:c r="Y410" s="40"/>
      <x:c r="Z410" s="39"/>
      <x:c r="AA410" s="39"/>
      <x:c r="AB410" s="24"/>
    </x:row>
    <x:row r="411" ht="23" customHeight="1">
      <x:c r="A411" s="20"/>
      <x:c r="B411" s="5"/>
      <x:c r="C411" s="4"/>
      <x:c r="D411" s="34" t="str">
        <x:f>IF(OR(A411="",U411="",COUNTIF('Project codes'!$A$7:$A$106,U411)&lt;&gt;1),"",_xlfn.XLOOKUP(U411,'Project codes'!$A$7:$A$106,'Project codes'!$I$7:$I$106,"",0))</x:f>
      </x:c>
      <x:c r="E411" s="4"/>
      <x:c r="F411" s="35" t="str">
        <x:f>IF(AND(ISNUMBER(N411),N411&gt;=0,O411="Complete"),N411/3600000,"")</x:f>
      </x:c>
      <x:c r="G411" s="4"/>
      <x:c r="H411" s="4"/>
      <x:c r="I411" s="36" t="str">
        <x:f>IF(COUNTA(A411:C411,E411,G411:H411,J411:T411,V411:AB411)=0,"",IF(A411="","Review: missing entry ID",IF(COUNTIF($A$7:$A$506,A411)&gt;1,"Review: duplicate entry ID",IF(NOT(ISNUMBER(B411)),"Review: work date",IF(OR(C411="",E411="",K411="",M411="",H411=""),"Review: source details",IF(J411&lt;&gt;'Estimate review'!$J$5,"Review: project scope",IF(OR(NOT(ISNUMBER(N411)),N411&lt;0,O411&lt;&gt;"Complete"),"Review: duration",IF(S411&lt;&gt;"Coded","Review: coding status",IF(OR(U411="",COUNTIF('Project codes'!$A$7:$A$106,U411)=0),"Review: SOW mapping",IF(COUNTIF('Project codes'!$A$7:$A$106,U411)&gt;1,"Review: duplicate code",IF(_xlfn.XLOOKUP(U411,'Project codes'!$A$7:$A$106,'Project codes'!$F$7:$F$106,"Review",0)="Hold","Review: allocation hold",IF(OR(D411="",COUNTIF('SOW register'!$A$7:$A$36,D411)&lt;&gt;1),"Review: SOW mapping",IF(AND(G411&lt;&gt;"Yes",G411&lt;&gt;"No"),"Review: billability",IF(AB411="","Review: billing evidence","OK"))))))))))))))</x:f>
      </x:c>
      <x:c r="J411" s="24"/>
      <x:c r="K411" s="38"/>
      <x:c r="L411" s="38"/>
      <x:c r="M411" s="38"/>
      <x:c r="N411" s="39"/>
      <x:c r="O411" s="24"/>
      <x:c r="P411" s="24"/>
      <x:c r="Q411" s="38"/>
      <x:c r="R411" s="38"/>
      <x:c r="S411" s="24"/>
      <x:c r="T411" s="24"/>
      <x:c r="U411" s="37" t="str">
        <x:f>IF(OR(J411="",Q411="",R411=""),"",J411&amp;"|"&amp;Q411&amp;"|"&amp;R411)</x:f>
      </x:c>
      <x:c r="V411" s="24"/>
      <x:c r="W411" s="24"/>
      <x:c r="X411" s="40"/>
      <x:c r="Y411" s="40"/>
      <x:c r="Z411" s="39"/>
      <x:c r="AA411" s="39"/>
      <x:c r="AB411" s="24"/>
    </x:row>
    <x:row r="412" ht="23" customHeight="1">
      <x:c r="A412" s="20"/>
      <x:c r="B412" s="5"/>
      <x:c r="C412" s="4"/>
      <x:c r="D412" s="34" t="str">
        <x:f>IF(OR(A412="",U412="",COUNTIF('Project codes'!$A$7:$A$106,U412)&lt;&gt;1),"",_xlfn.XLOOKUP(U412,'Project codes'!$A$7:$A$106,'Project codes'!$I$7:$I$106,"",0))</x:f>
      </x:c>
      <x:c r="E412" s="4"/>
      <x:c r="F412" s="35" t="str">
        <x:f>IF(AND(ISNUMBER(N412),N412&gt;=0,O412="Complete"),N412/3600000,"")</x:f>
      </x:c>
      <x:c r="G412" s="4"/>
      <x:c r="H412" s="4"/>
      <x:c r="I412" s="36" t="str">
        <x:f>IF(COUNTA(A412:C412,E412,G412:H412,J412:T412,V412:AB412)=0,"",IF(A412="","Review: missing entry ID",IF(COUNTIF($A$7:$A$506,A412)&gt;1,"Review: duplicate entry ID",IF(NOT(ISNUMBER(B412)),"Review: work date",IF(OR(C412="",E412="",K412="",M412="",H412=""),"Review: source details",IF(J412&lt;&gt;'Estimate review'!$J$5,"Review: project scope",IF(OR(NOT(ISNUMBER(N412)),N412&lt;0,O412&lt;&gt;"Complete"),"Review: duration",IF(S412&lt;&gt;"Coded","Review: coding status",IF(OR(U412="",COUNTIF('Project codes'!$A$7:$A$106,U412)=0),"Review: SOW mapping",IF(COUNTIF('Project codes'!$A$7:$A$106,U412)&gt;1,"Review: duplicate code",IF(_xlfn.XLOOKUP(U412,'Project codes'!$A$7:$A$106,'Project codes'!$F$7:$F$106,"Review",0)="Hold","Review: allocation hold",IF(OR(D412="",COUNTIF('SOW register'!$A$7:$A$36,D412)&lt;&gt;1),"Review: SOW mapping",IF(AND(G412&lt;&gt;"Yes",G412&lt;&gt;"No"),"Review: billability",IF(AB412="","Review: billing evidence","OK"))))))))))))))</x:f>
      </x:c>
      <x:c r="J412" s="24"/>
      <x:c r="K412" s="38"/>
      <x:c r="L412" s="38"/>
      <x:c r="M412" s="38"/>
      <x:c r="N412" s="39"/>
      <x:c r="O412" s="24"/>
      <x:c r="P412" s="24"/>
      <x:c r="Q412" s="38"/>
      <x:c r="R412" s="38"/>
      <x:c r="S412" s="24"/>
      <x:c r="T412" s="24"/>
      <x:c r="U412" s="37" t="str">
        <x:f>IF(OR(J412="",Q412="",R412=""),"",J412&amp;"|"&amp;Q412&amp;"|"&amp;R412)</x:f>
      </x:c>
      <x:c r="V412" s="24"/>
      <x:c r="W412" s="24"/>
      <x:c r="X412" s="40"/>
      <x:c r="Y412" s="40"/>
      <x:c r="Z412" s="39"/>
      <x:c r="AA412" s="39"/>
      <x:c r="AB412" s="24"/>
    </x:row>
    <x:row r="413" ht="23" customHeight="1">
      <x:c r="A413" s="20"/>
      <x:c r="B413" s="5"/>
      <x:c r="C413" s="4"/>
      <x:c r="D413" s="34" t="str">
        <x:f>IF(OR(A413="",U413="",COUNTIF('Project codes'!$A$7:$A$106,U413)&lt;&gt;1),"",_xlfn.XLOOKUP(U413,'Project codes'!$A$7:$A$106,'Project codes'!$I$7:$I$106,"",0))</x:f>
      </x:c>
      <x:c r="E413" s="4"/>
      <x:c r="F413" s="35" t="str">
        <x:f>IF(AND(ISNUMBER(N413),N413&gt;=0,O413="Complete"),N413/3600000,"")</x:f>
      </x:c>
      <x:c r="G413" s="4"/>
      <x:c r="H413" s="4"/>
      <x:c r="I413" s="36" t="str">
        <x:f>IF(COUNTA(A413:C413,E413,G413:H413,J413:T413,V413:AB413)=0,"",IF(A413="","Review: missing entry ID",IF(COUNTIF($A$7:$A$506,A413)&gt;1,"Review: duplicate entry ID",IF(NOT(ISNUMBER(B413)),"Review: work date",IF(OR(C413="",E413="",K413="",M413="",H413=""),"Review: source details",IF(J413&lt;&gt;'Estimate review'!$J$5,"Review: project scope",IF(OR(NOT(ISNUMBER(N413)),N413&lt;0,O413&lt;&gt;"Complete"),"Review: duration",IF(S413&lt;&gt;"Coded","Review: coding status",IF(OR(U413="",COUNTIF('Project codes'!$A$7:$A$106,U413)=0),"Review: SOW mapping",IF(COUNTIF('Project codes'!$A$7:$A$106,U413)&gt;1,"Review: duplicate code",IF(_xlfn.XLOOKUP(U413,'Project codes'!$A$7:$A$106,'Project codes'!$F$7:$F$106,"Review",0)="Hold","Review: allocation hold",IF(OR(D413="",COUNTIF('SOW register'!$A$7:$A$36,D413)&lt;&gt;1),"Review: SOW mapping",IF(AND(G413&lt;&gt;"Yes",G413&lt;&gt;"No"),"Review: billability",IF(AB413="","Review: billing evidence","OK"))))))))))))))</x:f>
      </x:c>
      <x:c r="J413" s="24"/>
      <x:c r="K413" s="38"/>
      <x:c r="L413" s="38"/>
      <x:c r="M413" s="38"/>
      <x:c r="N413" s="39"/>
      <x:c r="O413" s="24"/>
      <x:c r="P413" s="24"/>
      <x:c r="Q413" s="38"/>
      <x:c r="R413" s="38"/>
      <x:c r="S413" s="24"/>
      <x:c r="T413" s="24"/>
      <x:c r="U413" s="37" t="str">
        <x:f>IF(OR(J413="",Q413="",R413=""),"",J413&amp;"|"&amp;Q413&amp;"|"&amp;R413)</x:f>
      </x:c>
      <x:c r="V413" s="24"/>
      <x:c r="W413" s="24"/>
      <x:c r="X413" s="40"/>
      <x:c r="Y413" s="40"/>
      <x:c r="Z413" s="39"/>
      <x:c r="AA413" s="39"/>
      <x:c r="AB413" s="24"/>
    </x:row>
    <x:row r="414" ht="23" customHeight="1">
      <x:c r="A414" s="20"/>
      <x:c r="B414" s="5"/>
      <x:c r="C414" s="4"/>
      <x:c r="D414" s="34" t="str">
        <x:f>IF(OR(A414="",U414="",COUNTIF('Project codes'!$A$7:$A$106,U414)&lt;&gt;1),"",_xlfn.XLOOKUP(U414,'Project codes'!$A$7:$A$106,'Project codes'!$I$7:$I$106,"",0))</x:f>
      </x:c>
      <x:c r="E414" s="4"/>
      <x:c r="F414" s="35" t="str">
        <x:f>IF(AND(ISNUMBER(N414),N414&gt;=0,O414="Complete"),N414/3600000,"")</x:f>
      </x:c>
      <x:c r="G414" s="4"/>
      <x:c r="H414" s="4"/>
      <x:c r="I414" s="36" t="str">
        <x:f>IF(COUNTA(A414:C414,E414,G414:H414,J414:T414,V414:AB414)=0,"",IF(A414="","Review: missing entry ID",IF(COUNTIF($A$7:$A$506,A414)&gt;1,"Review: duplicate entry ID",IF(NOT(ISNUMBER(B414)),"Review: work date",IF(OR(C414="",E414="",K414="",M414="",H414=""),"Review: source details",IF(J414&lt;&gt;'Estimate review'!$J$5,"Review: project scope",IF(OR(NOT(ISNUMBER(N414)),N414&lt;0,O414&lt;&gt;"Complete"),"Review: duration",IF(S414&lt;&gt;"Coded","Review: coding status",IF(OR(U414="",COUNTIF('Project codes'!$A$7:$A$106,U414)=0),"Review: SOW mapping",IF(COUNTIF('Project codes'!$A$7:$A$106,U414)&gt;1,"Review: duplicate code",IF(_xlfn.XLOOKUP(U414,'Project codes'!$A$7:$A$106,'Project codes'!$F$7:$F$106,"Review",0)="Hold","Review: allocation hold",IF(OR(D414="",COUNTIF('SOW register'!$A$7:$A$36,D414)&lt;&gt;1),"Review: SOW mapping",IF(AND(G414&lt;&gt;"Yes",G414&lt;&gt;"No"),"Review: billability",IF(AB414="","Review: billing evidence","OK"))))))))))))))</x:f>
      </x:c>
      <x:c r="J414" s="24"/>
      <x:c r="K414" s="38"/>
      <x:c r="L414" s="38"/>
      <x:c r="M414" s="38"/>
      <x:c r="N414" s="39"/>
      <x:c r="O414" s="24"/>
      <x:c r="P414" s="24"/>
      <x:c r="Q414" s="38"/>
      <x:c r="R414" s="38"/>
      <x:c r="S414" s="24"/>
      <x:c r="T414" s="24"/>
      <x:c r="U414" s="37" t="str">
        <x:f>IF(OR(J414="",Q414="",R414=""),"",J414&amp;"|"&amp;Q414&amp;"|"&amp;R414)</x:f>
      </x:c>
      <x:c r="V414" s="24"/>
      <x:c r="W414" s="24"/>
      <x:c r="X414" s="40"/>
      <x:c r="Y414" s="40"/>
      <x:c r="Z414" s="39"/>
      <x:c r="AA414" s="39"/>
      <x:c r="AB414" s="24"/>
    </x:row>
    <x:row r="415" ht="23" customHeight="1">
      <x:c r="A415" s="20"/>
      <x:c r="B415" s="5"/>
      <x:c r="C415" s="4"/>
      <x:c r="D415" s="34" t="str">
        <x:f>IF(OR(A415="",U415="",COUNTIF('Project codes'!$A$7:$A$106,U415)&lt;&gt;1),"",_xlfn.XLOOKUP(U415,'Project codes'!$A$7:$A$106,'Project codes'!$I$7:$I$106,"",0))</x:f>
      </x:c>
      <x:c r="E415" s="4"/>
      <x:c r="F415" s="35" t="str">
        <x:f>IF(AND(ISNUMBER(N415),N415&gt;=0,O415="Complete"),N415/3600000,"")</x:f>
      </x:c>
      <x:c r="G415" s="4"/>
      <x:c r="H415" s="4"/>
      <x:c r="I415" s="36" t="str">
        <x:f>IF(COUNTA(A415:C415,E415,G415:H415,J415:T415,V415:AB415)=0,"",IF(A415="","Review: missing entry ID",IF(COUNTIF($A$7:$A$506,A415)&gt;1,"Review: duplicate entry ID",IF(NOT(ISNUMBER(B415)),"Review: work date",IF(OR(C415="",E415="",K415="",M415="",H415=""),"Review: source details",IF(J415&lt;&gt;'Estimate review'!$J$5,"Review: project scope",IF(OR(NOT(ISNUMBER(N415)),N415&lt;0,O415&lt;&gt;"Complete"),"Review: duration",IF(S415&lt;&gt;"Coded","Review: coding status",IF(OR(U415="",COUNTIF('Project codes'!$A$7:$A$106,U415)=0),"Review: SOW mapping",IF(COUNTIF('Project codes'!$A$7:$A$106,U415)&gt;1,"Review: duplicate code",IF(_xlfn.XLOOKUP(U415,'Project codes'!$A$7:$A$106,'Project codes'!$F$7:$F$106,"Review",0)="Hold","Review: allocation hold",IF(OR(D415="",COUNTIF('SOW register'!$A$7:$A$36,D415)&lt;&gt;1),"Review: SOW mapping",IF(AND(G415&lt;&gt;"Yes",G415&lt;&gt;"No"),"Review: billability",IF(AB415="","Review: billing evidence","OK"))))))))))))))</x:f>
      </x:c>
      <x:c r="J415" s="24"/>
      <x:c r="K415" s="38"/>
      <x:c r="L415" s="38"/>
      <x:c r="M415" s="38"/>
      <x:c r="N415" s="39"/>
      <x:c r="O415" s="24"/>
      <x:c r="P415" s="24"/>
      <x:c r="Q415" s="38"/>
      <x:c r="R415" s="38"/>
      <x:c r="S415" s="24"/>
      <x:c r="T415" s="24"/>
      <x:c r="U415" s="37" t="str">
        <x:f>IF(OR(J415="",Q415="",R415=""),"",J415&amp;"|"&amp;Q415&amp;"|"&amp;R415)</x:f>
      </x:c>
      <x:c r="V415" s="24"/>
      <x:c r="W415" s="24"/>
      <x:c r="X415" s="40"/>
      <x:c r="Y415" s="40"/>
      <x:c r="Z415" s="39"/>
      <x:c r="AA415" s="39"/>
      <x:c r="AB415" s="24"/>
    </x:row>
    <x:row r="416" ht="23" customHeight="1">
      <x:c r="A416" s="20"/>
      <x:c r="B416" s="5"/>
      <x:c r="C416" s="4"/>
      <x:c r="D416" s="34" t="str">
        <x:f>IF(OR(A416="",U416="",COUNTIF('Project codes'!$A$7:$A$106,U416)&lt;&gt;1),"",_xlfn.XLOOKUP(U416,'Project codes'!$A$7:$A$106,'Project codes'!$I$7:$I$106,"",0))</x:f>
      </x:c>
      <x:c r="E416" s="4"/>
      <x:c r="F416" s="35" t="str">
        <x:f>IF(AND(ISNUMBER(N416),N416&gt;=0,O416="Complete"),N416/3600000,"")</x:f>
      </x:c>
      <x:c r="G416" s="4"/>
      <x:c r="H416" s="4"/>
      <x:c r="I416" s="36" t="str">
        <x:f>IF(COUNTA(A416:C416,E416,G416:H416,J416:T416,V416:AB416)=0,"",IF(A416="","Review: missing entry ID",IF(COUNTIF($A$7:$A$506,A416)&gt;1,"Review: duplicate entry ID",IF(NOT(ISNUMBER(B416)),"Review: work date",IF(OR(C416="",E416="",K416="",M416="",H416=""),"Review: source details",IF(J416&lt;&gt;'Estimate review'!$J$5,"Review: project scope",IF(OR(NOT(ISNUMBER(N416)),N416&lt;0,O416&lt;&gt;"Complete"),"Review: duration",IF(S416&lt;&gt;"Coded","Review: coding status",IF(OR(U416="",COUNTIF('Project codes'!$A$7:$A$106,U416)=0),"Review: SOW mapping",IF(COUNTIF('Project codes'!$A$7:$A$106,U416)&gt;1,"Review: duplicate code",IF(_xlfn.XLOOKUP(U416,'Project codes'!$A$7:$A$106,'Project codes'!$F$7:$F$106,"Review",0)="Hold","Review: allocation hold",IF(OR(D416="",COUNTIF('SOW register'!$A$7:$A$36,D416)&lt;&gt;1),"Review: SOW mapping",IF(AND(G416&lt;&gt;"Yes",G416&lt;&gt;"No"),"Review: billability",IF(AB416="","Review: billing evidence","OK"))))))))))))))</x:f>
      </x:c>
      <x:c r="J416" s="24"/>
      <x:c r="K416" s="38"/>
      <x:c r="L416" s="38"/>
      <x:c r="M416" s="38"/>
      <x:c r="N416" s="39"/>
      <x:c r="O416" s="24"/>
      <x:c r="P416" s="24"/>
      <x:c r="Q416" s="38"/>
      <x:c r="R416" s="38"/>
      <x:c r="S416" s="24"/>
      <x:c r="T416" s="24"/>
      <x:c r="U416" s="37" t="str">
        <x:f>IF(OR(J416="",Q416="",R416=""),"",J416&amp;"|"&amp;Q416&amp;"|"&amp;R416)</x:f>
      </x:c>
      <x:c r="V416" s="24"/>
      <x:c r="W416" s="24"/>
      <x:c r="X416" s="40"/>
      <x:c r="Y416" s="40"/>
      <x:c r="Z416" s="39"/>
      <x:c r="AA416" s="39"/>
      <x:c r="AB416" s="24"/>
    </x:row>
    <x:row r="417" ht="23" customHeight="1">
      <x:c r="A417" s="20"/>
      <x:c r="B417" s="5"/>
      <x:c r="C417" s="4"/>
      <x:c r="D417" s="34" t="str">
        <x:f>IF(OR(A417="",U417="",COUNTIF('Project codes'!$A$7:$A$106,U417)&lt;&gt;1),"",_xlfn.XLOOKUP(U417,'Project codes'!$A$7:$A$106,'Project codes'!$I$7:$I$106,"",0))</x:f>
      </x:c>
      <x:c r="E417" s="4"/>
      <x:c r="F417" s="35" t="str">
        <x:f>IF(AND(ISNUMBER(N417),N417&gt;=0,O417="Complete"),N417/3600000,"")</x:f>
      </x:c>
      <x:c r="G417" s="4"/>
      <x:c r="H417" s="4"/>
      <x:c r="I417" s="36" t="str">
        <x:f>IF(COUNTA(A417:C417,E417,G417:H417,J417:T417,V417:AB417)=0,"",IF(A417="","Review: missing entry ID",IF(COUNTIF($A$7:$A$506,A417)&gt;1,"Review: duplicate entry ID",IF(NOT(ISNUMBER(B417)),"Review: work date",IF(OR(C417="",E417="",K417="",M417="",H417=""),"Review: source details",IF(J417&lt;&gt;'Estimate review'!$J$5,"Review: project scope",IF(OR(NOT(ISNUMBER(N417)),N417&lt;0,O417&lt;&gt;"Complete"),"Review: duration",IF(S417&lt;&gt;"Coded","Review: coding status",IF(OR(U417="",COUNTIF('Project codes'!$A$7:$A$106,U417)=0),"Review: SOW mapping",IF(COUNTIF('Project codes'!$A$7:$A$106,U417)&gt;1,"Review: duplicate code",IF(_xlfn.XLOOKUP(U417,'Project codes'!$A$7:$A$106,'Project codes'!$F$7:$F$106,"Review",0)="Hold","Review: allocation hold",IF(OR(D417="",COUNTIF('SOW register'!$A$7:$A$36,D417)&lt;&gt;1),"Review: SOW mapping",IF(AND(G417&lt;&gt;"Yes",G417&lt;&gt;"No"),"Review: billability",IF(AB417="","Review: billing evidence","OK"))))))))))))))</x:f>
      </x:c>
      <x:c r="J417" s="24"/>
      <x:c r="K417" s="38"/>
      <x:c r="L417" s="38"/>
      <x:c r="M417" s="38"/>
      <x:c r="N417" s="39"/>
      <x:c r="O417" s="24"/>
      <x:c r="P417" s="24"/>
      <x:c r="Q417" s="38"/>
      <x:c r="R417" s="38"/>
      <x:c r="S417" s="24"/>
      <x:c r="T417" s="24"/>
      <x:c r="U417" s="37" t="str">
        <x:f>IF(OR(J417="",Q417="",R417=""),"",J417&amp;"|"&amp;Q417&amp;"|"&amp;R417)</x:f>
      </x:c>
      <x:c r="V417" s="24"/>
      <x:c r="W417" s="24"/>
      <x:c r="X417" s="40"/>
      <x:c r="Y417" s="40"/>
      <x:c r="Z417" s="39"/>
      <x:c r="AA417" s="39"/>
      <x:c r="AB417" s="24"/>
    </x:row>
    <x:row r="418" ht="23" customHeight="1">
      <x:c r="A418" s="20"/>
      <x:c r="B418" s="5"/>
      <x:c r="C418" s="4"/>
      <x:c r="D418" s="34" t="str">
        <x:f>IF(OR(A418="",U418="",COUNTIF('Project codes'!$A$7:$A$106,U418)&lt;&gt;1),"",_xlfn.XLOOKUP(U418,'Project codes'!$A$7:$A$106,'Project codes'!$I$7:$I$106,"",0))</x:f>
      </x:c>
      <x:c r="E418" s="4"/>
      <x:c r="F418" s="35" t="str">
        <x:f>IF(AND(ISNUMBER(N418),N418&gt;=0,O418="Complete"),N418/3600000,"")</x:f>
      </x:c>
      <x:c r="G418" s="4"/>
      <x:c r="H418" s="4"/>
      <x:c r="I418" s="36" t="str">
        <x:f>IF(COUNTA(A418:C418,E418,G418:H418,J418:T418,V418:AB418)=0,"",IF(A418="","Review: missing entry ID",IF(COUNTIF($A$7:$A$506,A418)&gt;1,"Review: duplicate entry ID",IF(NOT(ISNUMBER(B418)),"Review: work date",IF(OR(C418="",E418="",K418="",M418="",H418=""),"Review: source details",IF(J418&lt;&gt;'Estimate review'!$J$5,"Review: project scope",IF(OR(NOT(ISNUMBER(N418)),N418&lt;0,O418&lt;&gt;"Complete"),"Review: duration",IF(S418&lt;&gt;"Coded","Review: coding status",IF(OR(U418="",COUNTIF('Project codes'!$A$7:$A$106,U418)=0),"Review: SOW mapping",IF(COUNTIF('Project codes'!$A$7:$A$106,U418)&gt;1,"Review: duplicate code",IF(_xlfn.XLOOKUP(U418,'Project codes'!$A$7:$A$106,'Project codes'!$F$7:$F$106,"Review",0)="Hold","Review: allocation hold",IF(OR(D418="",COUNTIF('SOW register'!$A$7:$A$36,D418)&lt;&gt;1),"Review: SOW mapping",IF(AND(G418&lt;&gt;"Yes",G418&lt;&gt;"No"),"Review: billability",IF(AB418="","Review: billing evidence","OK"))))))))))))))</x:f>
      </x:c>
      <x:c r="J418" s="24"/>
      <x:c r="K418" s="38"/>
      <x:c r="L418" s="38"/>
      <x:c r="M418" s="38"/>
      <x:c r="N418" s="39"/>
      <x:c r="O418" s="24"/>
      <x:c r="P418" s="24"/>
      <x:c r="Q418" s="38"/>
      <x:c r="R418" s="38"/>
      <x:c r="S418" s="24"/>
      <x:c r="T418" s="24"/>
      <x:c r="U418" s="37" t="str">
        <x:f>IF(OR(J418="",Q418="",R418=""),"",J418&amp;"|"&amp;Q418&amp;"|"&amp;R418)</x:f>
      </x:c>
      <x:c r="V418" s="24"/>
      <x:c r="W418" s="24"/>
      <x:c r="X418" s="40"/>
      <x:c r="Y418" s="40"/>
      <x:c r="Z418" s="39"/>
      <x:c r="AA418" s="39"/>
      <x:c r="AB418" s="24"/>
    </x:row>
    <x:row r="419" ht="23" customHeight="1">
      <x:c r="A419" s="20"/>
      <x:c r="B419" s="5"/>
      <x:c r="C419" s="4"/>
      <x:c r="D419" s="34" t="str">
        <x:f>IF(OR(A419="",U419="",COUNTIF('Project codes'!$A$7:$A$106,U419)&lt;&gt;1),"",_xlfn.XLOOKUP(U419,'Project codes'!$A$7:$A$106,'Project codes'!$I$7:$I$106,"",0))</x:f>
      </x:c>
      <x:c r="E419" s="4"/>
      <x:c r="F419" s="35" t="str">
        <x:f>IF(AND(ISNUMBER(N419),N419&gt;=0,O419="Complete"),N419/3600000,"")</x:f>
      </x:c>
      <x:c r="G419" s="4"/>
      <x:c r="H419" s="4"/>
      <x:c r="I419" s="36" t="str">
        <x:f>IF(COUNTA(A419:C419,E419,G419:H419,J419:T419,V419:AB419)=0,"",IF(A419="","Review: missing entry ID",IF(COUNTIF($A$7:$A$506,A419)&gt;1,"Review: duplicate entry ID",IF(NOT(ISNUMBER(B419)),"Review: work date",IF(OR(C419="",E419="",K419="",M419="",H419=""),"Review: source details",IF(J419&lt;&gt;'Estimate review'!$J$5,"Review: project scope",IF(OR(NOT(ISNUMBER(N419)),N419&lt;0,O419&lt;&gt;"Complete"),"Review: duration",IF(S419&lt;&gt;"Coded","Review: coding status",IF(OR(U419="",COUNTIF('Project codes'!$A$7:$A$106,U419)=0),"Review: SOW mapping",IF(COUNTIF('Project codes'!$A$7:$A$106,U419)&gt;1,"Review: duplicate code",IF(_xlfn.XLOOKUP(U419,'Project codes'!$A$7:$A$106,'Project codes'!$F$7:$F$106,"Review",0)="Hold","Review: allocation hold",IF(OR(D419="",COUNTIF('SOW register'!$A$7:$A$36,D419)&lt;&gt;1),"Review: SOW mapping",IF(AND(G419&lt;&gt;"Yes",G419&lt;&gt;"No"),"Review: billability",IF(AB419="","Review: billing evidence","OK"))))))))))))))</x:f>
      </x:c>
      <x:c r="J419" s="24"/>
      <x:c r="K419" s="38"/>
      <x:c r="L419" s="38"/>
      <x:c r="M419" s="38"/>
      <x:c r="N419" s="39"/>
      <x:c r="O419" s="24"/>
      <x:c r="P419" s="24"/>
      <x:c r="Q419" s="38"/>
      <x:c r="R419" s="38"/>
      <x:c r="S419" s="24"/>
      <x:c r="T419" s="24"/>
      <x:c r="U419" s="37" t="str">
        <x:f>IF(OR(J419="",Q419="",R419=""),"",J419&amp;"|"&amp;Q419&amp;"|"&amp;R419)</x:f>
      </x:c>
      <x:c r="V419" s="24"/>
      <x:c r="W419" s="24"/>
      <x:c r="X419" s="40"/>
      <x:c r="Y419" s="40"/>
      <x:c r="Z419" s="39"/>
      <x:c r="AA419" s="39"/>
      <x:c r="AB419" s="24"/>
    </x:row>
    <x:row r="420" ht="23" customHeight="1">
      <x:c r="A420" s="20"/>
      <x:c r="B420" s="5"/>
      <x:c r="C420" s="4"/>
      <x:c r="D420" s="34" t="str">
        <x:f>IF(OR(A420="",U420="",COUNTIF('Project codes'!$A$7:$A$106,U420)&lt;&gt;1),"",_xlfn.XLOOKUP(U420,'Project codes'!$A$7:$A$106,'Project codes'!$I$7:$I$106,"",0))</x:f>
      </x:c>
      <x:c r="E420" s="4"/>
      <x:c r="F420" s="35" t="str">
        <x:f>IF(AND(ISNUMBER(N420),N420&gt;=0,O420="Complete"),N420/3600000,"")</x:f>
      </x:c>
      <x:c r="G420" s="4"/>
      <x:c r="H420" s="4"/>
      <x:c r="I420" s="36" t="str">
        <x:f>IF(COUNTA(A420:C420,E420,G420:H420,J420:T420,V420:AB420)=0,"",IF(A420="","Review: missing entry ID",IF(COUNTIF($A$7:$A$506,A420)&gt;1,"Review: duplicate entry ID",IF(NOT(ISNUMBER(B420)),"Review: work date",IF(OR(C420="",E420="",K420="",M420="",H420=""),"Review: source details",IF(J420&lt;&gt;'Estimate review'!$J$5,"Review: project scope",IF(OR(NOT(ISNUMBER(N420)),N420&lt;0,O420&lt;&gt;"Complete"),"Review: duration",IF(S420&lt;&gt;"Coded","Review: coding status",IF(OR(U420="",COUNTIF('Project codes'!$A$7:$A$106,U420)=0),"Review: SOW mapping",IF(COUNTIF('Project codes'!$A$7:$A$106,U420)&gt;1,"Review: duplicate code",IF(_xlfn.XLOOKUP(U420,'Project codes'!$A$7:$A$106,'Project codes'!$F$7:$F$106,"Review",0)="Hold","Review: allocation hold",IF(OR(D420="",COUNTIF('SOW register'!$A$7:$A$36,D420)&lt;&gt;1),"Review: SOW mapping",IF(AND(G420&lt;&gt;"Yes",G420&lt;&gt;"No"),"Review: billability",IF(AB420="","Review: billing evidence","OK"))))))))))))))</x:f>
      </x:c>
      <x:c r="J420" s="24"/>
      <x:c r="K420" s="38"/>
      <x:c r="L420" s="38"/>
      <x:c r="M420" s="38"/>
      <x:c r="N420" s="39"/>
      <x:c r="O420" s="24"/>
      <x:c r="P420" s="24"/>
      <x:c r="Q420" s="38"/>
      <x:c r="R420" s="38"/>
      <x:c r="S420" s="24"/>
      <x:c r="T420" s="24"/>
      <x:c r="U420" s="37" t="str">
        <x:f>IF(OR(J420="",Q420="",R420=""),"",J420&amp;"|"&amp;Q420&amp;"|"&amp;R420)</x:f>
      </x:c>
      <x:c r="V420" s="24"/>
      <x:c r="W420" s="24"/>
      <x:c r="X420" s="40"/>
      <x:c r="Y420" s="40"/>
      <x:c r="Z420" s="39"/>
      <x:c r="AA420" s="39"/>
      <x:c r="AB420" s="24"/>
    </x:row>
    <x:row r="421" ht="23" customHeight="1">
      <x:c r="A421" s="20"/>
      <x:c r="B421" s="5"/>
      <x:c r="C421" s="4"/>
      <x:c r="D421" s="34" t="str">
        <x:f>IF(OR(A421="",U421="",COUNTIF('Project codes'!$A$7:$A$106,U421)&lt;&gt;1),"",_xlfn.XLOOKUP(U421,'Project codes'!$A$7:$A$106,'Project codes'!$I$7:$I$106,"",0))</x:f>
      </x:c>
      <x:c r="E421" s="4"/>
      <x:c r="F421" s="35" t="str">
        <x:f>IF(AND(ISNUMBER(N421),N421&gt;=0,O421="Complete"),N421/3600000,"")</x:f>
      </x:c>
      <x:c r="G421" s="4"/>
      <x:c r="H421" s="4"/>
      <x:c r="I421" s="36" t="str">
        <x:f>IF(COUNTA(A421:C421,E421,G421:H421,J421:T421,V421:AB421)=0,"",IF(A421="","Review: missing entry ID",IF(COUNTIF($A$7:$A$506,A421)&gt;1,"Review: duplicate entry ID",IF(NOT(ISNUMBER(B421)),"Review: work date",IF(OR(C421="",E421="",K421="",M421="",H421=""),"Review: source details",IF(J421&lt;&gt;'Estimate review'!$J$5,"Review: project scope",IF(OR(NOT(ISNUMBER(N421)),N421&lt;0,O421&lt;&gt;"Complete"),"Review: duration",IF(S421&lt;&gt;"Coded","Review: coding status",IF(OR(U421="",COUNTIF('Project codes'!$A$7:$A$106,U421)=0),"Review: SOW mapping",IF(COUNTIF('Project codes'!$A$7:$A$106,U421)&gt;1,"Review: duplicate code",IF(_xlfn.XLOOKUP(U421,'Project codes'!$A$7:$A$106,'Project codes'!$F$7:$F$106,"Review",0)="Hold","Review: allocation hold",IF(OR(D421="",COUNTIF('SOW register'!$A$7:$A$36,D421)&lt;&gt;1),"Review: SOW mapping",IF(AND(G421&lt;&gt;"Yes",G421&lt;&gt;"No"),"Review: billability",IF(AB421="","Review: billing evidence","OK"))))))))))))))</x:f>
      </x:c>
      <x:c r="J421" s="24"/>
      <x:c r="K421" s="38"/>
      <x:c r="L421" s="38"/>
      <x:c r="M421" s="38"/>
      <x:c r="N421" s="39"/>
      <x:c r="O421" s="24"/>
      <x:c r="P421" s="24"/>
      <x:c r="Q421" s="38"/>
      <x:c r="R421" s="38"/>
      <x:c r="S421" s="24"/>
      <x:c r="T421" s="24"/>
      <x:c r="U421" s="37" t="str">
        <x:f>IF(OR(J421="",Q421="",R421=""),"",J421&amp;"|"&amp;Q421&amp;"|"&amp;R421)</x:f>
      </x:c>
      <x:c r="V421" s="24"/>
      <x:c r="W421" s="24"/>
      <x:c r="X421" s="40"/>
      <x:c r="Y421" s="40"/>
      <x:c r="Z421" s="39"/>
      <x:c r="AA421" s="39"/>
      <x:c r="AB421" s="24"/>
    </x:row>
    <x:row r="422" ht="23" customHeight="1">
      <x:c r="A422" s="20"/>
      <x:c r="B422" s="5"/>
      <x:c r="C422" s="4"/>
      <x:c r="D422" s="34" t="str">
        <x:f>IF(OR(A422="",U422="",COUNTIF('Project codes'!$A$7:$A$106,U422)&lt;&gt;1),"",_xlfn.XLOOKUP(U422,'Project codes'!$A$7:$A$106,'Project codes'!$I$7:$I$106,"",0))</x:f>
      </x:c>
      <x:c r="E422" s="4"/>
      <x:c r="F422" s="35" t="str">
        <x:f>IF(AND(ISNUMBER(N422),N422&gt;=0,O422="Complete"),N422/3600000,"")</x:f>
      </x:c>
      <x:c r="G422" s="4"/>
      <x:c r="H422" s="4"/>
      <x:c r="I422" s="36" t="str">
        <x:f>IF(COUNTA(A422:C422,E422,G422:H422,J422:T422,V422:AB422)=0,"",IF(A422="","Review: missing entry ID",IF(COUNTIF($A$7:$A$506,A422)&gt;1,"Review: duplicate entry ID",IF(NOT(ISNUMBER(B422)),"Review: work date",IF(OR(C422="",E422="",K422="",M422="",H422=""),"Review: source details",IF(J422&lt;&gt;'Estimate review'!$J$5,"Review: project scope",IF(OR(NOT(ISNUMBER(N422)),N422&lt;0,O422&lt;&gt;"Complete"),"Review: duration",IF(S422&lt;&gt;"Coded","Review: coding status",IF(OR(U422="",COUNTIF('Project codes'!$A$7:$A$106,U422)=0),"Review: SOW mapping",IF(COUNTIF('Project codes'!$A$7:$A$106,U422)&gt;1,"Review: duplicate code",IF(_xlfn.XLOOKUP(U422,'Project codes'!$A$7:$A$106,'Project codes'!$F$7:$F$106,"Review",0)="Hold","Review: allocation hold",IF(OR(D422="",COUNTIF('SOW register'!$A$7:$A$36,D422)&lt;&gt;1),"Review: SOW mapping",IF(AND(G422&lt;&gt;"Yes",G422&lt;&gt;"No"),"Review: billability",IF(AB422="","Review: billing evidence","OK"))))))))))))))</x:f>
      </x:c>
      <x:c r="J422" s="24"/>
      <x:c r="K422" s="38"/>
      <x:c r="L422" s="38"/>
      <x:c r="M422" s="38"/>
      <x:c r="N422" s="39"/>
      <x:c r="O422" s="24"/>
      <x:c r="P422" s="24"/>
      <x:c r="Q422" s="38"/>
      <x:c r="R422" s="38"/>
      <x:c r="S422" s="24"/>
      <x:c r="T422" s="24"/>
      <x:c r="U422" s="37" t="str">
        <x:f>IF(OR(J422="",Q422="",R422=""),"",J422&amp;"|"&amp;Q422&amp;"|"&amp;R422)</x:f>
      </x:c>
      <x:c r="V422" s="24"/>
      <x:c r="W422" s="24"/>
      <x:c r="X422" s="40"/>
      <x:c r="Y422" s="40"/>
      <x:c r="Z422" s="39"/>
      <x:c r="AA422" s="39"/>
      <x:c r="AB422" s="24"/>
    </x:row>
    <x:row r="423" ht="23" customHeight="1">
      <x:c r="A423" s="20"/>
      <x:c r="B423" s="5"/>
      <x:c r="C423" s="4"/>
      <x:c r="D423" s="34" t="str">
        <x:f>IF(OR(A423="",U423="",COUNTIF('Project codes'!$A$7:$A$106,U423)&lt;&gt;1),"",_xlfn.XLOOKUP(U423,'Project codes'!$A$7:$A$106,'Project codes'!$I$7:$I$106,"",0))</x:f>
      </x:c>
      <x:c r="E423" s="4"/>
      <x:c r="F423" s="35" t="str">
        <x:f>IF(AND(ISNUMBER(N423),N423&gt;=0,O423="Complete"),N423/3600000,"")</x:f>
      </x:c>
      <x:c r="G423" s="4"/>
      <x:c r="H423" s="4"/>
      <x:c r="I423" s="36" t="str">
        <x:f>IF(COUNTA(A423:C423,E423,G423:H423,J423:T423,V423:AB423)=0,"",IF(A423="","Review: missing entry ID",IF(COUNTIF($A$7:$A$506,A423)&gt;1,"Review: duplicate entry ID",IF(NOT(ISNUMBER(B423)),"Review: work date",IF(OR(C423="",E423="",K423="",M423="",H423=""),"Review: source details",IF(J423&lt;&gt;'Estimate review'!$J$5,"Review: project scope",IF(OR(NOT(ISNUMBER(N423)),N423&lt;0,O423&lt;&gt;"Complete"),"Review: duration",IF(S423&lt;&gt;"Coded","Review: coding status",IF(OR(U423="",COUNTIF('Project codes'!$A$7:$A$106,U423)=0),"Review: SOW mapping",IF(COUNTIF('Project codes'!$A$7:$A$106,U423)&gt;1,"Review: duplicate code",IF(_xlfn.XLOOKUP(U423,'Project codes'!$A$7:$A$106,'Project codes'!$F$7:$F$106,"Review",0)="Hold","Review: allocation hold",IF(OR(D423="",COUNTIF('SOW register'!$A$7:$A$36,D423)&lt;&gt;1),"Review: SOW mapping",IF(AND(G423&lt;&gt;"Yes",G423&lt;&gt;"No"),"Review: billability",IF(AB423="","Review: billing evidence","OK"))))))))))))))</x:f>
      </x:c>
      <x:c r="J423" s="24"/>
      <x:c r="K423" s="38"/>
      <x:c r="L423" s="38"/>
      <x:c r="M423" s="38"/>
      <x:c r="N423" s="39"/>
      <x:c r="O423" s="24"/>
      <x:c r="P423" s="24"/>
      <x:c r="Q423" s="38"/>
      <x:c r="R423" s="38"/>
      <x:c r="S423" s="24"/>
      <x:c r="T423" s="24"/>
      <x:c r="U423" s="37" t="str">
        <x:f>IF(OR(J423="",Q423="",R423=""),"",J423&amp;"|"&amp;Q423&amp;"|"&amp;R423)</x:f>
      </x:c>
      <x:c r="V423" s="24"/>
      <x:c r="W423" s="24"/>
      <x:c r="X423" s="40"/>
      <x:c r="Y423" s="40"/>
      <x:c r="Z423" s="39"/>
      <x:c r="AA423" s="39"/>
      <x:c r="AB423" s="24"/>
    </x:row>
    <x:row r="424" ht="23" customHeight="1">
      <x:c r="A424" s="20"/>
      <x:c r="B424" s="5"/>
      <x:c r="C424" s="4"/>
      <x:c r="D424" s="34" t="str">
        <x:f>IF(OR(A424="",U424="",COUNTIF('Project codes'!$A$7:$A$106,U424)&lt;&gt;1),"",_xlfn.XLOOKUP(U424,'Project codes'!$A$7:$A$106,'Project codes'!$I$7:$I$106,"",0))</x:f>
      </x:c>
      <x:c r="E424" s="4"/>
      <x:c r="F424" s="35" t="str">
        <x:f>IF(AND(ISNUMBER(N424),N424&gt;=0,O424="Complete"),N424/3600000,"")</x:f>
      </x:c>
      <x:c r="G424" s="4"/>
      <x:c r="H424" s="4"/>
      <x:c r="I424" s="36" t="str">
        <x:f>IF(COUNTA(A424:C424,E424,G424:H424,J424:T424,V424:AB424)=0,"",IF(A424="","Review: missing entry ID",IF(COUNTIF($A$7:$A$506,A424)&gt;1,"Review: duplicate entry ID",IF(NOT(ISNUMBER(B424)),"Review: work date",IF(OR(C424="",E424="",K424="",M424="",H424=""),"Review: source details",IF(J424&lt;&gt;'Estimate review'!$J$5,"Review: project scope",IF(OR(NOT(ISNUMBER(N424)),N424&lt;0,O424&lt;&gt;"Complete"),"Review: duration",IF(S424&lt;&gt;"Coded","Review: coding status",IF(OR(U424="",COUNTIF('Project codes'!$A$7:$A$106,U424)=0),"Review: SOW mapping",IF(COUNTIF('Project codes'!$A$7:$A$106,U424)&gt;1,"Review: duplicate code",IF(_xlfn.XLOOKUP(U424,'Project codes'!$A$7:$A$106,'Project codes'!$F$7:$F$106,"Review",0)="Hold","Review: allocation hold",IF(OR(D424="",COUNTIF('SOW register'!$A$7:$A$36,D424)&lt;&gt;1),"Review: SOW mapping",IF(AND(G424&lt;&gt;"Yes",G424&lt;&gt;"No"),"Review: billability",IF(AB424="","Review: billing evidence","OK"))))))))))))))</x:f>
      </x:c>
      <x:c r="J424" s="24"/>
      <x:c r="K424" s="38"/>
      <x:c r="L424" s="38"/>
      <x:c r="M424" s="38"/>
      <x:c r="N424" s="39"/>
      <x:c r="O424" s="24"/>
      <x:c r="P424" s="24"/>
      <x:c r="Q424" s="38"/>
      <x:c r="R424" s="38"/>
      <x:c r="S424" s="24"/>
      <x:c r="T424" s="24"/>
      <x:c r="U424" s="37" t="str">
        <x:f>IF(OR(J424="",Q424="",R424=""),"",J424&amp;"|"&amp;Q424&amp;"|"&amp;R424)</x:f>
      </x:c>
      <x:c r="V424" s="24"/>
      <x:c r="W424" s="24"/>
      <x:c r="X424" s="40"/>
      <x:c r="Y424" s="40"/>
      <x:c r="Z424" s="39"/>
      <x:c r="AA424" s="39"/>
      <x:c r="AB424" s="24"/>
    </x:row>
    <x:row r="425" ht="23" customHeight="1">
      <x:c r="A425" s="20"/>
      <x:c r="B425" s="5"/>
      <x:c r="C425" s="4"/>
      <x:c r="D425" s="34" t="str">
        <x:f>IF(OR(A425="",U425="",COUNTIF('Project codes'!$A$7:$A$106,U425)&lt;&gt;1),"",_xlfn.XLOOKUP(U425,'Project codes'!$A$7:$A$106,'Project codes'!$I$7:$I$106,"",0))</x:f>
      </x:c>
      <x:c r="E425" s="4"/>
      <x:c r="F425" s="35" t="str">
        <x:f>IF(AND(ISNUMBER(N425),N425&gt;=0,O425="Complete"),N425/3600000,"")</x:f>
      </x:c>
      <x:c r="G425" s="4"/>
      <x:c r="H425" s="4"/>
      <x:c r="I425" s="36" t="str">
        <x:f>IF(COUNTA(A425:C425,E425,G425:H425,J425:T425,V425:AB425)=0,"",IF(A425="","Review: missing entry ID",IF(COUNTIF($A$7:$A$506,A425)&gt;1,"Review: duplicate entry ID",IF(NOT(ISNUMBER(B425)),"Review: work date",IF(OR(C425="",E425="",K425="",M425="",H425=""),"Review: source details",IF(J425&lt;&gt;'Estimate review'!$J$5,"Review: project scope",IF(OR(NOT(ISNUMBER(N425)),N425&lt;0,O425&lt;&gt;"Complete"),"Review: duration",IF(S425&lt;&gt;"Coded","Review: coding status",IF(OR(U425="",COUNTIF('Project codes'!$A$7:$A$106,U425)=0),"Review: SOW mapping",IF(COUNTIF('Project codes'!$A$7:$A$106,U425)&gt;1,"Review: duplicate code",IF(_xlfn.XLOOKUP(U425,'Project codes'!$A$7:$A$106,'Project codes'!$F$7:$F$106,"Review",0)="Hold","Review: allocation hold",IF(OR(D425="",COUNTIF('SOW register'!$A$7:$A$36,D425)&lt;&gt;1),"Review: SOW mapping",IF(AND(G425&lt;&gt;"Yes",G425&lt;&gt;"No"),"Review: billability",IF(AB425="","Review: billing evidence","OK"))))))))))))))</x:f>
      </x:c>
      <x:c r="J425" s="24"/>
      <x:c r="K425" s="38"/>
      <x:c r="L425" s="38"/>
      <x:c r="M425" s="38"/>
      <x:c r="N425" s="39"/>
      <x:c r="O425" s="24"/>
      <x:c r="P425" s="24"/>
      <x:c r="Q425" s="38"/>
      <x:c r="R425" s="38"/>
      <x:c r="S425" s="24"/>
      <x:c r="T425" s="24"/>
      <x:c r="U425" s="37" t="str">
        <x:f>IF(OR(J425="",Q425="",R425=""),"",J425&amp;"|"&amp;Q425&amp;"|"&amp;R425)</x:f>
      </x:c>
      <x:c r="V425" s="24"/>
      <x:c r="W425" s="24"/>
      <x:c r="X425" s="40"/>
      <x:c r="Y425" s="40"/>
      <x:c r="Z425" s="39"/>
      <x:c r="AA425" s="39"/>
      <x:c r="AB425" s="24"/>
    </x:row>
    <x:row r="426" ht="23" customHeight="1">
      <x:c r="A426" s="20"/>
      <x:c r="B426" s="5"/>
      <x:c r="C426" s="4"/>
      <x:c r="D426" s="34" t="str">
        <x:f>IF(OR(A426="",U426="",COUNTIF('Project codes'!$A$7:$A$106,U426)&lt;&gt;1),"",_xlfn.XLOOKUP(U426,'Project codes'!$A$7:$A$106,'Project codes'!$I$7:$I$106,"",0))</x:f>
      </x:c>
      <x:c r="E426" s="4"/>
      <x:c r="F426" s="35" t="str">
        <x:f>IF(AND(ISNUMBER(N426),N426&gt;=0,O426="Complete"),N426/3600000,"")</x:f>
      </x:c>
      <x:c r="G426" s="4"/>
      <x:c r="H426" s="4"/>
      <x:c r="I426" s="36" t="str">
        <x:f>IF(COUNTA(A426:C426,E426,G426:H426,J426:T426,V426:AB426)=0,"",IF(A426="","Review: missing entry ID",IF(COUNTIF($A$7:$A$506,A426)&gt;1,"Review: duplicate entry ID",IF(NOT(ISNUMBER(B426)),"Review: work date",IF(OR(C426="",E426="",K426="",M426="",H426=""),"Review: source details",IF(J426&lt;&gt;'Estimate review'!$J$5,"Review: project scope",IF(OR(NOT(ISNUMBER(N426)),N426&lt;0,O426&lt;&gt;"Complete"),"Review: duration",IF(S426&lt;&gt;"Coded","Review: coding status",IF(OR(U426="",COUNTIF('Project codes'!$A$7:$A$106,U426)=0),"Review: SOW mapping",IF(COUNTIF('Project codes'!$A$7:$A$106,U426)&gt;1,"Review: duplicate code",IF(_xlfn.XLOOKUP(U426,'Project codes'!$A$7:$A$106,'Project codes'!$F$7:$F$106,"Review",0)="Hold","Review: allocation hold",IF(OR(D426="",COUNTIF('SOW register'!$A$7:$A$36,D426)&lt;&gt;1),"Review: SOW mapping",IF(AND(G426&lt;&gt;"Yes",G426&lt;&gt;"No"),"Review: billability",IF(AB426="","Review: billing evidence","OK"))))))))))))))</x:f>
      </x:c>
      <x:c r="J426" s="24"/>
      <x:c r="K426" s="38"/>
      <x:c r="L426" s="38"/>
      <x:c r="M426" s="38"/>
      <x:c r="N426" s="39"/>
      <x:c r="O426" s="24"/>
      <x:c r="P426" s="24"/>
      <x:c r="Q426" s="38"/>
      <x:c r="R426" s="38"/>
      <x:c r="S426" s="24"/>
      <x:c r="T426" s="24"/>
      <x:c r="U426" s="37" t="str">
        <x:f>IF(OR(J426="",Q426="",R426=""),"",J426&amp;"|"&amp;Q426&amp;"|"&amp;R426)</x:f>
      </x:c>
      <x:c r="V426" s="24"/>
      <x:c r="W426" s="24"/>
      <x:c r="X426" s="40"/>
      <x:c r="Y426" s="40"/>
      <x:c r="Z426" s="39"/>
      <x:c r="AA426" s="39"/>
      <x:c r="AB426" s="24"/>
    </x:row>
    <x:row r="427" ht="23" customHeight="1">
      <x:c r="A427" s="20"/>
      <x:c r="B427" s="5"/>
      <x:c r="C427" s="4"/>
      <x:c r="D427" s="34" t="str">
        <x:f>IF(OR(A427="",U427="",COUNTIF('Project codes'!$A$7:$A$106,U427)&lt;&gt;1),"",_xlfn.XLOOKUP(U427,'Project codes'!$A$7:$A$106,'Project codes'!$I$7:$I$106,"",0))</x:f>
      </x:c>
      <x:c r="E427" s="4"/>
      <x:c r="F427" s="35" t="str">
        <x:f>IF(AND(ISNUMBER(N427),N427&gt;=0,O427="Complete"),N427/3600000,"")</x:f>
      </x:c>
      <x:c r="G427" s="4"/>
      <x:c r="H427" s="4"/>
      <x:c r="I427" s="36" t="str">
        <x:f>IF(COUNTA(A427:C427,E427,G427:H427,J427:T427,V427:AB427)=0,"",IF(A427="","Review: missing entry ID",IF(COUNTIF($A$7:$A$506,A427)&gt;1,"Review: duplicate entry ID",IF(NOT(ISNUMBER(B427)),"Review: work date",IF(OR(C427="",E427="",K427="",M427="",H427=""),"Review: source details",IF(J427&lt;&gt;'Estimate review'!$J$5,"Review: project scope",IF(OR(NOT(ISNUMBER(N427)),N427&lt;0,O427&lt;&gt;"Complete"),"Review: duration",IF(S427&lt;&gt;"Coded","Review: coding status",IF(OR(U427="",COUNTIF('Project codes'!$A$7:$A$106,U427)=0),"Review: SOW mapping",IF(COUNTIF('Project codes'!$A$7:$A$106,U427)&gt;1,"Review: duplicate code",IF(_xlfn.XLOOKUP(U427,'Project codes'!$A$7:$A$106,'Project codes'!$F$7:$F$106,"Review",0)="Hold","Review: allocation hold",IF(OR(D427="",COUNTIF('SOW register'!$A$7:$A$36,D427)&lt;&gt;1),"Review: SOW mapping",IF(AND(G427&lt;&gt;"Yes",G427&lt;&gt;"No"),"Review: billability",IF(AB427="","Review: billing evidence","OK"))))))))))))))</x:f>
      </x:c>
      <x:c r="J427" s="24"/>
      <x:c r="K427" s="38"/>
      <x:c r="L427" s="38"/>
      <x:c r="M427" s="38"/>
      <x:c r="N427" s="39"/>
      <x:c r="O427" s="24"/>
      <x:c r="P427" s="24"/>
      <x:c r="Q427" s="38"/>
      <x:c r="R427" s="38"/>
      <x:c r="S427" s="24"/>
      <x:c r="T427" s="24"/>
      <x:c r="U427" s="37" t="str">
        <x:f>IF(OR(J427="",Q427="",R427=""),"",J427&amp;"|"&amp;Q427&amp;"|"&amp;R427)</x:f>
      </x:c>
      <x:c r="V427" s="24"/>
      <x:c r="W427" s="24"/>
      <x:c r="X427" s="40"/>
      <x:c r="Y427" s="40"/>
      <x:c r="Z427" s="39"/>
      <x:c r="AA427" s="39"/>
      <x:c r="AB427" s="24"/>
    </x:row>
    <x:row r="428" ht="23" customHeight="1">
      <x:c r="A428" s="20"/>
      <x:c r="B428" s="5"/>
      <x:c r="C428" s="4"/>
      <x:c r="D428" s="34" t="str">
        <x:f>IF(OR(A428="",U428="",COUNTIF('Project codes'!$A$7:$A$106,U428)&lt;&gt;1),"",_xlfn.XLOOKUP(U428,'Project codes'!$A$7:$A$106,'Project codes'!$I$7:$I$106,"",0))</x:f>
      </x:c>
      <x:c r="E428" s="4"/>
      <x:c r="F428" s="35" t="str">
        <x:f>IF(AND(ISNUMBER(N428),N428&gt;=0,O428="Complete"),N428/3600000,"")</x:f>
      </x:c>
      <x:c r="G428" s="4"/>
      <x:c r="H428" s="4"/>
      <x:c r="I428" s="36" t="str">
        <x:f>IF(COUNTA(A428:C428,E428,G428:H428,J428:T428,V428:AB428)=0,"",IF(A428="","Review: missing entry ID",IF(COUNTIF($A$7:$A$506,A428)&gt;1,"Review: duplicate entry ID",IF(NOT(ISNUMBER(B428)),"Review: work date",IF(OR(C428="",E428="",K428="",M428="",H428=""),"Review: source details",IF(J428&lt;&gt;'Estimate review'!$J$5,"Review: project scope",IF(OR(NOT(ISNUMBER(N428)),N428&lt;0,O428&lt;&gt;"Complete"),"Review: duration",IF(S428&lt;&gt;"Coded","Review: coding status",IF(OR(U428="",COUNTIF('Project codes'!$A$7:$A$106,U428)=0),"Review: SOW mapping",IF(COUNTIF('Project codes'!$A$7:$A$106,U428)&gt;1,"Review: duplicate code",IF(_xlfn.XLOOKUP(U428,'Project codes'!$A$7:$A$106,'Project codes'!$F$7:$F$106,"Review",0)="Hold","Review: allocation hold",IF(OR(D428="",COUNTIF('SOW register'!$A$7:$A$36,D428)&lt;&gt;1),"Review: SOW mapping",IF(AND(G428&lt;&gt;"Yes",G428&lt;&gt;"No"),"Review: billability",IF(AB428="","Review: billing evidence","OK"))))))))))))))</x:f>
      </x:c>
      <x:c r="J428" s="24"/>
      <x:c r="K428" s="38"/>
      <x:c r="L428" s="38"/>
      <x:c r="M428" s="38"/>
      <x:c r="N428" s="39"/>
      <x:c r="O428" s="24"/>
      <x:c r="P428" s="24"/>
      <x:c r="Q428" s="38"/>
      <x:c r="R428" s="38"/>
      <x:c r="S428" s="24"/>
      <x:c r="T428" s="24"/>
      <x:c r="U428" s="37" t="str">
        <x:f>IF(OR(J428="",Q428="",R428=""),"",J428&amp;"|"&amp;Q428&amp;"|"&amp;R428)</x:f>
      </x:c>
      <x:c r="V428" s="24"/>
      <x:c r="W428" s="24"/>
      <x:c r="X428" s="40"/>
      <x:c r="Y428" s="40"/>
      <x:c r="Z428" s="39"/>
      <x:c r="AA428" s="39"/>
      <x:c r="AB428" s="24"/>
    </x:row>
    <x:row r="429" ht="23" customHeight="1">
      <x:c r="A429" s="20"/>
      <x:c r="B429" s="5"/>
      <x:c r="C429" s="4"/>
      <x:c r="D429" s="34" t="str">
        <x:f>IF(OR(A429="",U429="",COUNTIF('Project codes'!$A$7:$A$106,U429)&lt;&gt;1),"",_xlfn.XLOOKUP(U429,'Project codes'!$A$7:$A$106,'Project codes'!$I$7:$I$106,"",0))</x:f>
      </x:c>
      <x:c r="E429" s="4"/>
      <x:c r="F429" s="35" t="str">
        <x:f>IF(AND(ISNUMBER(N429),N429&gt;=0,O429="Complete"),N429/3600000,"")</x:f>
      </x:c>
      <x:c r="G429" s="4"/>
      <x:c r="H429" s="4"/>
      <x:c r="I429" s="36" t="str">
        <x:f>IF(COUNTA(A429:C429,E429,G429:H429,J429:T429,V429:AB429)=0,"",IF(A429="","Review: missing entry ID",IF(COUNTIF($A$7:$A$506,A429)&gt;1,"Review: duplicate entry ID",IF(NOT(ISNUMBER(B429)),"Review: work date",IF(OR(C429="",E429="",K429="",M429="",H429=""),"Review: source details",IF(J429&lt;&gt;'Estimate review'!$J$5,"Review: project scope",IF(OR(NOT(ISNUMBER(N429)),N429&lt;0,O429&lt;&gt;"Complete"),"Review: duration",IF(S429&lt;&gt;"Coded","Review: coding status",IF(OR(U429="",COUNTIF('Project codes'!$A$7:$A$106,U429)=0),"Review: SOW mapping",IF(COUNTIF('Project codes'!$A$7:$A$106,U429)&gt;1,"Review: duplicate code",IF(_xlfn.XLOOKUP(U429,'Project codes'!$A$7:$A$106,'Project codes'!$F$7:$F$106,"Review",0)="Hold","Review: allocation hold",IF(OR(D429="",COUNTIF('SOW register'!$A$7:$A$36,D429)&lt;&gt;1),"Review: SOW mapping",IF(AND(G429&lt;&gt;"Yes",G429&lt;&gt;"No"),"Review: billability",IF(AB429="","Review: billing evidence","OK"))))))))))))))</x:f>
      </x:c>
      <x:c r="J429" s="24"/>
      <x:c r="K429" s="38"/>
      <x:c r="L429" s="38"/>
      <x:c r="M429" s="38"/>
      <x:c r="N429" s="39"/>
      <x:c r="O429" s="24"/>
      <x:c r="P429" s="24"/>
      <x:c r="Q429" s="38"/>
      <x:c r="R429" s="38"/>
      <x:c r="S429" s="24"/>
      <x:c r="T429" s="24"/>
      <x:c r="U429" s="37" t="str">
        <x:f>IF(OR(J429="",Q429="",R429=""),"",J429&amp;"|"&amp;Q429&amp;"|"&amp;R429)</x:f>
      </x:c>
      <x:c r="V429" s="24"/>
      <x:c r="W429" s="24"/>
      <x:c r="X429" s="40"/>
      <x:c r="Y429" s="40"/>
      <x:c r="Z429" s="39"/>
      <x:c r="AA429" s="39"/>
      <x:c r="AB429" s="24"/>
    </x:row>
    <x:row r="430" ht="23" customHeight="1">
      <x:c r="A430" s="20"/>
      <x:c r="B430" s="5"/>
      <x:c r="C430" s="4"/>
      <x:c r="D430" s="34" t="str">
        <x:f>IF(OR(A430="",U430="",COUNTIF('Project codes'!$A$7:$A$106,U430)&lt;&gt;1),"",_xlfn.XLOOKUP(U430,'Project codes'!$A$7:$A$106,'Project codes'!$I$7:$I$106,"",0))</x:f>
      </x:c>
      <x:c r="E430" s="4"/>
      <x:c r="F430" s="35" t="str">
        <x:f>IF(AND(ISNUMBER(N430),N430&gt;=0,O430="Complete"),N430/3600000,"")</x:f>
      </x:c>
      <x:c r="G430" s="4"/>
      <x:c r="H430" s="4"/>
      <x:c r="I430" s="36" t="str">
        <x:f>IF(COUNTA(A430:C430,E430,G430:H430,J430:T430,V430:AB430)=0,"",IF(A430="","Review: missing entry ID",IF(COUNTIF($A$7:$A$506,A430)&gt;1,"Review: duplicate entry ID",IF(NOT(ISNUMBER(B430)),"Review: work date",IF(OR(C430="",E430="",K430="",M430="",H430=""),"Review: source details",IF(J430&lt;&gt;'Estimate review'!$J$5,"Review: project scope",IF(OR(NOT(ISNUMBER(N430)),N430&lt;0,O430&lt;&gt;"Complete"),"Review: duration",IF(S430&lt;&gt;"Coded","Review: coding status",IF(OR(U430="",COUNTIF('Project codes'!$A$7:$A$106,U430)=0),"Review: SOW mapping",IF(COUNTIF('Project codes'!$A$7:$A$106,U430)&gt;1,"Review: duplicate code",IF(_xlfn.XLOOKUP(U430,'Project codes'!$A$7:$A$106,'Project codes'!$F$7:$F$106,"Review",0)="Hold","Review: allocation hold",IF(OR(D430="",COUNTIF('SOW register'!$A$7:$A$36,D430)&lt;&gt;1),"Review: SOW mapping",IF(AND(G430&lt;&gt;"Yes",G430&lt;&gt;"No"),"Review: billability",IF(AB430="","Review: billing evidence","OK"))))))))))))))</x:f>
      </x:c>
      <x:c r="J430" s="24"/>
      <x:c r="K430" s="38"/>
      <x:c r="L430" s="38"/>
      <x:c r="M430" s="38"/>
      <x:c r="N430" s="39"/>
      <x:c r="O430" s="24"/>
      <x:c r="P430" s="24"/>
      <x:c r="Q430" s="38"/>
      <x:c r="R430" s="38"/>
      <x:c r="S430" s="24"/>
      <x:c r="T430" s="24"/>
      <x:c r="U430" s="37" t="str">
        <x:f>IF(OR(J430="",Q430="",R430=""),"",J430&amp;"|"&amp;Q430&amp;"|"&amp;R430)</x:f>
      </x:c>
      <x:c r="V430" s="24"/>
      <x:c r="W430" s="24"/>
      <x:c r="X430" s="40"/>
      <x:c r="Y430" s="40"/>
      <x:c r="Z430" s="39"/>
      <x:c r="AA430" s="39"/>
      <x:c r="AB430" s="24"/>
    </x:row>
    <x:row r="431" ht="23" customHeight="1">
      <x:c r="A431" s="20"/>
      <x:c r="B431" s="5"/>
      <x:c r="C431" s="4"/>
      <x:c r="D431" s="34" t="str">
        <x:f>IF(OR(A431="",U431="",COUNTIF('Project codes'!$A$7:$A$106,U431)&lt;&gt;1),"",_xlfn.XLOOKUP(U431,'Project codes'!$A$7:$A$106,'Project codes'!$I$7:$I$106,"",0))</x:f>
      </x:c>
      <x:c r="E431" s="4"/>
      <x:c r="F431" s="35" t="str">
        <x:f>IF(AND(ISNUMBER(N431),N431&gt;=0,O431="Complete"),N431/3600000,"")</x:f>
      </x:c>
      <x:c r="G431" s="4"/>
      <x:c r="H431" s="4"/>
      <x:c r="I431" s="36" t="str">
        <x:f>IF(COUNTA(A431:C431,E431,G431:H431,J431:T431,V431:AB431)=0,"",IF(A431="","Review: missing entry ID",IF(COUNTIF($A$7:$A$506,A431)&gt;1,"Review: duplicate entry ID",IF(NOT(ISNUMBER(B431)),"Review: work date",IF(OR(C431="",E431="",K431="",M431="",H431=""),"Review: source details",IF(J431&lt;&gt;'Estimate review'!$J$5,"Review: project scope",IF(OR(NOT(ISNUMBER(N431)),N431&lt;0,O431&lt;&gt;"Complete"),"Review: duration",IF(S431&lt;&gt;"Coded","Review: coding status",IF(OR(U431="",COUNTIF('Project codes'!$A$7:$A$106,U431)=0),"Review: SOW mapping",IF(COUNTIF('Project codes'!$A$7:$A$106,U431)&gt;1,"Review: duplicate code",IF(_xlfn.XLOOKUP(U431,'Project codes'!$A$7:$A$106,'Project codes'!$F$7:$F$106,"Review",0)="Hold","Review: allocation hold",IF(OR(D431="",COUNTIF('SOW register'!$A$7:$A$36,D431)&lt;&gt;1),"Review: SOW mapping",IF(AND(G431&lt;&gt;"Yes",G431&lt;&gt;"No"),"Review: billability",IF(AB431="","Review: billing evidence","OK"))))))))))))))</x:f>
      </x:c>
      <x:c r="J431" s="24"/>
      <x:c r="K431" s="38"/>
      <x:c r="L431" s="38"/>
      <x:c r="M431" s="38"/>
      <x:c r="N431" s="39"/>
      <x:c r="O431" s="24"/>
      <x:c r="P431" s="24"/>
      <x:c r="Q431" s="38"/>
      <x:c r="R431" s="38"/>
      <x:c r="S431" s="24"/>
      <x:c r="T431" s="24"/>
      <x:c r="U431" s="37" t="str">
        <x:f>IF(OR(J431="",Q431="",R431=""),"",J431&amp;"|"&amp;Q431&amp;"|"&amp;R431)</x:f>
      </x:c>
      <x:c r="V431" s="24"/>
      <x:c r="W431" s="24"/>
      <x:c r="X431" s="40"/>
      <x:c r="Y431" s="40"/>
      <x:c r="Z431" s="39"/>
      <x:c r="AA431" s="39"/>
      <x:c r="AB431" s="24"/>
    </x:row>
    <x:row r="432" ht="23" customHeight="1">
      <x:c r="A432" s="20"/>
      <x:c r="B432" s="5"/>
      <x:c r="C432" s="4"/>
      <x:c r="D432" s="34" t="str">
        <x:f>IF(OR(A432="",U432="",COUNTIF('Project codes'!$A$7:$A$106,U432)&lt;&gt;1),"",_xlfn.XLOOKUP(U432,'Project codes'!$A$7:$A$106,'Project codes'!$I$7:$I$106,"",0))</x:f>
      </x:c>
      <x:c r="E432" s="4"/>
      <x:c r="F432" s="35" t="str">
        <x:f>IF(AND(ISNUMBER(N432),N432&gt;=0,O432="Complete"),N432/3600000,"")</x:f>
      </x:c>
      <x:c r="G432" s="4"/>
      <x:c r="H432" s="4"/>
      <x:c r="I432" s="36" t="str">
        <x:f>IF(COUNTA(A432:C432,E432,G432:H432,J432:T432,V432:AB432)=0,"",IF(A432="","Review: missing entry ID",IF(COUNTIF($A$7:$A$506,A432)&gt;1,"Review: duplicate entry ID",IF(NOT(ISNUMBER(B432)),"Review: work date",IF(OR(C432="",E432="",K432="",M432="",H432=""),"Review: source details",IF(J432&lt;&gt;'Estimate review'!$J$5,"Review: project scope",IF(OR(NOT(ISNUMBER(N432)),N432&lt;0,O432&lt;&gt;"Complete"),"Review: duration",IF(S432&lt;&gt;"Coded","Review: coding status",IF(OR(U432="",COUNTIF('Project codes'!$A$7:$A$106,U432)=0),"Review: SOW mapping",IF(COUNTIF('Project codes'!$A$7:$A$106,U432)&gt;1,"Review: duplicate code",IF(_xlfn.XLOOKUP(U432,'Project codes'!$A$7:$A$106,'Project codes'!$F$7:$F$106,"Review",0)="Hold","Review: allocation hold",IF(OR(D432="",COUNTIF('SOW register'!$A$7:$A$36,D432)&lt;&gt;1),"Review: SOW mapping",IF(AND(G432&lt;&gt;"Yes",G432&lt;&gt;"No"),"Review: billability",IF(AB432="","Review: billing evidence","OK"))))))))))))))</x:f>
      </x:c>
      <x:c r="J432" s="24"/>
      <x:c r="K432" s="38"/>
      <x:c r="L432" s="38"/>
      <x:c r="M432" s="38"/>
      <x:c r="N432" s="39"/>
      <x:c r="O432" s="24"/>
      <x:c r="P432" s="24"/>
      <x:c r="Q432" s="38"/>
      <x:c r="R432" s="38"/>
      <x:c r="S432" s="24"/>
      <x:c r="T432" s="24"/>
      <x:c r="U432" s="37" t="str">
        <x:f>IF(OR(J432="",Q432="",R432=""),"",J432&amp;"|"&amp;Q432&amp;"|"&amp;R432)</x:f>
      </x:c>
      <x:c r="V432" s="24"/>
      <x:c r="W432" s="24"/>
      <x:c r="X432" s="40"/>
      <x:c r="Y432" s="40"/>
      <x:c r="Z432" s="39"/>
      <x:c r="AA432" s="39"/>
      <x:c r="AB432" s="24"/>
    </x:row>
    <x:row r="433" ht="23" customHeight="1">
      <x:c r="A433" s="20"/>
      <x:c r="B433" s="5"/>
      <x:c r="C433" s="4"/>
      <x:c r="D433" s="34" t="str">
        <x:f>IF(OR(A433="",U433="",COUNTIF('Project codes'!$A$7:$A$106,U433)&lt;&gt;1),"",_xlfn.XLOOKUP(U433,'Project codes'!$A$7:$A$106,'Project codes'!$I$7:$I$106,"",0))</x:f>
      </x:c>
      <x:c r="E433" s="4"/>
      <x:c r="F433" s="35" t="str">
        <x:f>IF(AND(ISNUMBER(N433),N433&gt;=0,O433="Complete"),N433/3600000,"")</x:f>
      </x:c>
      <x:c r="G433" s="4"/>
      <x:c r="H433" s="4"/>
      <x:c r="I433" s="36" t="str">
        <x:f>IF(COUNTA(A433:C433,E433,G433:H433,J433:T433,V433:AB433)=0,"",IF(A433="","Review: missing entry ID",IF(COUNTIF($A$7:$A$506,A433)&gt;1,"Review: duplicate entry ID",IF(NOT(ISNUMBER(B433)),"Review: work date",IF(OR(C433="",E433="",K433="",M433="",H433=""),"Review: source details",IF(J433&lt;&gt;'Estimate review'!$J$5,"Review: project scope",IF(OR(NOT(ISNUMBER(N433)),N433&lt;0,O433&lt;&gt;"Complete"),"Review: duration",IF(S433&lt;&gt;"Coded","Review: coding status",IF(OR(U433="",COUNTIF('Project codes'!$A$7:$A$106,U433)=0),"Review: SOW mapping",IF(COUNTIF('Project codes'!$A$7:$A$106,U433)&gt;1,"Review: duplicate code",IF(_xlfn.XLOOKUP(U433,'Project codes'!$A$7:$A$106,'Project codes'!$F$7:$F$106,"Review",0)="Hold","Review: allocation hold",IF(OR(D433="",COUNTIF('SOW register'!$A$7:$A$36,D433)&lt;&gt;1),"Review: SOW mapping",IF(AND(G433&lt;&gt;"Yes",G433&lt;&gt;"No"),"Review: billability",IF(AB433="","Review: billing evidence","OK"))))))))))))))</x:f>
      </x:c>
      <x:c r="J433" s="24"/>
      <x:c r="K433" s="38"/>
      <x:c r="L433" s="38"/>
      <x:c r="M433" s="38"/>
      <x:c r="N433" s="39"/>
      <x:c r="O433" s="24"/>
      <x:c r="P433" s="24"/>
      <x:c r="Q433" s="38"/>
      <x:c r="R433" s="38"/>
      <x:c r="S433" s="24"/>
      <x:c r="T433" s="24"/>
      <x:c r="U433" s="37" t="str">
        <x:f>IF(OR(J433="",Q433="",R433=""),"",J433&amp;"|"&amp;Q433&amp;"|"&amp;R433)</x:f>
      </x:c>
      <x:c r="V433" s="24"/>
      <x:c r="W433" s="24"/>
      <x:c r="X433" s="40"/>
      <x:c r="Y433" s="40"/>
      <x:c r="Z433" s="39"/>
      <x:c r="AA433" s="39"/>
      <x:c r="AB433" s="24"/>
    </x:row>
    <x:row r="434" ht="23" customHeight="1">
      <x:c r="A434" s="20"/>
      <x:c r="B434" s="5"/>
      <x:c r="C434" s="4"/>
      <x:c r="D434" s="34" t="str">
        <x:f>IF(OR(A434="",U434="",COUNTIF('Project codes'!$A$7:$A$106,U434)&lt;&gt;1),"",_xlfn.XLOOKUP(U434,'Project codes'!$A$7:$A$106,'Project codes'!$I$7:$I$106,"",0))</x:f>
      </x:c>
      <x:c r="E434" s="4"/>
      <x:c r="F434" s="35" t="str">
        <x:f>IF(AND(ISNUMBER(N434),N434&gt;=0,O434="Complete"),N434/3600000,"")</x:f>
      </x:c>
      <x:c r="G434" s="4"/>
      <x:c r="H434" s="4"/>
      <x:c r="I434" s="36" t="str">
        <x:f>IF(COUNTA(A434:C434,E434,G434:H434,J434:T434,V434:AB434)=0,"",IF(A434="","Review: missing entry ID",IF(COUNTIF($A$7:$A$506,A434)&gt;1,"Review: duplicate entry ID",IF(NOT(ISNUMBER(B434)),"Review: work date",IF(OR(C434="",E434="",K434="",M434="",H434=""),"Review: source details",IF(J434&lt;&gt;'Estimate review'!$J$5,"Review: project scope",IF(OR(NOT(ISNUMBER(N434)),N434&lt;0,O434&lt;&gt;"Complete"),"Review: duration",IF(S434&lt;&gt;"Coded","Review: coding status",IF(OR(U434="",COUNTIF('Project codes'!$A$7:$A$106,U434)=0),"Review: SOW mapping",IF(COUNTIF('Project codes'!$A$7:$A$106,U434)&gt;1,"Review: duplicate code",IF(_xlfn.XLOOKUP(U434,'Project codes'!$A$7:$A$106,'Project codes'!$F$7:$F$106,"Review",0)="Hold","Review: allocation hold",IF(OR(D434="",COUNTIF('SOW register'!$A$7:$A$36,D434)&lt;&gt;1),"Review: SOW mapping",IF(AND(G434&lt;&gt;"Yes",G434&lt;&gt;"No"),"Review: billability",IF(AB434="","Review: billing evidence","OK"))))))))))))))</x:f>
      </x:c>
      <x:c r="J434" s="24"/>
      <x:c r="K434" s="38"/>
      <x:c r="L434" s="38"/>
      <x:c r="M434" s="38"/>
      <x:c r="N434" s="39"/>
      <x:c r="O434" s="24"/>
      <x:c r="P434" s="24"/>
      <x:c r="Q434" s="38"/>
      <x:c r="R434" s="38"/>
      <x:c r="S434" s="24"/>
      <x:c r="T434" s="24"/>
      <x:c r="U434" s="37" t="str">
        <x:f>IF(OR(J434="",Q434="",R434=""),"",J434&amp;"|"&amp;Q434&amp;"|"&amp;R434)</x:f>
      </x:c>
      <x:c r="V434" s="24"/>
      <x:c r="W434" s="24"/>
      <x:c r="X434" s="40"/>
      <x:c r="Y434" s="40"/>
      <x:c r="Z434" s="39"/>
      <x:c r="AA434" s="39"/>
      <x:c r="AB434" s="24"/>
    </x:row>
    <x:row r="435" ht="23" customHeight="1">
      <x:c r="A435" s="20"/>
      <x:c r="B435" s="5"/>
      <x:c r="C435" s="4"/>
      <x:c r="D435" s="34" t="str">
        <x:f>IF(OR(A435="",U435="",COUNTIF('Project codes'!$A$7:$A$106,U435)&lt;&gt;1),"",_xlfn.XLOOKUP(U435,'Project codes'!$A$7:$A$106,'Project codes'!$I$7:$I$106,"",0))</x:f>
      </x:c>
      <x:c r="E435" s="4"/>
      <x:c r="F435" s="35" t="str">
        <x:f>IF(AND(ISNUMBER(N435),N435&gt;=0,O435="Complete"),N435/3600000,"")</x:f>
      </x:c>
      <x:c r="G435" s="4"/>
      <x:c r="H435" s="4"/>
      <x:c r="I435" s="36" t="str">
        <x:f>IF(COUNTA(A435:C435,E435,G435:H435,J435:T435,V435:AB435)=0,"",IF(A435="","Review: missing entry ID",IF(COUNTIF($A$7:$A$506,A435)&gt;1,"Review: duplicate entry ID",IF(NOT(ISNUMBER(B435)),"Review: work date",IF(OR(C435="",E435="",K435="",M435="",H435=""),"Review: source details",IF(J435&lt;&gt;'Estimate review'!$J$5,"Review: project scope",IF(OR(NOT(ISNUMBER(N435)),N435&lt;0,O435&lt;&gt;"Complete"),"Review: duration",IF(S435&lt;&gt;"Coded","Review: coding status",IF(OR(U435="",COUNTIF('Project codes'!$A$7:$A$106,U435)=0),"Review: SOW mapping",IF(COUNTIF('Project codes'!$A$7:$A$106,U435)&gt;1,"Review: duplicate code",IF(_xlfn.XLOOKUP(U435,'Project codes'!$A$7:$A$106,'Project codes'!$F$7:$F$106,"Review",0)="Hold","Review: allocation hold",IF(OR(D435="",COUNTIF('SOW register'!$A$7:$A$36,D435)&lt;&gt;1),"Review: SOW mapping",IF(AND(G435&lt;&gt;"Yes",G435&lt;&gt;"No"),"Review: billability",IF(AB435="","Review: billing evidence","OK"))))))))))))))</x:f>
      </x:c>
      <x:c r="J435" s="24"/>
      <x:c r="K435" s="38"/>
      <x:c r="L435" s="38"/>
      <x:c r="M435" s="38"/>
      <x:c r="N435" s="39"/>
      <x:c r="O435" s="24"/>
      <x:c r="P435" s="24"/>
      <x:c r="Q435" s="38"/>
      <x:c r="R435" s="38"/>
      <x:c r="S435" s="24"/>
      <x:c r="T435" s="24"/>
      <x:c r="U435" s="37" t="str">
        <x:f>IF(OR(J435="",Q435="",R435=""),"",J435&amp;"|"&amp;Q435&amp;"|"&amp;R435)</x:f>
      </x:c>
      <x:c r="V435" s="24"/>
      <x:c r="W435" s="24"/>
      <x:c r="X435" s="40"/>
      <x:c r="Y435" s="40"/>
      <x:c r="Z435" s="39"/>
      <x:c r="AA435" s="39"/>
      <x:c r="AB435" s="24"/>
    </x:row>
    <x:row r="436" ht="23" customHeight="1">
      <x:c r="A436" s="20"/>
      <x:c r="B436" s="5"/>
      <x:c r="C436" s="4"/>
      <x:c r="D436" s="34" t="str">
        <x:f>IF(OR(A436="",U436="",COUNTIF('Project codes'!$A$7:$A$106,U436)&lt;&gt;1),"",_xlfn.XLOOKUP(U436,'Project codes'!$A$7:$A$106,'Project codes'!$I$7:$I$106,"",0))</x:f>
      </x:c>
      <x:c r="E436" s="4"/>
      <x:c r="F436" s="35" t="str">
        <x:f>IF(AND(ISNUMBER(N436),N436&gt;=0,O436="Complete"),N436/3600000,"")</x:f>
      </x:c>
      <x:c r="G436" s="4"/>
      <x:c r="H436" s="4"/>
      <x:c r="I436" s="36" t="str">
        <x:f>IF(COUNTA(A436:C436,E436,G436:H436,J436:T436,V436:AB436)=0,"",IF(A436="","Review: missing entry ID",IF(COUNTIF($A$7:$A$506,A436)&gt;1,"Review: duplicate entry ID",IF(NOT(ISNUMBER(B436)),"Review: work date",IF(OR(C436="",E436="",K436="",M436="",H436=""),"Review: source details",IF(J436&lt;&gt;'Estimate review'!$J$5,"Review: project scope",IF(OR(NOT(ISNUMBER(N436)),N436&lt;0,O436&lt;&gt;"Complete"),"Review: duration",IF(S436&lt;&gt;"Coded","Review: coding status",IF(OR(U436="",COUNTIF('Project codes'!$A$7:$A$106,U436)=0),"Review: SOW mapping",IF(COUNTIF('Project codes'!$A$7:$A$106,U436)&gt;1,"Review: duplicate code",IF(_xlfn.XLOOKUP(U436,'Project codes'!$A$7:$A$106,'Project codes'!$F$7:$F$106,"Review",0)="Hold","Review: allocation hold",IF(OR(D436="",COUNTIF('SOW register'!$A$7:$A$36,D436)&lt;&gt;1),"Review: SOW mapping",IF(AND(G436&lt;&gt;"Yes",G436&lt;&gt;"No"),"Review: billability",IF(AB436="","Review: billing evidence","OK"))))))))))))))</x:f>
      </x:c>
      <x:c r="J436" s="24"/>
      <x:c r="K436" s="38"/>
      <x:c r="L436" s="38"/>
      <x:c r="M436" s="38"/>
      <x:c r="N436" s="39"/>
      <x:c r="O436" s="24"/>
      <x:c r="P436" s="24"/>
      <x:c r="Q436" s="38"/>
      <x:c r="R436" s="38"/>
      <x:c r="S436" s="24"/>
      <x:c r="T436" s="24"/>
      <x:c r="U436" s="37" t="str">
        <x:f>IF(OR(J436="",Q436="",R436=""),"",J436&amp;"|"&amp;Q436&amp;"|"&amp;R436)</x:f>
      </x:c>
      <x:c r="V436" s="24"/>
      <x:c r="W436" s="24"/>
      <x:c r="X436" s="40"/>
      <x:c r="Y436" s="40"/>
      <x:c r="Z436" s="39"/>
      <x:c r="AA436" s="39"/>
      <x:c r="AB436" s="24"/>
    </x:row>
    <x:row r="437" ht="23" customHeight="1">
      <x:c r="A437" s="20"/>
      <x:c r="B437" s="5"/>
      <x:c r="C437" s="4"/>
      <x:c r="D437" s="34" t="str">
        <x:f>IF(OR(A437="",U437="",COUNTIF('Project codes'!$A$7:$A$106,U437)&lt;&gt;1),"",_xlfn.XLOOKUP(U437,'Project codes'!$A$7:$A$106,'Project codes'!$I$7:$I$106,"",0))</x:f>
      </x:c>
      <x:c r="E437" s="4"/>
      <x:c r="F437" s="35" t="str">
        <x:f>IF(AND(ISNUMBER(N437),N437&gt;=0,O437="Complete"),N437/3600000,"")</x:f>
      </x:c>
      <x:c r="G437" s="4"/>
      <x:c r="H437" s="4"/>
      <x:c r="I437" s="36" t="str">
        <x:f>IF(COUNTA(A437:C437,E437,G437:H437,J437:T437,V437:AB437)=0,"",IF(A437="","Review: missing entry ID",IF(COUNTIF($A$7:$A$506,A437)&gt;1,"Review: duplicate entry ID",IF(NOT(ISNUMBER(B437)),"Review: work date",IF(OR(C437="",E437="",K437="",M437="",H437=""),"Review: source details",IF(J437&lt;&gt;'Estimate review'!$J$5,"Review: project scope",IF(OR(NOT(ISNUMBER(N437)),N437&lt;0,O437&lt;&gt;"Complete"),"Review: duration",IF(S437&lt;&gt;"Coded","Review: coding status",IF(OR(U437="",COUNTIF('Project codes'!$A$7:$A$106,U437)=0),"Review: SOW mapping",IF(COUNTIF('Project codes'!$A$7:$A$106,U437)&gt;1,"Review: duplicate code",IF(_xlfn.XLOOKUP(U437,'Project codes'!$A$7:$A$106,'Project codes'!$F$7:$F$106,"Review",0)="Hold","Review: allocation hold",IF(OR(D437="",COUNTIF('SOW register'!$A$7:$A$36,D437)&lt;&gt;1),"Review: SOW mapping",IF(AND(G437&lt;&gt;"Yes",G437&lt;&gt;"No"),"Review: billability",IF(AB437="","Review: billing evidence","OK"))))))))))))))</x:f>
      </x:c>
      <x:c r="J437" s="24"/>
      <x:c r="K437" s="38"/>
      <x:c r="L437" s="38"/>
      <x:c r="M437" s="38"/>
      <x:c r="N437" s="39"/>
      <x:c r="O437" s="24"/>
      <x:c r="P437" s="24"/>
      <x:c r="Q437" s="38"/>
      <x:c r="R437" s="38"/>
      <x:c r="S437" s="24"/>
      <x:c r="T437" s="24"/>
      <x:c r="U437" s="37" t="str">
        <x:f>IF(OR(J437="",Q437="",R437=""),"",J437&amp;"|"&amp;Q437&amp;"|"&amp;R437)</x:f>
      </x:c>
      <x:c r="V437" s="24"/>
      <x:c r="W437" s="24"/>
      <x:c r="X437" s="40"/>
      <x:c r="Y437" s="40"/>
      <x:c r="Z437" s="39"/>
      <x:c r="AA437" s="39"/>
      <x:c r="AB437" s="24"/>
    </x:row>
    <x:row r="438" ht="23" customHeight="1">
      <x:c r="A438" s="20"/>
      <x:c r="B438" s="5"/>
      <x:c r="C438" s="4"/>
      <x:c r="D438" s="34" t="str">
        <x:f>IF(OR(A438="",U438="",COUNTIF('Project codes'!$A$7:$A$106,U438)&lt;&gt;1),"",_xlfn.XLOOKUP(U438,'Project codes'!$A$7:$A$106,'Project codes'!$I$7:$I$106,"",0))</x:f>
      </x:c>
      <x:c r="E438" s="4"/>
      <x:c r="F438" s="35" t="str">
        <x:f>IF(AND(ISNUMBER(N438),N438&gt;=0,O438="Complete"),N438/3600000,"")</x:f>
      </x:c>
      <x:c r="G438" s="4"/>
      <x:c r="H438" s="4"/>
      <x:c r="I438" s="36" t="str">
        <x:f>IF(COUNTA(A438:C438,E438,G438:H438,J438:T438,V438:AB438)=0,"",IF(A438="","Review: missing entry ID",IF(COUNTIF($A$7:$A$506,A438)&gt;1,"Review: duplicate entry ID",IF(NOT(ISNUMBER(B438)),"Review: work date",IF(OR(C438="",E438="",K438="",M438="",H438=""),"Review: source details",IF(J438&lt;&gt;'Estimate review'!$J$5,"Review: project scope",IF(OR(NOT(ISNUMBER(N438)),N438&lt;0,O438&lt;&gt;"Complete"),"Review: duration",IF(S438&lt;&gt;"Coded","Review: coding status",IF(OR(U438="",COUNTIF('Project codes'!$A$7:$A$106,U438)=0),"Review: SOW mapping",IF(COUNTIF('Project codes'!$A$7:$A$106,U438)&gt;1,"Review: duplicate code",IF(_xlfn.XLOOKUP(U438,'Project codes'!$A$7:$A$106,'Project codes'!$F$7:$F$106,"Review",0)="Hold","Review: allocation hold",IF(OR(D438="",COUNTIF('SOW register'!$A$7:$A$36,D438)&lt;&gt;1),"Review: SOW mapping",IF(AND(G438&lt;&gt;"Yes",G438&lt;&gt;"No"),"Review: billability",IF(AB438="","Review: billing evidence","OK"))))))))))))))</x:f>
      </x:c>
      <x:c r="J438" s="24"/>
      <x:c r="K438" s="38"/>
      <x:c r="L438" s="38"/>
      <x:c r="M438" s="38"/>
      <x:c r="N438" s="39"/>
      <x:c r="O438" s="24"/>
      <x:c r="P438" s="24"/>
      <x:c r="Q438" s="38"/>
      <x:c r="R438" s="38"/>
      <x:c r="S438" s="24"/>
      <x:c r="T438" s="24"/>
      <x:c r="U438" s="37" t="str">
        <x:f>IF(OR(J438="",Q438="",R438=""),"",J438&amp;"|"&amp;Q438&amp;"|"&amp;R438)</x:f>
      </x:c>
      <x:c r="V438" s="24"/>
      <x:c r="W438" s="24"/>
      <x:c r="X438" s="40"/>
      <x:c r="Y438" s="40"/>
      <x:c r="Z438" s="39"/>
      <x:c r="AA438" s="39"/>
      <x:c r="AB438" s="24"/>
    </x:row>
    <x:row r="439" ht="23" customHeight="1">
      <x:c r="A439" s="20"/>
      <x:c r="B439" s="5"/>
      <x:c r="C439" s="4"/>
      <x:c r="D439" s="34" t="str">
        <x:f>IF(OR(A439="",U439="",COUNTIF('Project codes'!$A$7:$A$106,U439)&lt;&gt;1),"",_xlfn.XLOOKUP(U439,'Project codes'!$A$7:$A$106,'Project codes'!$I$7:$I$106,"",0))</x:f>
      </x:c>
      <x:c r="E439" s="4"/>
      <x:c r="F439" s="35" t="str">
        <x:f>IF(AND(ISNUMBER(N439),N439&gt;=0,O439="Complete"),N439/3600000,"")</x:f>
      </x:c>
      <x:c r="G439" s="4"/>
      <x:c r="H439" s="4"/>
      <x:c r="I439" s="36" t="str">
        <x:f>IF(COUNTA(A439:C439,E439,G439:H439,J439:T439,V439:AB439)=0,"",IF(A439="","Review: missing entry ID",IF(COUNTIF($A$7:$A$506,A439)&gt;1,"Review: duplicate entry ID",IF(NOT(ISNUMBER(B439)),"Review: work date",IF(OR(C439="",E439="",K439="",M439="",H439=""),"Review: source details",IF(J439&lt;&gt;'Estimate review'!$J$5,"Review: project scope",IF(OR(NOT(ISNUMBER(N439)),N439&lt;0,O439&lt;&gt;"Complete"),"Review: duration",IF(S439&lt;&gt;"Coded","Review: coding status",IF(OR(U439="",COUNTIF('Project codes'!$A$7:$A$106,U439)=0),"Review: SOW mapping",IF(COUNTIF('Project codes'!$A$7:$A$106,U439)&gt;1,"Review: duplicate code",IF(_xlfn.XLOOKUP(U439,'Project codes'!$A$7:$A$106,'Project codes'!$F$7:$F$106,"Review",0)="Hold","Review: allocation hold",IF(OR(D439="",COUNTIF('SOW register'!$A$7:$A$36,D439)&lt;&gt;1),"Review: SOW mapping",IF(AND(G439&lt;&gt;"Yes",G439&lt;&gt;"No"),"Review: billability",IF(AB439="","Review: billing evidence","OK"))))))))))))))</x:f>
      </x:c>
      <x:c r="J439" s="24"/>
      <x:c r="K439" s="38"/>
      <x:c r="L439" s="38"/>
      <x:c r="M439" s="38"/>
      <x:c r="N439" s="39"/>
      <x:c r="O439" s="24"/>
      <x:c r="P439" s="24"/>
      <x:c r="Q439" s="38"/>
      <x:c r="R439" s="38"/>
      <x:c r="S439" s="24"/>
      <x:c r="T439" s="24"/>
      <x:c r="U439" s="37" t="str">
        <x:f>IF(OR(J439="",Q439="",R439=""),"",J439&amp;"|"&amp;Q439&amp;"|"&amp;R439)</x:f>
      </x:c>
      <x:c r="V439" s="24"/>
      <x:c r="W439" s="24"/>
      <x:c r="X439" s="40"/>
      <x:c r="Y439" s="40"/>
      <x:c r="Z439" s="39"/>
      <x:c r="AA439" s="39"/>
      <x:c r="AB439" s="24"/>
    </x:row>
    <x:row r="440" ht="23" customHeight="1">
      <x:c r="A440" s="20"/>
      <x:c r="B440" s="5"/>
      <x:c r="C440" s="4"/>
      <x:c r="D440" s="34" t="str">
        <x:f>IF(OR(A440="",U440="",COUNTIF('Project codes'!$A$7:$A$106,U440)&lt;&gt;1),"",_xlfn.XLOOKUP(U440,'Project codes'!$A$7:$A$106,'Project codes'!$I$7:$I$106,"",0))</x:f>
      </x:c>
      <x:c r="E440" s="4"/>
      <x:c r="F440" s="35" t="str">
        <x:f>IF(AND(ISNUMBER(N440),N440&gt;=0,O440="Complete"),N440/3600000,"")</x:f>
      </x:c>
      <x:c r="G440" s="4"/>
      <x:c r="H440" s="4"/>
      <x:c r="I440" s="36" t="str">
        <x:f>IF(COUNTA(A440:C440,E440,G440:H440,J440:T440,V440:AB440)=0,"",IF(A440="","Review: missing entry ID",IF(COUNTIF($A$7:$A$506,A440)&gt;1,"Review: duplicate entry ID",IF(NOT(ISNUMBER(B440)),"Review: work date",IF(OR(C440="",E440="",K440="",M440="",H440=""),"Review: source details",IF(J440&lt;&gt;'Estimate review'!$J$5,"Review: project scope",IF(OR(NOT(ISNUMBER(N440)),N440&lt;0,O440&lt;&gt;"Complete"),"Review: duration",IF(S440&lt;&gt;"Coded","Review: coding status",IF(OR(U440="",COUNTIF('Project codes'!$A$7:$A$106,U440)=0),"Review: SOW mapping",IF(COUNTIF('Project codes'!$A$7:$A$106,U440)&gt;1,"Review: duplicate code",IF(_xlfn.XLOOKUP(U440,'Project codes'!$A$7:$A$106,'Project codes'!$F$7:$F$106,"Review",0)="Hold","Review: allocation hold",IF(OR(D440="",COUNTIF('SOW register'!$A$7:$A$36,D440)&lt;&gt;1),"Review: SOW mapping",IF(AND(G440&lt;&gt;"Yes",G440&lt;&gt;"No"),"Review: billability",IF(AB440="","Review: billing evidence","OK"))))))))))))))</x:f>
      </x:c>
      <x:c r="J440" s="24"/>
      <x:c r="K440" s="38"/>
      <x:c r="L440" s="38"/>
      <x:c r="M440" s="38"/>
      <x:c r="N440" s="39"/>
      <x:c r="O440" s="24"/>
      <x:c r="P440" s="24"/>
      <x:c r="Q440" s="38"/>
      <x:c r="R440" s="38"/>
      <x:c r="S440" s="24"/>
      <x:c r="T440" s="24"/>
      <x:c r="U440" s="37" t="str">
        <x:f>IF(OR(J440="",Q440="",R440=""),"",J440&amp;"|"&amp;Q440&amp;"|"&amp;R440)</x:f>
      </x:c>
      <x:c r="V440" s="24"/>
      <x:c r="W440" s="24"/>
      <x:c r="X440" s="40"/>
      <x:c r="Y440" s="40"/>
      <x:c r="Z440" s="39"/>
      <x:c r="AA440" s="39"/>
      <x:c r="AB440" s="24"/>
    </x:row>
    <x:row r="441" ht="23" customHeight="1">
      <x:c r="A441" s="20"/>
      <x:c r="B441" s="5"/>
      <x:c r="C441" s="4"/>
      <x:c r="D441" s="34" t="str">
        <x:f>IF(OR(A441="",U441="",COUNTIF('Project codes'!$A$7:$A$106,U441)&lt;&gt;1),"",_xlfn.XLOOKUP(U441,'Project codes'!$A$7:$A$106,'Project codes'!$I$7:$I$106,"",0))</x:f>
      </x:c>
      <x:c r="E441" s="4"/>
      <x:c r="F441" s="35" t="str">
        <x:f>IF(AND(ISNUMBER(N441),N441&gt;=0,O441="Complete"),N441/3600000,"")</x:f>
      </x:c>
      <x:c r="G441" s="4"/>
      <x:c r="H441" s="4"/>
      <x:c r="I441" s="36" t="str">
        <x:f>IF(COUNTA(A441:C441,E441,G441:H441,J441:T441,V441:AB441)=0,"",IF(A441="","Review: missing entry ID",IF(COUNTIF($A$7:$A$506,A441)&gt;1,"Review: duplicate entry ID",IF(NOT(ISNUMBER(B441)),"Review: work date",IF(OR(C441="",E441="",K441="",M441="",H441=""),"Review: source details",IF(J441&lt;&gt;'Estimate review'!$J$5,"Review: project scope",IF(OR(NOT(ISNUMBER(N441)),N441&lt;0,O441&lt;&gt;"Complete"),"Review: duration",IF(S441&lt;&gt;"Coded","Review: coding status",IF(OR(U441="",COUNTIF('Project codes'!$A$7:$A$106,U441)=0),"Review: SOW mapping",IF(COUNTIF('Project codes'!$A$7:$A$106,U441)&gt;1,"Review: duplicate code",IF(_xlfn.XLOOKUP(U441,'Project codes'!$A$7:$A$106,'Project codes'!$F$7:$F$106,"Review",0)="Hold","Review: allocation hold",IF(OR(D441="",COUNTIF('SOW register'!$A$7:$A$36,D441)&lt;&gt;1),"Review: SOW mapping",IF(AND(G441&lt;&gt;"Yes",G441&lt;&gt;"No"),"Review: billability",IF(AB441="","Review: billing evidence","OK"))))))))))))))</x:f>
      </x:c>
      <x:c r="J441" s="24"/>
      <x:c r="K441" s="38"/>
      <x:c r="L441" s="38"/>
      <x:c r="M441" s="38"/>
      <x:c r="N441" s="39"/>
      <x:c r="O441" s="24"/>
      <x:c r="P441" s="24"/>
      <x:c r="Q441" s="38"/>
      <x:c r="R441" s="38"/>
      <x:c r="S441" s="24"/>
      <x:c r="T441" s="24"/>
      <x:c r="U441" s="37" t="str">
        <x:f>IF(OR(J441="",Q441="",R441=""),"",J441&amp;"|"&amp;Q441&amp;"|"&amp;R441)</x:f>
      </x:c>
      <x:c r="V441" s="24"/>
      <x:c r="W441" s="24"/>
      <x:c r="X441" s="40"/>
      <x:c r="Y441" s="40"/>
      <x:c r="Z441" s="39"/>
      <x:c r="AA441" s="39"/>
      <x:c r="AB441" s="24"/>
    </x:row>
    <x:row r="442" ht="23" customHeight="1">
      <x:c r="A442" s="20"/>
      <x:c r="B442" s="5"/>
      <x:c r="C442" s="4"/>
      <x:c r="D442" s="34" t="str">
        <x:f>IF(OR(A442="",U442="",COUNTIF('Project codes'!$A$7:$A$106,U442)&lt;&gt;1),"",_xlfn.XLOOKUP(U442,'Project codes'!$A$7:$A$106,'Project codes'!$I$7:$I$106,"",0))</x:f>
      </x:c>
      <x:c r="E442" s="4"/>
      <x:c r="F442" s="35" t="str">
        <x:f>IF(AND(ISNUMBER(N442),N442&gt;=0,O442="Complete"),N442/3600000,"")</x:f>
      </x:c>
      <x:c r="G442" s="4"/>
      <x:c r="H442" s="4"/>
      <x:c r="I442" s="36" t="str">
        <x:f>IF(COUNTA(A442:C442,E442,G442:H442,J442:T442,V442:AB442)=0,"",IF(A442="","Review: missing entry ID",IF(COUNTIF($A$7:$A$506,A442)&gt;1,"Review: duplicate entry ID",IF(NOT(ISNUMBER(B442)),"Review: work date",IF(OR(C442="",E442="",K442="",M442="",H442=""),"Review: source details",IF(J442&lt;&gt;'Estimate review'!$J$5,"Review: project scope",IF(OR(NOT(ISNUMBER(N442)),N442&lt;0,O442&lt;&gt;"Complete"),"Review: duration",IF(S442&lt;&gt;"Coded","Review: coding status",IF(OR(U442="",COUNTIF('Project codes'!$A$7:$A$106,U442)=0),"Review: SOW mapping",IF(COUNTIF('Project codes'!$A$7:$A$106,U442)&gt;1,"Review: duplicate code",IF(_xlfn.XLOOKUP(U442,'Project codes'!$A$7:$A$106,'Project codes'!$F$7:$F$106,"Review",0)="Hold","Review: allocation hold",IF(OR(D442="",COUNTIF('SOW register'!$A$7:$A$36,D442)&lt;&gt;1),"Review: SOW mapping",IF(AND(G442&lt;&gt;"Yes",G442&lt;&gt;"No"),"Review: billability",IF(AB442="","Review: billing evidence","OK"))))))))))))))</x:f>
      </x:c>
      <x:c r="J442" s="24"/>
      <x:c r="K442" s="38"/>
      <x:c r="L442" s="38"/>
      <x:c r="M442" s="38"/>
      <x:c r="N442" s="39"/>
      <x:c r="O442" s="24"/>
      <x:c r="P442" s="24"/>
      <x:c r="Q442" s="38"/>
      <x:c r="R442" s="38"/>
      <x:c r="S442" s="24"/>
      <x:c r="T442" s="24"/>
      <x:c r="U442" s="37" t="str">
        <x:f>IF(OR(J442="",Q442="",R442=""),"",J442&amp;"|"&amp;Q442&amp;"|"&amp;R442)</x:f>
      </x:c>
      <x:c r="V442" s="24"/>
      <x:c r="W442" s="24"/>
      <x:c r="X442" s="40"/>
      <x:c r="Y442" s="40"/>
      <x:c r="Z442" s="39"/>
      <x:c r="AA442" s="39"/>
      <x:c r="AB442" s="24"/>
    </x:row>
    <x:row r="443" ht="23" customHeight="1">
      <x:c r="A443" s="20"/>
      <x:c r="B443" s="5"/>
      <x:c r="C443" s="4"/>
      <x:c r="D443" s="34" t="str">
        <x:f>IF(OR(A443="",U443="",COUNTIF('Project codes'!$A$7:$A$106,U443)&lt;&gt;1),"",_xlfn.XLOOKUP(U443,'Project codes'!$A$7:$A$106,'Project codes'!$I$7:$I$106,"",0))</x:f>
      </x:c>
      <x:c r="E443" s="4"/>
      <x:c r="F443" s="35" t="str">
        <x:f>IF(AND(ISNUMBER(N443),N443&gt;=0,O443="Complete"),N443/3600000,"")</x:f>
      </x:c>
      <x:c r="G443" s="4"/>
      <x:c r="H443" s="4"/>
      <x:c r="I443" s="36" t="str">
        <x:f>IF(COUNTA(A443:C443,E443,G443:H443,J443:T443,V443:AB443)=0,"",IF(A443="","Review: missing entry ID",IF(COUNTIF($A$7:$A$506,A443)&gt;1,"Review: duplicate entry ID",IF(NOT(ISNUMBER(B443)),"Review: work date",IF(OR(C443="",E443="",K443="",M443="",H443=""),"Review: source details",IF(J443&lt;&gt;'Estimate review'!$J$5,"Review: project scope",IF(OR(NOT(ISNUMBER(N443)),N443&lt;0,O443&lt;&gt;"Complete"),"Review: duration",IF(S443&lt;&gt;"Coded","Review: coding status",IF(OR(U443="",COUNTIF('Project codes'!$A$7:$A$106,U443)=0),"Review: SOW mapping",IF(COUNTIF('Project codes'!$A$7:$A$106,U443)&gt;1,"Review: duplicate code",IF(_xlfn.XLOOKUP(U443,'Project codes'!$A$7:$A$106,'Project codes'!$F$7:$F$106,"Review",0)="Hold","Review: allocation hold",IF(OR(D443="",COUNTIF('SOW register'!$A$7:$A$36,D443)&lt;&gt;1),"Review: SOW mapping",IF(AND(G443&lt;&gt;"Yes",G443&lt;&gt;"No"),"Review: billability",IF(AB443="","Review: billing evidence","OK"))))))))))))))</x:f>
      </x:c>
      <x:c r="J443" s="24"/>
      <x:c r="K443" s="38"/>
      <x:c r="L443" s="38"/>
      <x:c r="M443" s="38"/>
      <x:c r="N443" s="39"/>
      <x:c r="O443" s="24"/>
      <x:c r="P443" s="24"/>
      <x:c r="Q443" s="38"/>
      <x:c r="R443" s="38"/>
      <x:c r="S443" s="24"/>
      <x:c r="T443" s="24"/>
      <x:c r="U443" s="37" t="str">
        <x:f>IF(OR(J443="",Q443="",R443=""),"",J443&amp;"|"&amp;Q443&amp;"|"&amp;R443)</x:f>
      </x:c>
      <x:c r="V443" s="24"/>
      <x:c r="W443" s="24"/>
      <x:c r="X443" s="40"/>
      <x:c r="Y443" s="40"/>
      <x:c r="Z443" s="39"/>
      <x:c r="AA443" s="39"/>
      <x:c r="AB443" s="24"/>
    </x:row>
    <x:row r="444" ht="23" customHeight="1">
      <x:c r="A444" s="20"/>
      <x:c r="B444" s="5"/>
      <x:c r="C444" s="4"/>
      <x:c r="D444" s="34" t="str">
        <x:f>IF(OR(A444="",U444="",COUNTIF('Project codes'!$A$7:$A$106,U444)&lt;&gt;1),"",_xlfn.XLOOKUP(U444,'Project codes'!$A$7:$A$106,'Project codes'!$I$7:$I$106,"",0))</x:f>
      </x:c>
      <x:c r="E444" s="4"/>
      <x:c r="F444" s="35" t="str">
        <x:f>IF(AND(ISNUMBER(N444),N444&gt;=0,O444="Complete"),N444/3600000,"")</x:f>
      </x:c>
      <x:c r="G444" s="4"/>
      <x:c r="H444" s="4"/>
      <x:c r="I444" s="36" t="str">
        <x:f>IF(COUNTA(A444:C444,E444,G444:H444,J444:T444,V444:AB444)=0,"",IF(A444="","Review: missing entry ID",IF(COUNTIF($A$7:$A$506,A444)&gt;1,"Review: duplicate entry ID",IF(NOT(ISNUMBER(B444)),"Review: work date",IF(OR(C444="",E444="",K444="",M444="",H444=""),"Review: source details",IF(J444&lt;&gt;'Estimate review'!$J$5,"Review: project scope",IF(OR(NOT(ISNUMBER(N444)),N444&lt;0,O444&lt;&gt;"Complete"),"Review: duration",IF(S444&lt;&gt;"Coded","Review: coding status",IF(OR(U444="",COUNTIF('Project codes'!$A$7:$A$106,U444)=0),"Review: SOW mapping",IF(COUNTIF('Project codes'!$A$7:$A$106,U444)&gt;1,"Review: duplicate code",IF(_xlfn.XLOOKUP(U444,'Project codes'!$A$7:$A$106,'Project codes'!$F$7:$F$106,"Review",0)="Hold","Review: allocation hold",IF(OR(D444="",COUNTIF('SOW register'!$A$7:$A$36,D444)&lt;&gt;1),"Review: SOW mapping",IF(AND(G444&lt;&gt;"Yes",G444&lt;&gt;"No"),"Review: billability",IF(AB444="","Review: billing evidence","OK"))))))))))))))</x:f>
      </x:c>
      <x:c r="J444" s="24"/>
      <x:c r="K444" s="38"/>
      <x:c r="L444" s="38"/>
      <x:c r="M444" s="38"/>
      <x:c r="N444" s="39"/>
      <x:c r="O444" s="24"/>
      <x:c r="P444" s="24"/>
      <x:c r="Q444" s="38"/>
      <x:c r="R444" s="38"/>
      <x:c r="S444" s="24"/>
      <x:c r="T444" s="24"/>
      <x:c r="U444" s="37" t="str">
        <x:f>IF(OR(J444="",Q444="",R444=""),"",J444&amp;"|"&amp;Q444&amp;"|"&amp;R444)</x:f>
      </x:c>
      <x:c r="V444" s="24"/>
      <x:c r="W444" s="24"/>
      <x:c r="X444" s="40"/>
      <x:c r="Y444" s="40"/>
      <x:c r="Z444" s="39"/>
      <x:c r="AA444" s="39"/>
      <x:c r="AB444" s="24"/>
    </x:row>
    <x:row r="445" ht="23" customHeight="1">
      <x:c r="A445" s="20"/>
      <x:c r="B445" s="5"/>
      <x:c r="C445" s="4"/>
      <x:c r="D445" s="34" t="str">
        <x:f>IF(OR(A445="",U445="",COUNTIF('Project codes'!$A$7:$A$106,U445)&lt;&gt;1),"",_xlfn.XLOOKUP(U445,'Project codes'!$A$7:$A$106,'Project codes'!$I$7:$I$106,"",0))</x:f>
      </x:c>
      <x:c r="E445" s="4"/>
      <x:c r="F445" s="35" t="str">
        <x:f>IF(AND(ISNUMBER(N445),N445&gt;=0,O445="Complete"),N445/3600000,"")</x:f>
      </x:c>
      <x:c r="G445" s="4"/>
      <x:c r="H445" s="4"/>
      <x:c r="I445" s="36" t="str">
        <x:f>IF(COUNTA(A445:C445,E445,G445:H445,J445:T445,V445:AB445)=0,"",IF(A445="","Review: missing entry ID",IF(COUNTIF($A$7:$A$506,A445)&gt;1,"Review: duplicate entry ID",IF(NOT(ISNUMBER(B445)),"Review: work date",IF(OR(C445="",E445="",K445="",M445="",H445=""),"Review: source details",IF(J445&lt;&gt;'Estimate review'!$J$5,"Review: project scope",IF(OR(NOT(ISNUMBER(N445)),N445&lt;0,O445&lt;&gt;"Complete"),"Review: duration",IF(S445&lt;&gt;"Coded","Review: coding status",IF(OR(U445="",COUNTIF('Project codes'!$A$7:$A$106,U445)=0),"Review: SOW mapping",IF(COUNTIF('Project codes'!$A$7:$A$106,U445)&gt;1,"Review: duplicate code",IF(_xlfn.XLOOKUP(U445,'Project codes'!$A$7:$A$106,'Project codes'!$F$7:$F$106,"Review",0)="Hold","Review: allocation hold",IF(OR(D445="",COUNTIF('SOW register'!$A$7:$A$36,D445)&lt;&gt;1),"Review: SOW mapping",IF(AND(G445&lt;&gt;"Yes",G445&lt;&gt;"No"),"Review: billability",IF(AB445="","Review: billing evidence","OK"))))))))))))))</x:f>
      </x:c>
      <x:c r="J445" s="24"/>
      <x:c r="K445" s="38"/>
      <x:c r="L445" s="38"/>
      <x:c r="M445" s="38"/>
      <x:c r="N445" s="39"/>
      <x:c r="O445" s="24"/>
      <x:c r="P445" s="24"/>
      <x:c r="Q445" s="38"/>
      <x:c r="R445" s="38"/>
      <x:c r="S445" s="24"/>
      <x:c r="T445" s="24"/>
      <x:c r="U445" s="37" t="str">
        <x:f>IF(OR(J445="",Q445="",R445=""),"",J445&amp;"|"&amp;Q445&amp;"|"&amp;R445)</x:f>
      </x:c>
      <x:c r="V445" s="24"/>
      <x:c r="W445" s="24"/>
      <x:c r="X445" s="40"/>
      <x:c r="Y445" s="40"/>
      <x:c r="Z445" s="39"/>
      <x:c r="AA445" s="39"/>
      <x:c r="AB445" s="24"/>
    </x:row>
    <x:row r="446" ht="23" customHeight="1">
      <x:c r="A446" s="20"/>
      <x:c r="B446" s="5"/>
      <x:c r="C446" s="4"/>
      <x:c r="D446" s="34" t="str">
        <x:f>IF(OR(A446="",U446="",COUNTIF('Project codes'!$A$7:$A$106,U446)&lt;&gt;1),"",_xlfn.XLOOKUP(U446,'Project codes'!$A$7:$A$106,'Project codes'!$I$7:$I$106,"",0))</x:f>
      </x:c>
      <x:c r="E446" s="4"/>
      <x:c r="F446" s="35" t="str">
        <x:f>IF(AND(ISNUMBER(N446),N446&gt;=0,O446="Complete"),N446/3600000,"")</x:f>
      </x:c>
      <x:c r="G446" s="4"/>
      <x:c r="H446" s="4"/>
      <x:c r="I446" s="36" t="str">
        <x:f>IF(COUNTA(A446:C446,E446,G446:H446,J446:T446,V446:AB446)=0,"",IF(A446="","Review: missing entry ID",IF(COUNTIF($A$7:$A$506,A446)&gt;1,"Review: duplicate entry ID",IF(NOT(ISNUMBER(B446)),"Review: work date",IF(OR(C446="",E446="",K446="",M446="",H446=""),"Review: source details",IF(J446&lt;&gt;'Estimate review'!$J$5,"Review: project scope",IF(OR(NOT(ISNUMBER(N446)),N446&lt;0,O446&lt;&gt;"Complete"),"Review: duration",IF(S446&lt;&gt;"Coded","Review: coding status",IF(OR(U446="",COUNTIF('Project codes'!$A$7:$A$106,U446)=0),"Review: SOW mapping",IF(COUNTIF('Project codes'!$A$7:$A$106,U446)&gt;1,"Review: duplicate code",IF(_xlfn.XLOOKUP(U446,'Project codes'!$A$7:$A$106,'Project codes'!$F$7:$F$106,"Review",0)="Hold","Review: allocation hold",IF(OR(D446="",COUNTIF('SOW register'!$A$7:$A$36,D446)&lt;&gt;1),"Review: SOW mapping",IF(AND(G446&lt;&gt;"Yes",G446&lt;&gt;"No"),"Review: billability",IF(AB446="","Review: billing evidence","OK"))))))))))))))</x:f>
      </x:c>
      <x:c r="J446" s="24"/>
      <x:c r="K446" s="38"/>
      <x:c r="L446" s="38"/>
      <x:c r="M446" s="38"/>
      <x:c r="N446" s="39"/>
      <x:c r="O446" s="24"/>
      <x:c r="P446" s="24"/>
      <x:c r="Q446" s="38"/>
      <x:c r="R446" s="38"/>
      <x:c r="S446" s="24"/>
      <x:c r="T446" s="24"/>
      <x:c r="U446" s="37" t="str">
        <x:f>IF(OR(J446="",Q446="",R446=""),"",J446&amp;"|"&amp;Q446&amp;"|"&amp;R446)</x:f>
      </x:c>
      <x:c r="V446" s="24"/>
      <x:c r="W446" s="24"/>
      <x:c r="X446" s="40"/>
      <x:c r="Y446" s="40"/>
      <x:c r="Z446" s="39"/>
      <x:c r="AA446" s="39"/>
      <x:c r="AB446" s="24"/>
    </x:row>
    <x:row r="447" ht="23" customHeight="1">
      <x:c r="A447" s="20"/>
      <x:c r="B447" s="5"/>
      <x:c r="C447" s="4"/>
      <x:c r="D447" s="34" t="str">
        <x:f>IF(OR(A447="",U447="",COUNTIF('Project codes'!$A$7:$A$106,U447)&lt;&gt;1),"",_xlfn.XLOOKUP(U447,'Project codes'!$A$7:$A$106,'Project codes'!$I$7:$I$106,"",0))</x:f>
      </x:c>
      <x:c r="E447" s="4"/>
      <x:c r="F447" s="35" t="str">
        <x:f>IF(AND(ISNUMBER(N447),N447&gt;=0,O447="Complete"),N447/3600000,"")</x:f>
      </x:c>
      <x:c r="G447" s="4"/>
      <x:c r="H447" s="4"/>
      <x:c r="I447" s="36" t="str">
        <x:f>IF(COUNTA(A447:C447,E447,G447:H447,J447:T447,V447:AB447)=0,"",IF(A447="","Review: missing entry ID",IF(COUNTIF($A$7:$A$506,A447)&gt;1,"Review: duplicate entry ID",IF(NOT(ISNUMBER(B447)),"Review: work date",IF(OR(C447="",E447="",K447="",M447="",H447=""),"Review: source details",IF(J447&lt;&gt;'Estimate review'!$J$5,"Review: project scope",IF(OR(NOT(ISNUMBER(N447)),N447&lt;0,O447&lt;&gt;"Complete"),"Review: duration",IF(S447&lt;&gt;"Coded","Review: coding status",IF(OR(U447="",COUNTIF('Project codes'!$A$7:$A$106,U447)=0),"Review: SOW mapping",IF(COUNTIF('Project codes'!$A$7:$A$106,U447)&gt;1,"Review: duplicate code",IF(_xlfn.XLOOKUP(U447,'Project codes'!$A$7:$A$106,'Project codes'!$F$7:$F$106,"Review",0)="Hold","Review: allocation hold",IF(OR(D447="",COUNTIF('SOW register'!$A$7:$A$36,D447)&lt;&gt;1),"Review: SOW mapping",IF(AND(G447&lt;&gt;"Yes",G447&lt;&gt;"No"),"Review: billability",IF(AB447="","Review: billing evidence","OK"))))))))))))))</x:f>
      </x:c>
      <x:c r="J447" s="24"/>
      <x:c r="K447" s="38"/>
      <x:c r="L447" s="38"/>
      <x:c r="M447" s="38"/>
      <x:c r="N447" s="39"/>
      <x:c r="O447" s="24"/>
      <x:c r="P447" s="24"/>
      <x:c r="Q447" s="38"/>
      <x:c r="R447" s="38"/>
      <x:c r="S447" s="24"/>
      <x:c r="T447" s="24"/>
      <x:c r="U447" s="37" t="str">
        <x:f>IF(OR(J447="",Q447="",R447=""),"",J447&amp;"|"&amp;Q447&amp;"|"&amp;R447)</x:f>
      </x:c>
      <x:c r="V447" s="24"/>
      <x:c r="W447" s="24"/>
      <x:c r="X447" s="40"/>
      <x:c r="Y447" s="40"/>
      <x:c r="Z447" s="39"/>
      <x:c r="AA447" s="39"/>
      <x:c r="AB447" s="24"/>
    </x:row>
    <x:row r="448" ht="23" customHeight="1">
      <x:c r="A448" s="20"/>
      <x:c r="B448" s="5"/>
      <x:c r="C448" s="4"/>
      <x:c r="D448" s="34" t="str">
        <x:f>IF(OR(A448="",U448="",COUNTIF('Project codes'!$A$7:$A$106,U448)&lt;&gt;1),"",_xlfn.XLOOKUP(U448,'Project codes'!$A$7:$A$106,'Project codes'!$I$7:$I$106,"",0))</x:f>
      </x:c>
      <x:c r="E448" s="4"/>
      <x:c r="F448" s="35" t="str">
        <x:f>IF(AND(ISNUMBER(N448),N448&gt;=0,O448="Complete"),N448/3600000,"")</x:f>
      </x:c>
      <x:c r="G448" s="4"/>
      <x:c r="H448" s="4"/>
      <x:c r="I448" s="36" t="str">
        <x:f>IF(COUNTA(A448:C448,E448,G448:H448,J448:T448,V448:AB448)=0,"",IF(A448="","Review: missing entry ID",IF(COUNTIF($A$7:$A$506,A448)&gt;1,"Review: duplicate entry ID",IF(NOT(ISNUMBER(B448)),"Review: work date",IF(OR(C448="",E448="",K448="",M448="",H448=""),"Review: source details",IF(J448&lt;&gt;'Estimate review'!$J$5,"Review: project scope",IF(OR(NOT(ISNUMBER(N448)),N448&lt;0,O448&lt;&gt;"Complete"),"Review: duration",IF(S448&lt;&gt;"Coded","Review: coding status",IF(OR(U448="",COUNTIF('Project codes'!$A$7:$A$106,U448)=0),"Review: SOW mapping",IF(COUNTIF('Project codes'!$A$7:$A$106,U448)&gt;1,"Review: duplicate code",IF(_xlfn.XLOOKUP(U448,'Project codes'!$A$7:$A$106,'Project codes'!$F$7:$F$106,"Review",0)="Hold","Review: allocation hold",IF(OR(D448="",COUNTIF('SOW register'!$A$7:$A$36,D448)&lt;&gt;1),"Review: SOW mapping",IF(AND(G448&lt;&gt;"Yes",G448&lt;&gt;"No"),"Review: billability",IF(AB448="","Review: billing evidence","OK"))))))))))))))</x:f>
      </x:c>
      <x:c r="J448" s="24"/>
      <x:c r="K448" s="38"/>
      <x:c r="L448" s="38"/>
      <x:c r="M448" s="38"/>
      <x:c r="N448" s="39"/>
      <x:c r="O448" s="24"/>
      <x:c r="P448" s="24"/>
      <x:c r="Q448" s="38"/>
      <x:c r="R448" s="38"/>
      <x:c r="S448" s="24"/>
      <x:c r="T448" s="24"/>
      <x:c r="U448" s="37" t="str">
        <x:f>IF(OR(J448="",Q448="",R448=""),"",J448&amp;"|"&amp;Q448&amp;"|"&amp;R448)</x:f>
      </x:c>
      <x:c r="V448" s="24"/>
      <x:c r="W448" s="24"/>
      <x:c r="X448" s="40"/>
      <x:c r="Y448" s="40"/>
      <x:c r="Z448" s="39"/>
      <x:c r="AA448" s="39"/>
      <x:c r="AB448" s="24"/>
    </x:row>
    <x:row r="449" ht="23" customHeight="1">
      <x:c r="A449" s="20"/>
      <x:c r="B449" s="5"/>
      <x:c r="C449" s="4"/>
      <x:c r="D449" s="34" t="str">
        <x:f>IF(OR(A449="",U449="",COUNTIF('Project codes'!$A$7:$A$106,U449)&lt;&gt;1),"",_xlfn.XLOOKUP(U449,'Project codes'!$A$7:$A$106,'Project codes'!$I$7:$I$106,"",0))</x:f>
      </x:c>
      <x:c r="E449" s="4"/>
      <x:c r="F449" s="35" t="str">
        <x:f>IF(AND(ISNUMBER(N449),N449&gt;=0,O449="Complete"),N449/3600000,"")</x:f>
      </x:c>
      <x:c r="G449" s="4"/>
      <x:c r="H449" s="4"/>
      <x:c r="I449" s="36" t="str">
        <x:f>IF(COUNTA(A449:C449,E449,G449:H449,J449:T449,V449:AB449)=0,"",IF(A449="","Review: missing entry ID",IF(COUNTIF($A$7:$A$506,A449)&gt;1,"Review: duplicate entry ID",IF(NOT(ISNUMBER(B449)),"Review: work date",IF(OR(C449="",E449="",K449="",M449="",H449=""),"Review: source details",IF(J449&lt;&gt;'Estimate review'!$J$5,"Review: project scope",IF(OR(NOT(ISNUMBER(N449)),N449&lt;0,O449&lt;&gt;"Complete"),"Review: duration",IF(S449&lt;&gt;"Coded","Review: coding status",IF(OR(U449="",COUNTIF('Project codes'!$A$7:$A$106,U449)=0),"Review: SOW mapping",IF(COUNTIF('Project codes'!$A$7:$A$106,U449)&gt;1,"Review: duplicate code",IF(_xlfn.XLOOKUP(U449,'Project codes'!$A$7:$A$106,'Project codes'!$F$7:$F$106,"Review",0)="Hold","Review: allocation hold",IF(OR(D449="",COUNTIF('SOW register'!$A$7:$A$36,D449)&lt;&gt;1),"Review: SOW mapping",IF(AND(G449&lt;&gt;"Yes",G449&lt;&gt;"No"),"Review: billability",IF(AB449="","Review: billing evidence","OK"))))))))))))))</x:f>
      </x:c>
      <x:c r="J449" s="24"/>
      <x:c r="K449" s="38"/>
      <x:c r="L449" s="38"/>
      <x:c r="M449" s="38"/>
      <x:c r="N449" s="39"/>
      <x:c r="O449" s="24"/>
      <x:c r="P449" s="24"/>
      <x:c r="Q449" s="38"/>
      <x:c r="R449" s="38"/>
      <x:c r="S449" s="24"/>
      <x:c r="T449" s="24"/>
      <x:c r="U449" s="37" t="str">
        <x:f>IF(OR(J449="",Q449="",R449=""),"",J449&amp;"|"&amp;Q449&amp;"|"&amp;R449)</x:f>
      </x:c>
      <x:c r="V449" s="24"/>
      <x:c r="W449" s="24"/>
      <x:c r="X449" s="40"/>
      <x:c r="Y449" s="40"/>
      <x:c r="Z449" s="39"/>
      <x:c r="AA449" s="39"/>
      <x:c r="AB449" s="24"/>
    </x:row>
    <x:row r="450" ht="23" customHeight="1">
      <x:c r="A450" s="20"/>
      <x:c r="B450" s="5"/>
      <x:c r="C450" s="4"/>
      <x:c r="D450" s="34" t="str">
        <x:f>IF(OR(A450="",U450="",COUNTIF('Project codes'!$A$7:$A$106,U450)&lt;&gt;1),"",_xlfn.XLOOKUP(U450,'Project codes'!$A$7:$A$106,'Project codes'!$I$7:$I$106,"",0))</x:f>
      </x:c>
      <x:c r="E450" s="4"/>
      <x:c r="F450" s="35" t="str">
        <x:f>IF(AND(ISNUMBER(N450),N450&gt;=0,O450="Complete"),N450/3600000,"")</x:f>
      </x:c>
      <x:c r="G450" s="4"/>
      <x:c r="H450" s="4"/>
      <x:c r="I450" s="36" t="str">
        <x:f>IF(COUNTA(A450:C450,E450,G450:H450,J450:T450,V450:AB450)=0,"",IF(A450="","Review: missing entry ID",IF(COUNTIF($A$7:$A$506,A450)&gt;1,"Review: duplicate entry ID",IF(NOT(ISNUMBER(B450)),"Review: work date",IF(OR(C450="",E450="",K450="",M450="",H450=""),"Review: source details",IF(J450&lt;&gt;'Estimate review'!$J$5,"Review: project scope",IF(OR(NOT(ISNUMBER(N450)),N450&lt;0,O450&lt;&gt;"Complete"),"Review: duration",IF(S450&lt;&gt;"Coded","Review: coding status",IF(OR(U450="",COUNTIF('Project codes'!$A$7:$A$106,U450)=0),"Review: SOW mapping",IF(COUNTIF('Project codes'!$A$7:$A$106,U450)&gt;1,"Review: duplicate code",IF(_xlfn.XLOOKUP(U450,'Project codes'!$A$7:$A$106,'Project codes'!$F$7:$F$106,"Review",0)="Hold","Review: allocation hold",IF(OR(D450="",COUNTIF('SOW register'!$A$7:$A$36,D450)&lt;&gt;1),"Review: SOW mapping",IF(AND(G450&lt;&gt;"Yes",G450&lt;&gt;"No"),"Review: billability",IF(AB450="","Review: billing evidence","OK"))))))))))))))</x:f>
      </x:c>
      <x:c r="J450" s="24"/>
      <x:c r="K450" s="38"/>
      <x:c r="L450" s="38"/>
      <x:c r="M450" s="38"/>
      <x:c r="N450" s="39"/>
      <x:c r="O450" s="24"/>
      <x:c r="P450" s="24"/>
      <x:c r="Q450" s="38"/>
      <x:c r="R450" s="38"/>
      <x:c r="S450" s="24"/>
      <x:c r="T450" s="24"/>
      <x:c r="U450" s="37" t="str">
        <x:f>IF(OR(J450="",Q450="",R450=""),"",J450&amp;"|"&amp;Q450&amp;"|"&amp;R450)</x:f>
      </x:c>
      <x:c r="V450" s="24"/>
      <x:c r="W450" s="24"/>
      <x:c r="X450" s="40"/>
      <x:c r="Y450" s="40"/>
      <x:c r="Z450" s="39"/>
      <x:c r="AA450" s="39"/>
      <x:c r="AB450" s="24"/>
    </x:row>
    <x:row r="451" ht="23" customHeight="1">
      <x:c r="A451" s="20"/>
      <x:c r="B451" s="5"/>
      <x:c r="C451" s="4"/>
      <x:c r="D451" s="34" t="str">
        <x:f>IF(OR(A451="",U451="",COUNTIF('Project codes'!$A$7:$A$106,U451)&lt;&gt;1),"",_xlfn.XLOOKUP(U451,'Project codes'!$A$7:$A$106,'Project codes'!$I$7:$I$106,"",0))</x:f>
      </x:c>
      <x:c r="E451" s="4"/>
      <x:c r="F451" s="35" t="str">
        <x:f>IF(AND(ISNUMBER(N451),N451&gt;=0,O451="Complete"),N451/3600000,"")</x:f>
      </x:c>
      <x:c r="G451" s="4"/>
      <x:c r="H451" s="4"/>
      <x:c r="I451" s="36" t="str">
        <x:f>IF(COUNTA(A451:C451,E451,G451:H451,J451:T451,V451:AB451)=0,"",IF(A451="","Review: missing entry ID",IF(COUNTIF($A$7:$A$506,A451)&gt;1,"Review: duplicate entry ID",IF(NOT(ISNUMBER(B451)),"Review: work date",IF(OR(C451="",E451="",K451="",M451="",H451=""),"Review: source details",IF(J451&lt;&gt;'Estimate review'!$J$5,"Review: project scope",IF(OR(NOT(ISNUMBER(N451)),N451&lt;0,O451&lt;&gt;"Complete"),"Review: duration",IF(S451&lt;&gt;"Coded","Review: coding status",IF(OR(U451="",COUNTIF('Project codes'!$A$7:$A$106,U451)=0),"Review: SOW mapping",IF(COUNTIF('Project codes'!$A$7:$A$106,U451)&gt;1,"Review: duplicate code",IF(_xlfn.XLOOKUP(U451,'Project codes'!$A$7:$A$106,'Project codes'!$F$7:$F$106,"Review",0)="Hold","Review: allocation hold",IF(OR(D451="",COUNTIF('SOW register'!$A$7:$A$36,D451)&lt;&gt;1),"Review: SOW mapping",IF(AND(G451&lt;&gt;"Yes",G451&lt;&gt;"No"),"Review: billability",IF(AB451="","Review: billing evidence","OK"))))))))))))))</x:f>
      </x:c>
      <x:c r="J451" s="24"/>
      <x:c r="K451" s="38"/>
      <x:c r="L451" s="38"/>
      <x:c r="M451" s="38"/>
      <x:c r="N451" s="39"/>
      <x:c r="O451" s="24"/>
      <x:c r="P451" s="24"/>
      <x:c r="Q451" s="38"/>
      <x:c r="R451" s="38"/>
      <x:c r="S451" s="24"/>
      <x:c r="T451" s="24"/>
      <x:c r="U451" s="37" t="str">
        <x:f>IF(OR(J451="",Q451="",R451=""),"",J451&amp;"|"&amp;Q451&amp;"|"&amp;R451)</x:f>
      </x:c>
      <x:c r="V451" s="24"/>
      <x:c r="W451" s="24"/>
      <x:c r="X451" s="40"/>
      <x:c r="Y451" s="40"/>
      <x:c r="Z451" s="39"/>
      <x:c r="AA451" s="39"/>
      <x:c r="AB451" s="24"/>
    </x:row>
    <x:row r="452" ht="23" customHeight="1">
      <x:c r="A452" s="20"/>
      <x:c r="B452" s="5"/>
      <x:c r="C452" s="4"/>
      <x:c r="D452" s="34" t="str">
        <x:f>IF(OR(A452="",U452="",COUNTIF('Project codes'!$A$7:$A$106,U452)&lt;&gt;1),"",_xlfn.XLOOKUP(U452,'Project codes'!$A$7:$A$106,'Project codes'!$I$7:$I$106,"",0))</x:f>
      </x:c>
      <x:c r="E452" s="4"/>
      <x:c r="F452" s="35" t="str">
        <x:f>IF(AND(ISNUMBER(N452),N452&gt;=0,O452="Complete"),N452/3600000,"")</x:f>
      </x:c>
      <x:c r="G452" s="4"/>
      <x:c r="H452" s="4"/>
      <x:c r="I452" s="36" t="str">
        <x:f>IF(COUNTA(A452:C452,E452,G452:H452,J452:T452,V452:AB452)=0,"",IF(A452="","Review: missing entry ID",IF(COUNTIF($A$7:$A$506,A452)&gt;1,"Review: duplicate entry ID",IF(NOT(ISNUMBER(B452)),"Review: work date",IF(OR(C452="",E452="",K452="",M452="",H452=""),"Review: source details",IF(J452&lt;&gt;'Estimate review'!$J$5,"Review: project scope",IF(OR(NOT(ISNUMBER(N452)),N452&lt;0,O452&lt;&gt;"Complete"),"Review: duration",IF(S452&lt;&gt;"Coded","Review: coding status",IF(OR(U452="",COUNTIF('Project codes'!$A$7:$A$106,U452)=0),"Review: SOW mapping",IF(COUNTIF('Project codes'!$A$7:$A$106,U452)&gt;1,"Review: duplicate code",IF(_xlfn.XLOOKUP(U452,'Project codes'!$A$7:$A$106,'Project codes'!$F$7:$F$106,"Review",0)="Hold","Review: allocation hold",IF(OR(D452="",COUNTIF('SOW register'!$A$7:$A$36,D452)&lt;&gt;1),"Review: SOW mapping",IF(AND(G452&lt;&gt;"Yes",G452&lt;&gt;"No"),"Review: billability",IF(AB452="","Review: billing evidence","OK"))))))))))))))</x:f>
      </x:c>
      <x:c r="J452" s="24"/>
      <x:c r="K452" s="38"/>
      <x:c r="L452" s="38"/>
      <x:c r="M452" s="38"/>
      <x:c r="N452" s="39"/>
      <x:c r="O452" s="24"/>
      <x:c r="P452" s="24"/>
      <x:c r="Q452" s="38"/>
      <x:c r="R452" s="38"/>
      <x:c r="S452" s="24"/>
      <x:c r="T452" s="24"/>
      <x:c r="U452" s="37" t="str">
        <x:f>IF(OR(J452="",Q452="",R452=""),"",J452&amp;"|"&amp;Q452&amp;"|"&amp;R452)</x:f>
      </x:c>
      <x:c r="V452" s="24"/>
      <x:c r="W452" s="24"/>
      <x:c r="X452" s="40"/>
      <x:c r="Y452" s="40"/>
      <x:c r="Z452" s="39"/>
      <x:c r="AA452" s="39"/>
      <x:c r="AB452" s="24"/>
    </x:row>
    <x:row r="453" ht="23" customHeight="1">
      <x:c r="A453" s="20"/>
      <x:c r="B453" s="5"/>
      <x:c r="C453" s="4"/>
      <x:c r="D453" s="34" t="str">
        <x:f>IF(OR(A453="",U453="",COUNTIF('Project codes'!$A$7:$A$106,U453)&lt;&gt;1),"",_xlfn.XLOOKUP(U453,'Project codes'!$A$7:$A$106,'Project codes'!$I$7:$I$106,"",0))</x:f>
      </x:c>
      <x:c r="E453" s="4"/>
      <x:c r="F453" s="35" t="str">
        <x:f>IF(AND(ISNUMBER(N453),N453&gt;=0,O453="Complete"),N453/3600000,"")</x:f>
      </x:c>
      <x:c r="G453" s="4"/>
      <x:c r="H453" s="4"/>
      <x:c r="I453" s="36" t="str">
        <x:f>IF(COUNTA(A453:C453,E453,G453:H453,J453:T453,V453:AB453)=0,"",IF(A453="","Review: missing entry ID",IF(COUNTIF($A$7:$A$506,A453)&gt;1,"Review: duplicate entry ID",IF(NOT(ISNUMBER(B453)),"Review: work date",IF(OR(C453="",E453="",K453="",M453="",H453=""),"Review: source details",IF(J453&lt;&gt;'Estimate review'!$J$5,"Review: project scope",IF(OR(NOT(ISNUMBER(N453)),N453&lt;0,O453&lt;&gt;"Complete"),"Review: duration",IF(S453&lt;&gt;"Coded","Review: coding status",IF(OR(U453="",COUNTIF('Project codes'!$A$7:$A$106,U453)=0),"Review: SOW mapping",IF(COUNTIF('Project codes'!$A$7:$A$106,U453)&gt;1,"Review: duplicate code",IF(_xlfn.XLOOKUP(U453,'Project codes'!$A$7:$A$106,'Project codes'!$F$7:$F$106,"Review",0)="Hold","Review: allocation hold",IF(OR(D453="",COUNTIF('SOW register'!$A$7:$A$36,D453)&lt;&gt;1),"Review: SOW mapping",IF(AND(G453&lt;&gt;"Yes",G453&lt;&gt;"No"),"Review: billability",IF(AB453="","Review: billing evidence","OK"))))))))))))))</x:f>
      </x:c>
      <x:c r="J453" s="24"/>
      <x:c r="K453" s="38"/>
      <x:c r="L453" s="38"/>
      <x:c r="M453" s="38"/>
      <x:c r="N453" s="39"/>
      <x:c r="O453" s="24"/>
      <x:c r="P453" s="24"/>
      <x:c r="Q453" s="38"/>
      <x:c r="R453" s="38"/>
      <x:c r="S453" s="24"/>
      <x:c r="T453" s="24"/>
      <x:c r="U453" s="37" t="str">
        <x:f>IF(OR(J453="",Q453="",R453=""),"",J453&amp;"|"&amp;Q453&amp;"|"&amp;R453)</x:f>
      </x:c>
      <x:c r="V453" s="24"/>
      <x:c r="W453" s="24"/>
      <x:c r="X453" s="40"/>
      <x:c r="Y453" s="40"/>
      <x:c r="Z453" s="39"/>
      <x:c r="AA453" s="39"/>
      <x:c r="AB453" s="24"/>
    </x:row>
    <x:row r="454" ht="23" customHeight="1">
      <x:c r="A454" s="20"/>
      <x:c r="B454" s="5"/>
      <x:c r="C454" s="4"/>
      <x:c r="D454" s="34" t="str">
        <x:f>IF(OR(A454="",U454="",COUNTIF('Project codes'!$A$7:$A$106,U454)&lt;&gt;1),"",_xlfn.XLOOKUP(U454,'Project codes'!$A$7:$A$106,'Project codes'!$I$7:$I$106,"",0))</x:f>
      </x:c>
      <x:c r="E454" s="4"/>
      <x:c r="F454" s="35" t="str">
        <x:f>IF(AND(ISNUMBER(N454),N454&gt;=0,O454="Complete"),N454/3600000,"")</x:f>
      </x:c>
      <x:c r="G454" s="4"/>
      <x:c r="H454" s="4"/>
      <x:c r="I454" s="36" t="str">
        <x:f>IF(COUNTA(A454:C454,E454,G454:H454,J454:T454,V454:AB454)=0,"",IF(A454="","Review: missing entry ID",IF(COUNTIF($A$7:$A$506,A454)&gt;1,"Review: duplicate entry ID",IF(NOT(ISNUMBER(B454)),"Review: work date",IF(OR(C454="",E454="",K454="",M454="",H454=""),"Review: source details",IF(J454&lt;&gt;'Estimate review'!$J$5,"Review: project scope",IF(OR(NOT(ISNUMBER(N454)),N454&lt;0,O454&lt;&gt;"Complete"),"Review: duration",IF(S454&lt;&gt;"Coded","Review: coding status",IF(OR(U454="",COUNTIF('Project codes'!$A$7:$A$106,U454)=0),"Review: SOW mapping",IF(COUNTIF('Project codes'!$A$7:$A$106,U454)&gt;1,"Review: duplicate code",IF(_xlfn.XLOOKUP(U454,'Project codes'!$A$7:$A$106,'Project codes'!$F$7:$F$106,"Review",0)="Hold","Review: allocation hold",IF(OR(D454="",COUNTIF('SOW register'!$A$7:$A$36,D454)&lt;&gt;1),"Review: SOW mapping",IF(AND(G454&lt;&gt;"Yes",G454&lt;&gt;"No"),"Review: billability",IF(AB454="","Review: billing evidence","OK"))))))))))))))</x:f>
      </x:c>
      <x:c r="J454" s="24"/>
      <x:c r="K454" s="38"/>
      <x:c r="L454" s="38"/>
      <x:c r="M454" s="38"/>
      <x:c r="N454" s="39"/>
      <x:c r="O454" s="24"/>
      <x:c r="P454" s="24"/>
      <x:c r="Q454" s="38"/>
      <x:c r="R454" s="38"/>
      <x:c r="S454" s="24"/>
      <x:c r="T454" s="24"/>
      <x:c r="U454" s="37" t="str">
        <x:f>IF(OR(J454="",Q454="",R454=""),"",J454&amp;"|"&amp;Q454&amp;"|"&amp;R454)</x:f>
      </x:c>
      <x:c r="V454" s="24"/>
      <x:c r="W454" s="24"/>
      <x:c r="X454" s="40"/>
      <x:c r="Y454" s="40"/>
      <x:c r="Z454" s="39"/>
      <x:c r="AA454" s="39"/>
      <x:c r="AB454" s="24"/>
    </x:row>
    <x:row r="455" ht="23" customHeight="1">
      <x:c r="A455" s="20"/>
      <x:c r="B455" s="5"/>
      <x:c r="C455" s="4"/>
      <x:c r="D455" s="34" t="str">
        <x:f>IF(OR(A455="",U455="",COUNTIF('Project codes'!$A$7:$A$106,U455)&lt;&gt;1),"",_xlfn.XLOOKUP(U455,'Project codes'!$A$7:$A$106,'Project codes'!$I$7:$I$106,"",0))</x:f>
      </x:c>
      <x:c r="E455" s="4"/>
      <x:c r="F455" s="35" t="str">
        <x:f>IF(AND(ISNUMBER(N455),N455&gt;=0,O455="Complete"),N455/3600000,"")</x:f>
      </x:c>
      <x:c r="G455" s="4"/>
      <x:c r="H455" s="4"/>
      <x:c r="I455" s="36" t="str">
        <x:f>IF(COUNTA(A455:C455,E455,G455:H455,J455:T455,V455:AB455)=0,"",IF(A455="","Review: missing entry ID",IF(COUNTIF($A$7:$A$506,A455)&gt;1,"Review: duplicate entry ID",IF(NOT(ISNUMBER(B455)),"Review: work date",IF(OR(C455="",E455="",K455="",M455="",H455=""),"Review: source details",IF(J455&lt;&gt;'Estimate review'!$J$5,"Review: project scope",IF(OR(NOT(ISNUMBER(N455)),N455&lt;0,O455&lt;&gt;"Complete"),"Review: duration",IF(S455&lt;&gt;"Coded","Review: coding status",IF(OR(U455="",COUNTIF('Project codes'!$A$7:$A$106,U455)=0),"Review: SOW mapping",IF(COUNTIF('Project codes'!$A$7:$A$106,U455)&gt;1,"Review: duplicate code",IF(_xlfn.XLOOKUP(U455,'Project codes'!$A$7:$A$106,'Project codes'!$F$7:$F$106,"Review",0)="Hold","Review: allocation hold",IF(OR(D455="",COUNTIF('SOW register'!$A$7:$A$36,D455)&lt;&gt;1),"Review: SOW mapping",IF(AND(G455&lt;&gt;"Yes",G455&lt;&gt;"No"),"Review: billability",IF(AB455="","Review: billing evidence","OK"))))))))))))))</x:f>
      </x:c>
      <x:c r="J455" s="24"/>
      <x:c r="K455" s="38"/>
      <x:c r="L455" s="38"/>
      <x:c r="M455" s="38"/>
      <x:c r="N455" s="39"/>
      <x:c r="O455" s="24"/>
      <x:c r="P455" s="24"/>
      <x:c r="Q455" s="38"/>
      <x:c r="R455" s="38"/>
      <x:c r="S455" s="24"/>
      <x:c r="T455" s="24"/>
      <x:c r="U455" s="37" t="str">
        <x:f>IF(OR(J455="",Q455="",R455=""),"",J455&amp;"|"&amp;Q455&amp;"|"&amp;R455)</x:f>
      </x:c>
      <x:c r="V455" s="24"/>
      <x:c r="W455" s="24"/>
      <x:c r="X455" s="40"/>
      <x:c r="Y455" s="40"/>
      <x:c r="Z455" s="39"/>
      <x:c r="AA455" s="39"/>
      <x:c r="AB455" s="24"/>
    </x:row>
    <x:row r="456" ht="23" customHeight="1">
      <x:c r="A456" s="20"/>
      <x:c r="B456" s="5"/>
      <x:c r="C456" s="4"/>
      <x:c r="D456" s="34" t="str">
        <x:f>IF(OR(A456="",U456="",COUNTIF('Project codes'!$A$7:$A$106,U456)&lt;&gt;1),"",_xlfn.XLOOKUP(U456,'Project codes'!$A$7:$A$106,'Project codes'!$I$7:$I$106,"",0))</x:f>
      </x:c>
      <x:c r="E456" s="4"/>
      <x:c r="F456" s="35" t="str">
        <x:f>IF(AND(ISNUMBER(N456),N456&gt;=0,O456="Complete"),N456/3600000,"")</x:f>
      </x:c>
      <x:c r="G456" s="4"/>
      <x:c r="H456" s="4"/>
      <x:c r="I456" s="36" t="str">
        <x:f>IF(COUNTA(A456:C456,E456,G456:H456,J456:T456,V456:AB456)=0,"",IF(A456="","Review: missing entry ID",IF(COUNTIF($A$7:$A$506,A456)&gt;1,"Review: duplicate entry ID",IF(NOT(ISNUMBER(B456)),"Review: work date",IF(OR(C456="",E456="",K456="",M456="",H456=""),"Review: source details",IF(J456&lt;&gt;'Estimate review'!$J$5,"Review: project scope",IF(OR(NOT(ISNUMBER(N456)),N456&lt;0,O456&lt;&gt;"Complete"),"Review: duration",IF(S456&lt;&gt;"Coded","Review: coding status",IF(OR(U456="",COUNTIF('Project codes'!$A$7:$A$106,U456)=0),"Review: SOW mapping",IF(COUNTIF('Project codes'!$A$7:$A$106,U456)&gt;1,"Review: duplicate code",IF(_xlfn.XLOOKUP(U456,'Project codes'!$A$7:$A$106,'Project codes'!$F$7:$F$106,"Review",0)="Hold","Review: allocation hold",IF(OR(D456="",COUNTIF('SOW register'!$A$7:$A$36,D456)&lt;&gt;1),"Review: SOW mapping",IF(AND(G456&lt;&gt;"Yes",G456&lt;&gt;"No"),"Review: billability",IF(AB456="","Review: billing evidence","OK"))))))))))))))</x:f>
      </x:c>
      <x:c r="J456" s="24"/>
      <x:c r="K456" s="38"/>
      <x:c r="L456" s="38"/>
      <x:c r="M456" s="38"/>
      <x:c r="N456" s="39"/>
      <x:c r="O456" s="24"/>
      <x:c r="P456" s="24"/>
      <x:c r="Q456" s="38"/>
      <x:c r="R456" s="38"/>
      <x:c r="S456" s="24"/>
      <x:c r="T456" s="24"/>
      <x:c r="U456" s="37" t="str">
        <x:f>IF(OR(J456="",Q456="",R456=""),"",J456&amp;"|"&amp;Q456&amp;"|"&amp;R456)</x:f>
      </x:c>
      <x:c r="V456" s="24"/>
      <x:c r="W456" s="24"/>
      <x:c r="X456" s="40"/>
      <x:c r="Y456" s="40"/>
      <x:c r="Z456" s="39"/>
      <x:c r="AA456" s="39"/>
      <x:c r="AB456" s="24"/>
    </x:row>
    <x:row r="457" ht="23" customHeight="1">
      <x:c r="A457" s="20"/>
      <x:c r="B457" s="5"/>
      <x:c r="C457" s="4"/>
      <x:c r="D457" s="34" t="str">
        <x:f>IF(OR(A457="",U457="",COUNTIF('Project codes'!$A$7:$A$106,U457)&lt;&gt;1),"",_xlfn.XLOOKUP(U457,'Project codes'!$A$7:$A$106,'Project codes'!$I$7:$I$106,"",0))</x:f>
      </x:c>
      <x:c r="E457" s="4"/>
      <x:c r="F457" s="35" t="str">
        <x:f>IF(AND(ISNUMBER(N457),N457&gt;=0,O457="Complete"),N457/3600000,"")</x:f>
      </x:c>
      <x:c r="G457" s="4"/>
      <x:c r="H457" s="4"/>
      <x:c r="I457" s="36" t="str">
        <x:f>IF(COUNTA(A457:C457,E457,G457:H457,J457:T457,V457:AB457)=0,"",IF(A457="","Review: missing entry ID",IF(COUNTIF($A$7:$A$506,A457)&gt;1,"Review: duplicate entry ID",IF(NOT(ISNUMBER(B457)),"Review: work date",IF(OR(C457="",E457="",K457="",M457="",H457=""),"Review: source details",IF(J457&lt;&gt;'Estimate review'!$J$5,"Review: project scope",IF(OR(NOT(ISNUMBER(N457)),N457&lt;0,O457&lt;&gt;"Complete"),"Review: duration",IF(S457&lt;&gt;"Coded","Review: coding status",IF(OR(U457="",COUNTIF('Project codes'!$A$7:$A$106,U457)=0),"Review: SOW mapping",IF(COUNTIF('Project codes'!$A$7:$A$106,U457)&gt;1,"Review: duplicate code",IF(_xlfn.XLOOKUP(U457,'Project codes'!$A$7:$A$106,'Project codes'!$F$7:$F$106,"Review",0)="Hold","Review: allocation hold",IF(OR(D457="",COUNTIF('SOW register'!$A$7:$A$36,D457)&lt;&gt;1),"Review: SOW mapping",IF(AND(G457&lt;&gt;"Yes",G457&lt;&gt;"No"),"Review: billability",IF(AB457="","Review: billing evidence","OK"))))))))))))))</x:f>
      </x:c>
      <x:c r="J457" s="24"/>
      <x:c r="K457" s="38"/>
      <x:c r="L457" s="38"/>
      <x:c r="M457" s="38"/>
      <x:c r="N457" s="39"/>
      <x:c r="O457" s="24"/>
      <x:c r="P457" s="24"/>
      <x:c r="Q457" s="38"/>
      <x:c r="R457" s="38"/>
      <x:c r="S457" s="24"/>
      <x:c r="T457" s="24"/>
      <x:c r="U457" s="37" t="str">
        <x:f>IF(OR(J457="",Q457="",R457=""),"",J457&amp;"|"&amp;Q457&amp;"|"&amp;R457)</x:f>
      </x:c>
      <x:c r="V457" s="24"/>
      <x:c r="W457" s="24"/>
      <x:c r="X457" s="40"/>
      <x:c r="Y457" s="40"/>
      <x:c r="Z457" s="39"/>
      <x:c r="AA457" s="39"/>
      <x:c r="AB457" s="24"/>
    </x:row>
    <x:row r="458" ht="23" customHeight="1">
      <x:c r="A458" s="20"/>
      <x:c r="B458" s="5"/>
      <x:c r="C458" s="4"/>
      <x:c r="D458" s="34" t="str">
        <x:f>IF(OR(A458="",U458="",COUNTIF('Project codes'!$A$7:$A$106,U458)&lt;&gt;1),"",_xlfn.XLOOKUP(U458,'Project codes'!$A$7:$A$106,'Project codes'!$I$7:$I$106,"",0))</x:f>
      </x:c>
      <x:c r="E458" s="4"/>
      <x:c r="F458" s="35" t="str">
        <x:f>IF(AND(ISNUMBER(N458),N458&gt;=0,O458="Complete"),N458/3600000,"")</x:f>
      </x:c>
      <x:c r="G458" s="4"/>
      <x:c r="H458" s="4"/>
      <x:c r="I458" s="36" t="str">
        <x:f>IF(COUNTA(A458:C458,E458,G458:H458,J458:T458,V458:AB458)=0,"",IF(A458="","Review: missing entry ID",IF(COUNTIF($A$7:$A$506,A458)&gt;1,"Review: duplicate entry ID",IF(NOT(ISNUMBER(B458)),"Review: work date",IF(OR(C458="",E458="",K458="",M458="",H458=""),"Review: source details",IF(J458&lt;&gt;'Estimate review'!$J$5,"Review: project scope",IF(OR(NOT(ISNUMBER(N458)),N458&lt;0,O458&lt;&gt;"Complete"),"Review: duration",IF(S458&lt;&gt;"Coded","Review: coding status",IF(OR(U458="",COUNTIF('Project codes'!$A$7:$A$106,U458)=0),"Review: SOW mapping",IF(COUNTIF('Project codes'!$A$7:$A$106,U458)&gt;1,"Review: duplicate code",IF(_xlfn.XLOOKUP(U458,'Project codes'!$A$7:$A$106,'Project codes'!$F$7:$F$106,"Review",0)="Hold","Review: allocation hold",IF(OR(D458="",COUNTIF('SOW register'!$A$7:$A$36,D458)&lt;&gt;1),"Review: SOW mapping",IF(AND(G458&lt;&gt;"Yes",G458&lt;&gt;"No"),"Review: billability",IF(AB458="","Review: billing evidence","OK"))))))))))))))</x:f>
      </x:c>
      <x:c r="J458" s="24"/>
      <x:c r="K458" s="38"/>
      <x:c r="L458" s="38"/>
      <x:c r="M458" s="38"/>
      <x:c r="N458" s="39"/>
      <x:c r="O458" s="24"/>
      <x:c r="P458" s="24"/>
      <x:c r="Q458" s="38"/>
      <x:c r="R458" s="38"/>
      <x:c r="S458" s="24"/>
      <x:c r="T458" s="24"/>
      <x:c r="U458" s="37" t="str">
        <x:f>IF(OR(J458="",Q458="",R458=""),"",J458&amp;"|"&amp;Q458&amp;"|"&amp;R458)</x:f>
      </x:c>
      <x:c r="V458" s="24"/>
      <x:c r="W458" s="24"/>
      <x:c r="X458" s="40"/>
      <x:c r="Y458" s="40"/>
      <x:c r="Z458" s="39"/>
      <x:c r="AA458" s="39"/>
      <x:c r="AB458" s="24"/>
    </x:row>
    <x:row r="459" ht="23" customHeight="1">
      <x:c r="A459" s="20"/>
      <x:c r="B459" s="5"/>
      <x:c r="C459" s="4"/>
      <x:c r="D459" s="34" t="str">
        <x:f>IF(OR(A459="",U459="",COUNTIF('Project codes'!$A$7:$A$106,U459)&lt;&gt;1),"",_xlfn.XLOOKUP(U459,'Project codes'!$A$7:$A$106,'Project codes'!$I$7:$I$106,"",0))</x:f>
      </x:c>
      <x:c r="E459" s="4"/>
      <x:c r="F459" s="35" t="str">
        <x:f>IF(AND(ISNUMBER(N459),N459&gt;=0,O459="Complete"),N459/3600000,"")</x:f>
      </x:c>
      <x:c r="G459" s="4"/>
      <x:c r="H459" s="4"/>
      <x:c r="I459" s="36" t="str">
        <x:f>IF(COUNTA(A459:C459,E459,G459:H459,J459:T459,V459:AB459)=0,"",IF(A459="","Review: missing entry ID",IF(COUNTIF($A$7:$A$506,A459)&gt;1,"Review: duplicate entry ID",IF(NOT(ISNUMBER(B459)),"Review: work date",IF(OR(C459="",E459="",K459="",M459="",H459=""),"Review: source details",IF(J459&lt;&gt;'Estimate review'!$J$5,"Review: project scope",IF(OR(NOT(ISNUMBER(N459)),N459&lt;0,O459&lt;&gt;"Complete"),"Review: duration",IF(S459&lt;&gt;"Coded","Review: coding status",IF(OR(U459="",COUNTIF('Project codes'!$A$7:$A$106,U459)=0),"Review: SOW mapping",IF(COUNTIF('Project codes'!$A$7:$A$106,U459)&gt;1,"Review: duplicate code",IF(_xlfn.XLOOKUP(U459,'Project codes'!$A$7:$A$106,'Project codes'!$F$7:$F$106,"Review",0)="Hold","Review: allocation hold",IF(OR(D459="",COUNTIF('SOW register'!$A$7:$A$36,D459)&lt;&gt;1),"Review: SOW mapping",IF(AND(G459&lt;&gt;"Yes",G459&lt;&gt;"No"),"Review: billability",IF(AB459="","Review: billing evidence","OK"))))))))))))))</x:f>
      </x:c>
      <x:c r="J459" s="24"/>
      <x:c r="K459" s="38"/>
      <x:c r="L459" s="38"/>
      <x:c r="M459" s="38"/>
      <x:c r="N459" s="39"/>
      <x:c r="O459" s="24"/>
      <x:c r="P459" s="24"/>
      <x:c r="Q459" s="38"/>
      <x:c r="R459" s="38"/>
      <x:c r="S459" s="24"/>
      <x:c r="T459" s="24"/>
      <x:c r="U459" s="37" t="str">
        <x:f>IF(OR(J459="",Q459="",R459=""),"",J459&amp;"|"&amp;Q459&amp;"|"&amp;R459)</x:f>
      </x:c>
      <x:c r="V459" s="24"/>
      <x:c r="W459" s="24"/>
      <x:c r="X459" s="40"/>
      <x:c r="Y459" s="40"/>
      <x:c r="Z459" s="39"/>
      <x:c r="AA459" s="39"/>
      <x:c r="AB459" s="24"/>
    </x:row>
    <x:row r="460" ht="23" customHeight="1">
      <x:c r="A460" s="20"/>
      <x:c r="B460" s="5"/>
      <x:c r="C460" s="4"/>
      <x:c r="D460" s="34" t="str">
        <x:f>IF(OR(A460="",U460="",COUNTIF('Project codes'!$A$7:$A$106,U460)&lt;&gt;1),"",_xlfn.XLOOKUP(U460,'Project codes'!$A$7:$A$106,'Project codes'!$I$7:$I$106,"",0))</x:f>
      </x:c>
      <x:c r="E460" s="4"/>
      <x:c r="F460" s="35" t="str">
        <x:f>IF(AND(ISNUMBER(N460),N460&gt;=0,O460="Complete"),N460/3600000,"")</x:f>
      </x:c>
      <x:c r="G460" s="4"/>
      <x:c r="H460" s="4"/>
      <x:c r="I460" s="36" t="str">
        <x:f>IF(COUNTA(A460:C460,E460,G460:H460,J460:T460,V460:AB460)=0,"",IF(A460="","Review: missing entry ID",IF(COUNTIF($A$7:$A$506,A460)&gt;1,"Review: duplicate entry ID",IF(NOT(ISNUMBER(B460)),"Review: work date",IF(OR(C460="",E460="",K460="",M460="",H460=""),"Review: source details",IF(J460&lt;&gt;'Estimate review'!$J$5,"Review: project scope",IF(OR(NOT(ISNUMBER(N460)),N460&lt;0,O460&lt;&gt;"Complete"),"Review: duration",IF(S460&lt;&gt;"Coded","Review: coding status",IF(OR(U460="",COUNTIF('Project codes'!$A$7:$A$106,U460)=0),"Review: SOW mapping",IF(COUNTIF('Project codes'!$A$7:$A$106,U460)&gt;1,"Review: duplicate code",IF(_xlfn.XLOOKUP(U460,'Project codes'!$A$7:$A$106,'Project codes'!$F$7:$F$106,"Review",0)="Hold","Review: allocation hold",IF(OR(D460="",COUNTIF('SOW register'!$A$7:$A$36,D460)&lt;&gt;1),"Review: SOW mapping",IF(AND(G460&lt;&gt;"Yes",G460&lt;&gt;"No"),"Review: billability",IF(AB460="","Review: billing evidence","OK"))))))))))))))</x:f>
      </x:c>
      <x:c r="J460" s="24"/>
      <x:c r="K460" s="38"/>
      <x:c r="L460" s="38"/>
      <x:c r="M460" s="38"/>
      <x:c r="N460" s="39"/>
      <x:c r="O460" s="24"/>
      <x:c r="P460" s="24"/>
      <x:c r="Q460" s="38"/>
      <x:c r="R460" s="38"/>
      <x:c r="S460" s="24"/>
      <x:c r="T460" s="24"/>
      <x:c r="U460" s="37" t="str">
        <x:f>IF(OR(J460="",Q460="",R460=""),"",J460&amp;"|"&amp;Q460&amp;"|"&amp;R460)</x:f>
      </x:c>
      <x:c r="V460" s="24"/>
      <x:c r="W460" s="24"/>
      <x:c r="X460" s="40"/>
      <x:c r="Y460" s="40"/>
      <x:c r="Z460" s="39"/>
      <x:c r="AA460" s="39"/>
      <x:c r="AB460" s="24"/>
    </x:row>
    <x:row r="461" ht="23" customHeight="1">
      <x:c r="A461" s="20"/>
      <x:c r="B461" s="5"/>
      <x:c r="C461" s="4"/>
      <x:c r="D461" s="34" t="str">
        <x:f>IF(OR(A461="",U461="",COUNTIF('Project codes'!$A$7:$A$106,U461)&lt;&gt;1),"",_xlfn.XLOOKUP(U461,'Project codes'!$A$7:$A$106,'Project codes'!$I$7:$I$106,"",0))</x:f>
      </x:c>
      <x:c r="E461" s="4"/>
      <x:c r="F461" s="35" t="str">
        <x:f>IF(AND(ISNUMBER(N461),N461&gt;=0,O461="Complete"),N461/3600000,"")</x:f>
      </x:c>
      <x:c r="G461" s="4"/>
      <x:c r="H461" s="4"/>
      <x:c r="I461" s="36" t="str">
        <x:f>IF(COUNTA(A461:C461,E461,G461:H461,J461:T461,V461:AB461)=0,"",IF(A461="","Review: missing entry ID",IF(COUNTIF($A$7:$A$506,A461)&gt;1,"Review: duplicate entry ID",IF(NOT(ISNUMBER(B461)),"Review: work date",IF(OR(C461="",E461="",K461="",M461="",H461=""),"Review: source details",IF(J461&lt;&gt;'Estimate review'!$J$5,"Review: project scope",IF(OR(NOT(ISNUMBER(N461)),N461&lt;0,O461&lt;&gt;"Complete"),"Review: duration",IF(S461&lt;&gt;"Coded","Review: coding status",IF(OR(U461="",COUNTIF('Project codes'!$A$7:$A$106,U461)=0),"Review: SOW mapping",IF(COUNTIF('Project codes'!$A$7:$A$106,U461)&gt;1,"Review: duplicate code",IF(_xlfn.XLOOKUP(U461,'Project codes'!$A$7:$A$106,'Project codes'!$F$7:$F$106,"Review",0)="Hold","Review: allocation hold",IF(OR(D461="",COUNTIF('SOW register'!$A$7:$A$36,D461)&lt;&gt;1),"Review: SOW mapping",IF(AND(G461&lt;&gt;"Yes",G461&lt;&gt;"No"),"Review: billability",IF(AB461="","Review: billing evidence","OK"))))))))))))))</x:f>
      </x:c>
      <x:c r="J461" s="24"/>
      <x:c r="K461" s="38"/>
      <x:c r="L461" s="38"/>
      <x:c r="M461" s="38"/>
      <x:c r="N461" s="39"/>
      <x:c r="O461" s="24"/>
      <x:c r="P461" s="24"/>
      <x:c r="Q461" s="38"/>
      <x:c r="R461" s="38"/>
      <x:c r="S461" s="24"/>
      <x:c r="T461" s="24"/>
      <x:c r="U461" s="37" t="str">
        <x:f>IF(OR(J461="",Q461="",R461=""),"",J461&amp;"|"&amp;Q461&amp;"|"&amp;R461)</x:f>
      </x:c>
      <x:c r="V461" s="24"/>
      <x:c r="W461" s="24"/>
      <x:c r="X461" s="40"/>
      <x:c r="Y461" s="40"/>
      <x:c r="Z461" s="39"/>
      <x:c r="AA461" s="39"/>
      <x:c r="AB461" s="24"/>
    </x:row>
    <x:row r="462" ht="23" customHeight="1">
      <x:c r="A462" s="20"/>
      <x:c r="B462" s="5"/>
      <x:c r="C462" s="4"/>
      <x:c r="D462" s="34" t="str">
        <x:f>IF(OR(A462="",U462="",COUNTIF('Project codes'!$A$7:$A$106,U462)&lt;&gt;1),"",_xlfn.XLOOKUP(U462,'Project codes'!$A$7:$A$106,'Project codes'!$I$7:$I$106,"",0))</x:f>
      </x:c>
      <x:c r="E462" s="4"/>
      <x:c r="F462" s="35" t="str">
        <x:f>IF(AND(ISNUMBER(N462),N462&gt;=0,O462="Complete"),N462/3600000,"")</x:f>
      </x:c>
      <x:c r="G462" s="4"/>
      <x:c r="H462" s="4"/>
      <x:c r="I462" s="36" t="str">
        <x:f>IF(COUNTA(A462:C462,E462,G462:H462,J462:T462,V462:AB462)=0,"",IF(A462="","Review: missing entry ID",IF(COUNTIF($A$7:$A$506,A462)&gt;1,"Review: duplicate entry ID",IF(NOT(ISNUMBER(B462)),"Review: work date",IF(OR(C462="",E462="",K462="",M462="",H462=""),"Review: source details",IF(J462&lt;&gt;'Estimate review'!$J$5,"Review: project scope",IF(OR(NOT(ISNUMBER(N462)),N462&lt;0,O462&lt;&gt;"Complete"),"Review: duration",IF(S462&lt;&gt;"Coded","Review: coding status",IF(OR(U462="",COUNTIF('Project codes'!$A$7:$A$106,U462)=0),"Review: SOW mapping",IF(COUNTIF('Project codes'!$A$7:$A$106,U462)&gt;1,"Review: duplicate code",IF(_xlfn.XLOOKUP(U462,'Project codes'!$A$7:$A$106,'Project codes'!$F$7:$F$106,"Review",0)="Hold","Review: allocation hold",IF(OR(D462="",COUNTIF('SOW register'!$A$7:$A$36,D462)&lt;&gt;1),"Review: SOW mapping",IF(AND(G462&lt;&gt;"Yes",G462&lt;&gt;"No"),"Review: billability",IF(AB462="","Review: billing evidence","OK"))))))))))))))</x:f>
      </x:c>
      <x:c r="J462" s="24"/>
      <x:c r="K462" s="38"/>
      <x:c r="L462" s="38"/>
      <x:c r="M462" s="38"/>
      <x:c r="N462" s="39"/>
      <x:c r="O462" s="24"/>
      <x:c r="P462" s="24"/>
      <x:c r="Q462" s="38"/>
      <x:c r="R462" s="38"/>
      <x:c r="S462" s="24"/>
      <x:c r="T462" s="24"/>
      <x:c r="U462" s="37" t="str">
        <x:f>IF(OR(J462="",Q462="",R462=""),"",J462&amp;"|"&amp;Q462&amp;"|"&amp;R462)</x:f>
      </x:c>
      <x:c r="V462" s="24"/>
      <x:c r="W462" s="24"/>
      <x:c r="X462" s="40"/>
      <x:c r="Y462" s="40"/>
      <x:c r="Z462" s="39"/>
      <x:c r="AA462" s="39"/>
      <x:c r="AB462" s="24"/>
    </x:row>
    <x:row r="463" ht="23" customHeight="1">
      <x:c r="A463" s="20"/>
      <x:c r="B463" s="5"/>
      <x:c r="C463" s="4"/>
      <x:c r="D463" s="34" t="str">
        <x:f>IF(OR(A463="",U463="",COUNTIF('Project codes'!$A$7:$A$106,U463)&lt;&gt;1),"",_xlfn.XLOOKUP(U463,'Project codes'!$A$7:$A$106,'Project codes'!$I$7:$I$106,"",0))</x:f>
      </x:c>
      <x:c r="E463" s="4"/>
      <x:c r="F463" s="35" t="str">
        <x:f>IF(AND(ISNUMBER(N463),N463&gt;=0,O463="Complete"),N463/3600000,"")</x:f>
      </x:c>
      <x:c r="G463" s="4"/>
      <x:c r="H463" s="4"/>
      <x:c r="I463" s="36" t="str">
        <x:f>IF(COUNTA(A463:C463,E463,G463:H463,J463:T463,V463:AB463)=0,"",IF(A463="","Review: missing entry ID",IF(COUNTIF($A$7:$A$506,A463)&gt;1,"Review: duplicate entry ID",IF(NOT(ISNUMBER(B463)),"Review: work date",IF(OR(C463="",E463="",K463="",M463="",H463=""),"Review: source details",IF(J463&lt;&gt;'Estimate review'!$J$5,"Review: project scope",IF(OR(NOT(ISNUMBER(N463)),N463&lt;0,O463&lt;&gt;"Complete"),"Review: duration",IF(S463&lt;&gt;"Coded","Review: coding status",IF(OR(U463="",COUNTIF('Project codes'!$A$7:$A$106,U463)=0),"Review: SOW mapping",IF(COUNTIF('Project codes'!$A$7:$A$106,U463)&gt;1,"Review: duplicate code",IF(_xlfn.XLOOKUP(U463,'Project codes'!$A$7:$A$106,'Project codes'!$F$7:$F$106,"Review",0)="Hold","Review: allocation hold",IF(OR(D463="",COUNTIF('SOW register'!$A$7:$A$36,D463)&lt;&gt;1),"Review: SOW mapping",IF(AND(G463&lt;&gt;"Yes",G463&lt;&gt;"No"),"Review: billability",IF(AB463="","Review: billing evidence","OK"))))))))))))))</x:f>
      </x:c>
      <x:c r="J463" s="24"/>
      <x:c r="K463" s="38"/>
      <x:c r="L463" s="38"/>
      <x:c r="M463" s="38"/>
      <x:c r="N463" s="39"/>
      <x:c r="O463" s="24"/>
      <x:c r="P463" s="24"/>
      <x:c r="Q463" s="38"/>
      <x:c r="R463" s="38"/>
      <x:c r="S463" s="24"/>
      <x:c r="T463" s="24"/>
      <x:c r="U463" s="37" t="str">
        <x:f>IF(OR(J463="",Q463="",R463=""),"",J463&amp;"|"&amp;Q463&amp;"|"&amp;R463)</x:f>
      </x:c>
      <x:c r="V463" s="24"/>
      <x:c r="W463" s="24"/>
      <x:c r="X463" s="40"/>
      <x:c r="Y463" s="40"/>
      <x:c r="Z463" s="39"/>
      <x:c r="AA463" s="39"/>
      <x:c r="AB463" s="24"/>
    </x:row>
    <x:row r="464" ht="23" customHeight="1">
      <x:c r="A464" s="20"/>
      <x:c r="B464" s="5"/>
      <x:c r="C464" s="4"/>
      <x:c r="D464" s="34" t="str">
        <x:f>IF(OR(A464="",U464="",COUNTIF('Project codes'!$A$7:$A$106,U464)&lt;&gt;1),"",_xlfn.XLOOKUP(U464,'Project codes'!$A$7:$A$106,'Project codes'!$I$7:$I$106,"",0))</x:f>
      </x:c>
      <x:c r="E464" s="4"/>
      <x:c r="F464" s="35" t="str">
        <x:f>IF(AND(ISNUMBER(N464),N464&gt;=0,O464="Complete"),N464/3600000,"")</x:f>
      </x:c>
      <x:c r="G464" s="4"/>
      <x:c r="H464" s="4"/>
      <x:c r="I464" s="36" t="str">
        <x:f>IF(COUNTA(A464:C464,E464,G464:H464,J464:T464,V464:AB464)=0,"",IF(A464="","Review: missing entry ID",IF(COUNTIF($A$7:$A$506,A464)&gt;1,"Review: duplicate entry ID",IF(NOT(ISNUMBER(B464)),"Review: work date",IF(OR(C464="",E464="",K464="",M464="",H464=""),"Review: source details",IF(J464&lt;&gt;'Estimate review'!$J$5,"Review: project scope",IF(OR(NOT(ISNUMBER(N464)),N464&lt;0,O464&lt;&gt;"Complete"),"Review: duration",IF(S464&lt;&gt;"Coded","Review: coding status",IF(OR(U464="",COUNTIF('Project codes'!$A$7:$A$106,U464)=0),"Review: SOW mapping",IF(COUNTIF('Project codes'!$A$7:$A$106,U464)&gt;1,"Review: duplicate code",IF(_xlfn.XLOOKUP(U464,'Project codes'!$A$7:$A$106,'Project codes'!$F$7:$F$106,"Review",0)="Hold","Review: allocation hold",IF(OR(D464="",COUNTIF('SOW register'!$A$7:$A$36,D464)&lt;&gt;1),"Review: SOW mapping",IF(AND(G464&lt;&gt;"Yes",G464&lt;&gt;"No"),"Review: billability",IF(AB464="","Review: billing evidence","OK"))))))))))))))</x:f>
      </x:c>
      <x:c r="J464" s="24"/>
      <x:c r="K464" s="38"/>
      <x:c r="L464" s="38"/>
      <x:c r="M464" s="38"/>
      <x:c r="N464" s="39"/>
      <x:c r="O464" s="24"/>
      <x:c r="P464" s="24"/>
      <x:c r="Q464" s="38"/>
      <x:c r="R464" s="38"/>
      <x:c r="S464" s="24"/>
      <x:c r="T464" s="24"/>
      <x:c r="U464" s="37" t="str">
        <x:f>IF(OR(J464="",Q464="",R464=""),"",J464&amp;"|"&amp;Q464&amp;"|"&amp;R464)</x:f>
      </x:c>
      <x:c r="V464" s="24"/>
      <x:c r="W464" s="24"/>
      <x:c r="X464" s="40"/>
      <x:c r="Y464" s="40"/>
      <x:c r="Z464" s="39"/>
      <x:c r="AA464" s="39"/>
      <x:c r="AB464" s="24"/>
    </x:row>
    <x:row r="465" ht="23" customHeight="1">
      <x:c r="A465" s="20"/>
      <x:c r="B465" s="5"/>
      <x:c r="C465" s="4"/>
      <x:c r="D465" s="34" t="str">
        <x:f>IF(OR(A465="",U465="",COUNTIF('Project codes'!$A$7:$A$106,U465)&lt;&gt;1),"",_xlfn.XLOOKUP(U465,'Project codes'!$A$7:$A$106,'Project codes'!$I$7:$I$106,"",0))</x:f>
      </x:c>
      <x:c r="E465" s="4"/>
      <x:c r="F465" s="35" t="str">
        <x:f>IF(AND(ISNUMBER(N465),N465&gt;=0,O465="Complete"),N465/3600000,"")</x:f>
      </x:c>
      <x:c r="G465" s="4"/>
      <x:c r="H465" s="4"/>
      <x:c r="I465" s="36" t="str">
        <x:f>IF(COUNTA(A465:C465,E465,G465:H465,J465:T465,V465:AB465)=0,"",IF(A465="","Review: missing entry ID",IF(COUNTIF($A$7:$A$506,A465)&gt;1,"Review: duplicate entry ID",IF(NOT(ISNUMBER(B465)),"Review: work date",IF(OR(C465="",E465="",K465="",M465="",H465=""),"Review: source details",IF(J465&lt;&gt;'Estimate review'!$J$5,"Review: project scope",IF(OR(NOT(ISNUMBER(N465)),N465&lt;0,O465&lt;&gt;"Complete"),"Review: duration",IF(S465&lt;&gt;"Coded","Review: coding status",IF(OR(U465="",COUNTIF('Project codes'!$A$7:$A$106,U465)=0),"Review: SOW mapping",IF(COUNTIF('Project codes'!$A$7:$A$106,U465)&gt;1,"Review: duplicate code",IF(_xlfn.XLOOKUP(U465,'Project codes'!$A$7:$A$106,'Project codes'!$F$7:$F$106,"Review",0)="Hold","Review: allocation hold",IF(OR(D465="",COUNTIF('SOW register'!$A$7:$A$36,D465)&lt;&gt;1),"Review: SOW mapping",IF(AND(G465&lt;&gt;"Yes",G465&lt;&gt;"No"),"Review: billability",IF(AB465="","Review: billing evidence","OK"))))))))))))))</x:f>
      </x:c>
      <x:c r="J465" s="24"/>
      <x:c r="K465" s="38"/>
      <x:c r="L465" s="38"/>
      <x:c r="M465" s="38"/>
      <x:c r="N465" s="39"/>
      <x:c r="O465" s="24"/>
      <x:c r="P465" s="24"/>
      <x:c r="Q465" s="38"/>
      <x:c r="R465" s="38"/>
      <x:c r="S465" s="24"/>
      <x:c r="T465" s="24"/>
      <x:c r="U465" s="37" t="str">
        <x:f>IF(OR(J465="",Q465="",R465=""),"",J465&amp;"|"&amp;Q465&amp;"|"&amp;R465)</x:f>
      </x:c>
      <x:c r="V465" s="24"/>
      <x:c r="W465" s="24"/>
      <x:c r="X465" s="40"/>
      <x:c r="Y465" s="40"/>
      <x:c r="Z465" s="39"/>
      <x:c r="AA465" s="39"/>
      <x:c r="AB465" s="24"/>
    </x:row>
    <x:row r="466" ht="23" customHeight="1">
      <x:c r="A466" s="20"/>
      <x:c r="B466" s="5"/>
      <x:c r="C466" s="4"/>
      <x:c r="D466" s="34" t="str">
        <x:f>IF(OR(A466="",U466="",COUNTIF('Project codes'!$A$7:$A$106,U466)&lt;&gt;1),"",_xlfn.XLOOKUP(U466,'Project codes'!$A$7:$A$106,'Project codes'!$I$7:$I$106,"",0))</x:f>
      </x:c>
      <x:c r="E466" s="4"/>
      <x:c r="F466" s="35" t="str">
        <x:f>IF(AND(ISNUMBER(N466),N466&gt;=0,O466="Complete"),N466/3600000,"")</x:f>
      </x:c>
      <x:c r="G466" s="4"/>
      <x:c r="H466" s="4"/>
      <x:c r="I466" s="36" t="str">
        <x:f>IF(COUNTA(A466:C466,E466,G466:H466,J466:T466,V466:AB466)=0,"",IF(A466="","Review: missing entry ID",IF(COUNTIF($A$7:$A$506,A466)&gt;1,"Review: duplicate entry ID",IF(NOT(ISNUMBER(B466)),"Review: work date",IF(OR(C466="",E466="",K466="",M466="",H466=""),"Review: source details",IF(J466&lt;&gt;'Estimate review'!$J$5,"Review: project scope",IF(OR(NOT(ISNUMBER(N466)),N466&lt;0,O466&lt;&gt;"Complete"),"Review: duration",IF(S466&lt;&gt;"Coded","Review: coding status",IF(OR(U466="",COUNTIF('Project codes'!$A$7:$A$106,U466)=0),"Review: SOW mapping",IF(COUNTIF('Project codes'!$A$7:$A$106,U466)&gt;1,"Review: duplicate code",IF(_xlfn.XLOOKUP(U466,'Project codes'!$A$7:$A$106,'Project codes'!$F$7:$F$106,"Review",0)="Hold","Review: allocation hold",IF(OR(D466="",COUNTIF('SOW register'!$A$7:$A$36,D466)&lt;&gt;1),"Review: SOW mapping",IF(AND(G466&lt;&gt;"Yes",G466&lt;&gt;"No"),"Review: billability",IF(AB466="","Review: billing evidence","OK"))))))))))))))</x:f>
      </x:c>
      <x:c r="J466" s="24"/>
      <x:c r="K466" s="38"/>
      <x:c r="L466" s="38"/>
      <x:c r="M466" s="38"/>
      <x:c r="N466" s="39"/>
      <x:c r="O466" s="24"/>
      <x:c r="P466" s="24"/>
      <x:c r="Q466" s="38"/>
      <x:c r="R466" s="38"/>
      <x:c r="S466" s="24"/>
      <x:c r="T466" s="24"/>
      <x:c r="U466" s="37" t="str">
        <x:f>IF(OR(J466="",Q466="",R466=""),"",J466&amp;"|"&amp;Q466&amp;"|"&amp;R466)</x:f>
      </x:c>
      <x:c r="V466" s="24"/>
      <x:c r="W466" s="24"/>
      <x:c r="X466" s="40"/>
      <x:c r="Y466" s="40"/>
      <x:c r="Z466" s="39"/>
      <x:c r="AA466" s="39"/>
      <x:c r="AB466" s="24"/>
    </x:row>
    <x:row r="467" ht="23" customHeight="1">
      <x:c r="A467" s="20"/>
      <x:c r="B467" s="5"/>
      <x:c r="C467" s="4"/>
      <x:c r="D467" s="34" t="str">
        <x:f>IF(OR(A467="",U467="",COUNTIF('Project codes'!$A$7:$A$106,U467)&lt;&gt;1),"",_xlfn.XLOOKUP(U467,'Project codes'!$A$7:$A$106,'Project codes'!$I$7:$I$106,"",0))</x:f>
      </x:c>
      <x:c r="E467" s="4"/>
      <x:c r="F467" s="35" t="str">
        <x:f>IF(AND(ISNUMBER(N467),N467&gt;=0,O467="Complete"),N467/3600000,"")</x:f>
      </x:c>
      <x:c r="G467" s="4"/>
      <x:c r="H467" s="4"/>
      <x:c r="I467" s="36" t="str">
        <x:f>IF(COUNTA(A467:C467,E467,G467:H467,J467:T467,V467:AB467)=0,"",IF(A467="","Review: missing entry ID",IF(COUNTIF($A$7:$A$506,A467)&gt;1,"Review: duplicate entry ID",IF(NOT(ISNUMBER(B467)),"Review: work date",IF(OR(C467="",E467="",K467="",M467="",H467=""),"Review: source details",IF(J467&lt;&gt;'Estimate review'!$J$5,"Review: project scope",IF(OR(NOT(ISNUMBER(N467)),N467&lt;0,O467&lt;&gt;"Complete"),"Review: duration",IF(S467&lt;&gt;"Coded","Review: coding status",IF(OR(U467="",COUNTIF('Project codes'!$A$7:$A$106,U467)=0),"Review: SOW mapping",IF(COUNTIF('Project codes'!$A$7:$A$106,U467)&gt;1,"Review: duplicate code",IF(_xlfn.XLOOKUP(U467,'Project codes'!$A$7:$A$106,'Project codes'!$F$7:$F$106,"Review",0)="Hold","Review: allocation hold",IF(OR(D467="",COUNTIF('SOW register'!$A$7:$A$36,D467)&lt;&gt;1),"Review: SOW mapping",IF(AND(G467&lt;&gt;"Yes",G467&lt;&gt;"No"),"Review: billability",IF(AB467="","Review: billing evidence","OK"))))))))))))))</x:f>
      </x:c>
      <x:c r="J467" s="24"/>
      <x:c r="K467" s="38"/>
      <x:c r="L467" s="38"/>
      <x:c r="M467" s="38"/>
      <x:c r="N467" s="39"/>
      <x:c r="O467" s="24"/>
      <x:c r="P467" s="24"/>
      <x:c r="Q467" s="38"/>
      <x:c r="R467" s="38"/>
      <x:c r="S467" s="24"/>
      <x:c r="T467" s="24"/>
      <x:c r="U467" s="37" t="str">
        <x:f>IF(OR(J467="",Q467="",R467=""),"",J467&amp;"|"&amp;Q467&amp;"|"&amp;R467)</x:f>
      </x:c>
      <x:c r="V467" s="24"/>
      <x:c r="W467" s="24"/>
      <x:c r="X467" s="40"/>
      <x:c r="Y467" s="40"/>
      <x:c r="Z467" s="39"/>
      <x:c r="AA467" s="39"/>
      <x:c r="AB467" s="24"/>
    </x:row>
    <x:row r="468" ht="23" customHeight="1">
      <x:c r="A468" s="20"/>
      <x:c r="B468" s="5"/>
      <x:c r="C468" s="4"/>
      <x:c r="D468" s="34" t="str">
        <x:f>IF(OR(A468="",U468="",COUNTIF('Project codes'!$A$7:$A$106,U468)&lt;&gt;1),"",_xlfn.XLOOKUP(U468,'Project codes'!$A$7:$A$106,'Project codes'!$I$7:$I$106,"",0))</x:f>
      </x:c>
      <x:c r="E468" s="4"/>
      <x:c r="F468" s="35" t="str">
        <x:f>IF(AND(ISNUMBER(N468),N468&gt;=0,O468="Complete"),N468/3600000,"")</x:f>
      </x:c>
      <x:c r="G468" s="4"/>
      <x:c r="H468" s="4"/>
      <x:c r="I468" s="36" t="str">
        <x:f>IF(COUNTA(A468:C468,E468,G468:H468,J468:T468,V468:AB468)=0,"",IF(A468="","Review: missing entry ID",IF(COUNTIF($A$7:$A$506,A468)&gt;1,"Review: duplicate entry ID",IF(NOT(ISNUMBER(B468)),"Review: work date",IF(OR(C468="",E468="",K468="",M468="",H468=""),"Review: source details",IF(J468&lt;&gt;'Estimate review'!$J$5,"Review: project scope",IF(OR(NOT(ISNUMBER(N468)),N468&lt;0,O468&lt;&gt;"Complete"),"Review: duration",IF(S468&lt;&gt;"Coded","Review: coding status",IF(OR(U468="",COUNTIF('Project codes'!$A$7:$A$106,U468)=0),"Review: SOW mapping",IF(COUNTIF('Project codes'!$A$7:$A$106,U468)&gt;1,"Review: duplicate code",IF(_xlfn.XLOOKUP(U468,'Project codes'!$A$7:$A$106,'Project codes'!$F$7:$F$106,"Review",0)="Hold","Review: allocation hold",IF(OR(D468="",COUNTIF('SOW register'!$A$7:$A$36,D468)&lt;&gt;1),"Review: SOW mapping",IF(AND(G468&lt;&gt;"Yes",G468&lt;&gt;"No"),"Review: billability",IF(AB468="","Review: billing evidence","OK"))))))))))))))</x:f>
      </x:c>
      <x:c r="J468" s="24"/>
      <x:c r="K468" s="38"/>
      <x:c r="L468" s="38"/>
      <x:c r="M468" s="38"/>
      <x:c r="N468" s="39"/>
      <x:c r="O468" s="24"/>
      <x:c r="P468" s="24"/>
      <x:c r="Q468" s="38"/>
      <x:c r="R468" s="38"/>
      <x:c r="S468" s="24"/>
      <x:c r="T468" s="24"/>
      <x:c r="U468" s="37" t="str">
        <x:f>IF(OR(J468="",Q468="",R468=""),"",J468&amp;"|"&amp;Q468&amp;"|"&amp;R468)</x:f>
      </x:c>
      <x:c r="V468" s="24"/>
      <x:c r="W468" s="24"/>
      <x:c r="X468" s="40"/>
      <x:c r="Y468" s="40"/>
      <x:c r="Z468" s="39"/>
      <x:c r="AA468" s="39"/>
      <x:c r="AB468" s="24"/>
    </x:row>
    <x:row r="469" ht="23" customHeight="1">
      <x:c r="A469" s="20"/>
      <x:c r="B469" s="5"/>
      <x:c r="C469" s="4"/>
      <x:c r="D469" s="34" t="str">
        <x:f>IF(OR(A469="",U469="",COUNTIF('Project codes'!$A$7:$A$106,U469)&lt;&gt;1),"",_xlfn.XLOOKUP(U469,'Project codes'!$A$7:$A$106,'Project codes'!$I$7:$I$106,"",0))</x:f>
      </x:c>
      <x:c r="E469" s="4"/>
      <x:c r="F469" s="35" t="str">
        <x:f>IF(AND(ISNUMBER(N469),N469&gt;=0,O469="Complete"),N469/3600000,"")</x:f>
      </x:c>
      <x:c r="G469" s="4"/>
      <x:c r="H469" s="4"/>
      <x:c r="I469" s="36" t="str">
        <x:f>IF(COUNTA(A469:C469,E469,G469:H469,J469:T469,V469:AB469)=0,"",IF(A469="","Review: missing entry ID",IF(COUNTIF($A$7:$A$506,A469)&gt;1,"Review: duplicate entry ID",IF(NOT(ISNUMBER(B469)),"Review: work date",IF(OR(C469="",E469="",K469="",M469="",H469=""),"Review: source details",IF(J469&lt;&gt;'Estimate review'!$J$5,"Review: project scope",IF(OR(NOT(ISNUMBER(N469)),N469&lt;0,O469&lt;&gt;"Complete"),"Review: duration",IF(S469&lt;&gt;"Coded","Review: coding status",IF(OR(U469="",COUNTIF('Project codes'!$A$7:$A$106,U469)=0),"Review: SOW mapping",IF(COUNTIF('Project codes'!$A$7:$A$106,U469)&gt;1,"Review: duplicate code",IF(_xlfn.XLOOKUP(U469,'Project codes'!$A$7:$A$106,'Project codes'!$F$7:$F$106,"Review",0)="Hold","Review: allocation hold",IF(OR(D469="",COUNTIF('SOW register'!$A$7:$A$36,D469)&lt;&gt;1),"Review: SOW mapping",IF(AND(G469&lt;&gt;"Yes",G469&lt;&gt;"No"),"Review: billability",IF(AB469="","Review: billing evidence","OK"))))))))))))))</x:f>
      </x:c>
      <x:c r="J469" s="24"/>
      <x:c r="K469" s="38"/>
      <x:c r="L469" s="38"/>
      <x:c r="M469" s="38"/>
      <x:c r="N469" s="39"/>
      <x:c r="O469" s="24"/>
      <x:c r="P469" s="24"/>
      <x:c r="Q469" s="38"/>
      <x:c r="R469" s="38"/>
      <x:c r="S469" s="24"/>
      <x:c r="T469" s="24"/>
      <x:c r="U469" s="37" t="str">
        <x:f>IF(OR(J469="",Q469="",R469=""),"",J469&amp;"|"&amp;Q469&amp;"|"&amp;R469)</x:f>
      </x:c>
      <x:c r="V469" s="24"/>
      <x:c r="W469" s="24"/>
      <x:c r="X469" s="40"/>
      <x:c r="Y469" s="40"/>
      <x:c r="Z469" s="39"/>
      <x:c r="AA469" s="39"/>
      <x:c r="AB469" s="24"/>
    </x:row>
    <x:row r="470" ht="23" customHeight="1">
      <x:c r="A470" s="20"/>
      <x:c r="B470" s="5"/>
      <x:c r="C470" s="4"/>
      <x:c r="D470" s="34" t="str">
        <x:f>IF(OR(A470="",U470="",COUNTIF('Project codes'!$A$7:$A$106,U470)&lt;&gt;1),"",_xlfn.XLOOKUP(U470,'Project codes'!$A$7:$A$106,'Project codes'!$I$7:$I$106,"",0))</x:f>
      </x:c>
      <x:c r="E470" s="4"/>
      <x:c r="F470" s="35" t="str">
        <x:f>IF(AND(ISNUMBER(N470),N470&gt;=0,O470="Complete"),N470/3600000,"")</x:f>
      </x:c>
      <x:c r="G470" s="4"/>
      <x:c r="H470" s="4"/>
      <x:c r="I470" s="36" t="str">
        <x:f>IF(COUNTA(A470:C470,E470,G470:H470,J470:T470,V470:AB470)=0,"",IF(A470="","Review: missing entry ID",IF(COUNTIF($A$7:$A$506,A470)&gt;1,"Review: duplicate entry ID",IF(NOT(ISNUMBER(B470)),"Review: work date",IF(OR(C470="",E470="",K470="",M470="",H470=""),"Review: source details",IF(J470&lt;&gt;'Estimate review'!$J$5,"Review: project scope",IF(OR(NOT(ISNUMBER(N470)),N470&lt;0,O470&lt;&gt;"Complete"),"Review: duration",IF(S470&lt;&gt;"Coded","Review: coding status",IF(OR(U470="",COUNTIF('Project codes'!$A$7:$A$106,U470)=0),"Review: SOW mapping",IF(COUNTIF('Project codes'!$A$7:$A$106,U470)&gt;1,"Review: duplicate code",IF(_xlfn.XLOOKUP(U470,'Project codes'!$A$7:$A$106,'Project codes'!$F$7:$F$106,"Review",0)="Hold","Review: allocation hold",IF(OR(D470="",COUNTIF('SOW register'!$A$7:$A$36,D470)&lt;&gt;1),"Review: SOW mapping",IF(AND(G470&lt;&gt;"Yes",G470&lt;&gt;"No"),"Review: billability",IF(AB470="","Review: billing evidence","OK"))))))))))))))</x:f>
      </x:c>
      <x:c r="J470" s="24"/>
      <x:c r="K470" s="38"/>
      <x:c r="L470" s="38"/>
      <x:c r="M470" s="38"/>
      <x:c r="N470" s="39"/>
      <x:c r="O470" s="24"/>
      <x:c r="P470" s="24"/>
      <x:c r="Q470" s="38"/>
      <x:c r="R470" s="38"/>
      <x:c r="S470" s="24"/>
      <x:c r="T470" s="24"/>
      <x:c r="U470" s="37" t="str">
        <x:f>IF(OR(J470="",Q470="",R470=""),"",J470&amp;"|"&amp;Q470&amp;"|"&amp;R470)</x:f>
      </x:c>
      <x:c r="V470" s="24"/>
      <x:c r="W470" s="24"/>
      <x:c r="X470" s="40"/>
      <x:c r="Y470" s="40"/>
      <x:c r="Z470" s="39"/>
      <x:c r="AA470" s="39"/>
      <x:c r="AB470" s="24"/>
    </x:row>
    <x:row r="471" ht="23" customHeight="1">
      <x:c r="A471" s="20"/>
      <x:c r="B471" s="5"/>
      <x:c r="C471" s="4"/>
      <x:c r="D471" s="34" t="str">
        <x:f>IF(OR(A471="",U471="",COUNTIF('Project codes'!$A$7:$A$106,U471)&lt;&gt;1),"",_xlfn.XLOOKUP(U471,'Project codes'!$A$7:$A$106,'Project codes'!$I$7:$I$106,"",0))</x:f>
      </x:c>
      <x:c r="E471" s="4"/>
      <x:c r="F471" s="35" t="str">
        <x:f>IF(AND(ISNUMBER(N471),N471&gt;=0,O471="Complete"),N471/3600000,"")</x:f>
      </x:c>
      <x:c r="G471" s="4"/>
      <x:c r="H471" s="4"/>
      <x:c r="I471" s="36" t="str">
        <x:f>IF(COUNTA(A471:C471,E471,G471:H471,J471:T471,V471:AB471)=0,"",IF(A471="","Review: missing entry ID",IF(COUNTIF($A$7:$A$506,A471)&gt;1,"Review: duplicate entry ID",IF(NOT(ISNUMBER(B471)),"Review: work date",IF(OR(C471="",E471="",K471="",M471="",H471=""),"Review: source details",IF(J471&lt;&gt;'Estimate review'!$J$5,"Review: project scope",IF(OR(NOT(ISNUMBER(N471)),N471&lt;0,O471&lt;&gt;"Complete"),"Review: duration",IF(S471&lt;&gt;"Coded","Review: coding status",IF(OR(U471="",COUNTIF('Project codes'!$A$7:$A$106,U471)=0),"Review: SOW mapping",IF(COUNTIF('Project codes'!$A$7:$A$106,U471)&gt;1,"Review: duplicate code",IF(_xlfn.XLOOKUP(U471,'Project codes'!$A$7:$A$106,'Project codes'!$F$7:$F$106,"Review",0)="Hold","Review: allocation hold",IF(OR(D471="",COUNTIF('SOW register'!$A$7:$A$36,D471)&lt;&gt;1),"Review: SOW mapping",IF(AND(G471&lt;&gt;"Yes",G471&lt;&gt;"No"),"Review: billability",IF(AB471="","Review: billing evidence","OK"))))))))))))))</x:f>
      </x:c>
      <x:c r="J471" s="24"/>
      <x:c r="K471" s="38"/>
      <x:c r="L471" s="38"/>
      <x:c r="M471" s="38"/>
      <x:c r="N471" s="39"/>
      <x:c r="O471" s="24"/>
      <x:c r="P471" s="24"/>
      <x:c r="Q471" s="38"/>
      <x:c r="R471" s="38"/>
      <x:c r="S471" s="24"/>
      <x:c r="T471" s="24"/>
      <x:c r="U471" s="37" t="str">
        <x:f>IF(OR(J471="",Q471="",R471=""),"",J471&amp;"|"&amp;Q471&amp;"|"&amp;R471)</x:f>
      </x:c>
      <x:c r="V471" s="24"/>
      <x:c r="W471" s="24"/>
      <x:c r="X471" s="40"/>
      <x:c r="Y471" s="40"/>
      <x:c r="Z471" s="39"/>
      <x:c r="AA471" s="39"/>
      <x:c r="AB471" s="24"/>
    </x:row>
    <x:row r="472" ht="23" customHeight="1">
      <x:c r="A472" s="20"/>
      <x:c r="B472" s="5"/>
      <x:c r="C472" s="4"/>
      <x:c r="D472" s="34" t="str">
        <x:f>IF(OR(A472="",U472="",COUNTIF('Project codes'!$A$7:$A$106,U472)&lt;&gt;1),"",_xlfn.XLOOKUP(U472,'Project codes'!$A$7:$A$106,'Project codes'!$I$7:$I$106,"",0))</x:f>
      </x:c>
      <x:c r="E472" s="4"/>
      <x:c r="F472" s="35" t="str">
        <x:f>IF(AND(ISNUMBER(N472),N472&gt;=0,O472="Complete"),N472/3600000,"")</x:f>
      </x:c>
      <x:c r="G472" s="4"/>
      <x:c r="H472" s="4"/>
      <x:c r="I472" s="36" t="str">
        <x:f>IF(COUNTA(A472:C472,E472,G472:H472,J472:T472,V472:AB472)=0,"",IF(A472="","Review: missing entry ID",IF(COUNTIF($A$7:$A$506,A472)&gt;1,"Review: duplicate entry ID",IF(NOT(ISNUMBER(B472)),"Review: work date",IF(OR(C472="",E472="",K472="",M472="",H472=""),"Review: source details",IF(J472&lt;&gt;'Estimate review'!$J$5,"Review: project scope",IF(OR(NOT(ISNUMBER(N472)),N472&lt;0,O472&lt;&gt;"Complete"),"Review: duration",IF(S472&lt;&gt;"Coded","Review: coding status",IF(OR(U472="",COUNTIF('Project codes'!$A$7:$A$106,U472)=0),"Review: SOW mapping",IF(COUNTIF('Project codes'!$A$7:$A$106,U472)&gt;1,"Review: duplicate code",IF(_xlfn.XLOOKUP(U472,'Project codes'!$A$7:$A$106,'Project codes'!$F$7:$F$106,"Review",0)="Hold","Review: allocation hold",IF(OR(D472="",COUNTIF('SOW register'!$A$7:$A$36,D472)&lt;&gt;1),"Review: SOW mapping",IF(AND(G472&lt;&gt;"Yes",G472&lt;&gt;"No"),"Review: billability",IF(AB472="","Review: billing evidence","OK"))))))))))))))</x:f>
      </x:c>
      <x:c r="J472" s="24"/>
      <x:c r="K472" s="38"/>
      <x:c r="L472" s="38"/>
      <x:c r="M472" s="38"/>
      <x:c r="N472" s="39"/>
      <x:c r="O472" s="24"/>
      <x:c r="P472" s="24"/>
      <x:c r="Q472" s="38"/>
      <x:c r="R472" s="38"/>
      <x:c r="S472" s="24"/>
      <x:c r="T472" s="24"/>
      <x:c r="U472" s="37" t="str">
        <x:f>IF(OR(J472="",Q472="",R472=""),"",J472&amp;"|"&amp;Q472&amp;"|"&amp;R472)</x:f>
      </x:c>
      <x:c r="V472" s="24"/>
      <x:c r="W472" s="24"/>
      <x:c r="X472" s="40"/>
      <x:c r="Y472" s="40"/>
      <x:c r="Z472" s="39"/>
      <x:c r="AA472" s="39"/>
      <x:c r="AB472" s="24"/>
    </x:row>
    <x:row r="473" ht="23" customHeight="1">
      <x:c r="A473" s="20"/>
      <x:c r="B473" s="5"/>
      <x:c r="C473" s="4"/>
      <x:c r="D473" s="34" t="str">
        <x:f>IF(OR(A473="",U473="",COUNTIF('Project codes'!$A$7:$A$106,U473)&lt;&gt;1),"",_xlfn.XLOOKUP(U473,'Project codes'!$A$7:$A$106,'Project codes'!$I$7:$I$106,"",0))</x:f>
      </x:c>
      <x:c r="E473" s="4"/>
      <x:c r="F473" s="35" t="str">
        <x:f>IF(AND(ISNUMBER(N473),N473&gt;=0,O473="Complete"),N473/3600000,"")</x:f>
      </x:c>
      <x:c r="G473" s="4"/>
      <x:c r="H473" s="4"/>
      <x:c r="I473" s="36" t="str">
        <x:f>IF(COUNTA(A473:C473,E473,G473:H473,J473:T473,V473:AB473)=0,"",IF(A473="","Review: missing entry ID",IF(COUNTIF($A$7:$A$506,A473)&gt;1,"Review: duplicate entry ID",IF(NOT(ISNUMBER(B473)),"Review: work date",IF(OR(C473="",E473="",K473="",M473="",H473=""),"Review: source details",IF(J473&lt;&gt;'Estimate review'!$J$5,"Review: project scope",IF(OR(NOT(ISNUMBER(N473)),N473&lt;0,O473&lt;&gt;"Complete"),"Review: duration",IF(S473&lt;&gt;"Coded","Review: coding status",IF(OR(U473="",COUNTIF('Project codes'!$A$7:$A$106,U473)=0),"Review: SOW mapping",IF(COUNTIF('Project codes'!$A$7:$A$106,U473)&gt;1,"Review: duplicate code",IF(_xlfn.XLOOKUP(U473,'Project codes'!$A$7:$A$106,'Project codes'!$F$7:$F$106,"Review",0)="Hold","Review: allocation hold",IF(OR(D473="",COUNTIF('SOW register'!$A$7:$A$36,D473)&lt;&gt;1),"Review: SOW mapping",IF(AND(G473&lt;&gt;"Yes",G473&lt;&gt;"No"),"Review: billability",IF(AB473="","Review: billing evidence","OK"))))))))))))))</x:f>
      </x:c>
      <x:c r="J473" s="24"/>
      <x:c r="K473" s="38"/>
      <x:c r="L473" s="38"/>
      <x:c r="M473" s="38"/>
      <x:c r="N473" s="39"/>
      <x:c r="O473" s="24"/>
      <x:c r="P473" s="24"/>
      <x:c r="Q473" s="38"/>
      <x:c r="R473" s="38"/>
      <x:c r="S473" s="24"/>
      <x:c r="T473" s="24"/>
      <x:c r="U473" s="37" t="str">
        <x:f>IF(OR(J473="",Q473="",R473=""),"",J473&amp;"|"&amp;Q473&amp;"|"&amp;R473)</x:f>
      </x:c>
      <x:c r="V473" s="24"/>
      <x:c r="W473" s="24"/>
      <x:c r="X473" s="40"/>
      <x:c r="Y473" s="40"/>
      <x:c r="Z473" s="39"/>
      <x:c r="AA473" s="39"/>
      <x:c r="AB473" s="24"/>
    </x:row>
    <x:row r="474" ht="23" customHeight="1">
      <x:c r="A474" s="20"/>
      <x:c r="B474" s="5"/>
      <x:c r="C474" s="4"/>
      <x:c r="D474" s="34" t="str">
        <x:f>IF(OR(A474="",U474="",COUNTIF('Project codes'!$A$7:$A$106,U474)&lt;&gt;1),"",_xlfn.XLOOKUP(U474,'Project codes'!$A$7:$A$106,'Project codes'!$I$7:$I$106,"",0))</x:f>
      </x:c>
      <x:c r="E474" s="4"/>
      <x:c r="F474" s="35" t="str">
        <x:f>IF(AND(ISNUMBER(N474),N474&gt;=0,O474="Complete"),N474/3600000,"")</x:f>
      </x:c>
      <x:c r="G474" s="4"/>
      <x:c r="H474" s="4"/>
      <x:c r="I474" s="36" t="str">
        <x:f>IF(COUNTA(A474:C474,E474,G474:H474,J474:T474,V474:AB474)=0,"",IF(A474="","Review: missing entry ID",IF(COUNTIF($A$7:$A$506,A474)&gt;1,"Review: duplicate entry ID",IF(NOT(ISNUMBER(B474)),"Review: work date",IF(OR(C474="",E474="",K474="",M474="",H474=""),"Review: source details",IF(J474&lt;&gt;'Estimate review'!$J$5,"Review: project scope",IF(OR(NOT(ISNUMBER(N474)),N474&lt;0,O474&lt;&gt;"Complete"),"Review: duration",IF(S474&lt;&gt;"Coded","Review: coding status",IF(OR(U474="",COUNTIF('Project codes'!$A$7:$A$106,U474)=0),"Review: SOW mapping",IF(COUNTIF('Project codes'!$A$7:$A$106,U474)&gt;1,"Review: duplicate code",IF(_xlfn.XLOOKUP(U474,'Project codes'!$A$7:$A$106,'Project codes'!$F$7:$F$106,"Review",0)="Hold","Review: allocation hold",IF(OR(D474="",COUNTIF('SOW register'!$A$7:$A$36,D474)&lt;&gt;1),"Review: SOW mapping",IF(AND(G474&lt;&gt;"Yes",G474&lt;&gt;"No"),"Review: billability",IF(AB474="","Review: billing evidence","OK"))))))))))))))</x:f>
      </x:c>
      <x:c r="J474" s="24"/>
      <x:c r="K474" s="38"/>
      <x:c r="L474" s="38"/>
      <x:c r="M474" s="38"/>
      <x:c r="N474" s="39"/>
      <x:c r="O474" s="24"/>
      <x:c r="P474" s="24"/>
      <x:c r="Q474" s="38"/>
      <x:c r="R474" s="38"/>
      <x:c r="S474" s="24"/>
      <x:c r="T474" s="24"/>
      <x:c r="U474" s="37" t="str">
        <x:f>IF(OR(J474="",Q474="",R474=""),"",J474&amp;"|"&amp;Q474&amp;"|"&amp;R474)</x:f>
      </x:c>
      <x:c r="V474" s="24"/>
      <x:c r="W474" s="24"/>
      <x:c r="X474" s="40"/>
      <x:c r="Y474" s="40"/>
      <x:c r="Z474" s="39"/>
      <x:c r="AA474" s="39"/>
      <x:c r="AB474" s="24"/>
    </x:row>
    <x:row r="475" ht="23" customHeight="1">
      <x:c r="A475" s="20"/>
      <x:c r="B475" s="5"/>
      <x:c r="C475" s="4"/>
      <x:c r="D475" s="34" t="str">
        <x:f>IF(OR(A475="",U475="",COUNTIF('Project codes'!$A$7:$A$106,U475)&lt;&gt;1),"",_xlfn.XLOOKUP(U475,'Project codes'!$A$7:$A$106,'Project codes'!$I$7:$I$106,"",0))</x:f>
      </x:c>
      <x:c r="E475" s="4"/>
      <x:c r="F475" s="35" t="str">
        <x:f>IF(AND(ISNUMBER(N475),N475&gt;=0,O475="Complete"),N475/3600000,"")</x:f>
      </x:c>
      <x:c r="G475" s="4"/>
      <x:c r="H475" s="4"/>
      <x:c r="I475" s="36" t="str">
        <x:f>IF(COUNTA(A475:C475,E475,G475:H475,J475:T475,V475:AB475)=0,"",IF(A475="","Review: missing entry ID",IF(COUNTIF($A$7:$A$506,A475)&gt;1,"Review: duplicate entry ID",IF(NOT(ISNUMBER(B475)),"Review: work date",IF(OR(C475="",E475="",K475="",M475="",H475=""),"Review: source details",IF(J475&lt;&gt;'Estimate review'!$J$5,"Review: project scope",IF(OR(NOT(ISNUMBER(N475)),N475&lt;0,O475&lt;&gt;"Complete"),"Review: duration",IF(S475&lt;&gt;"Coded","Review: coding status",IF(OR(U475="",COUNTIF('Project codes'!$A$7:$A$106,U475)=0),"Review: SOW mapping",IF(COUNTIF('Project codes'!$A$7:$A$106,U475)&gt;1,"Review: duplicate code",IF(_xlfn.XLOOKUP(U475,'Project codes'!$A$7:$A$106,'Project codes'!$F$7:$F$106,"Review",0)="Hold","Review: allocation hold",IF(OR(D475="",COUNTIF('SOW register'!$A$7:$A$36,D475)&lt;&gt;1),"Review: SOW mapping",IF(AND(G475&lt;&gt;"Yes",G475&lt;&gt;"No"),"Review: billability",IF(AB475="","Review: billing evidence","OK"))))))))))))))</x:f>
      </x:c>
      <x:c r="J475" s="24"/>
      <x:c r="K475" s="38"/>
      <x:c r="L475" s="38"/>
      <x:c r="M475" s="38"/>
      <x:c r="N475" s="39"/>
      <x:c r="O475" s="24"/>
      <x:c r="P475" s="24"/>
      <x:c r="Q475" s="38"/>
      <x:c r="R475" s="38"/>
      <x:c r="S475" s="24"/>
      <x:c r="T475" s="24"/>
      <x:c r="U475" s="37" t="str">
        <x:f>IF(OR(J475="",Q475="",R475=""),"",J475&amp;"|"&amp;Q475&amp;"|"&amp;R475)</x:f>
      </x:c>
      <x:c r="V475" s="24"/>
      <x:c r="W475" s="24"/>
      <x:c r="X475" s="40"/>
      <x:c r="Y475" s="40"/>
      <x:c r="Z475" s="39"/>
      <x:c r="AA475" s="39"/>
      <x:c r="AB475" s="24"/>
    </x:row>
    <x:row r="476" ht="23" customHeight="1">
      <x:c r="A476" s="20"/>
      <x:c r="B476" s="5"/>
      <x:c r="C476" s="4"/>
      <x:c r="D476" s="34" t="str">
        <x:f>IF(OR(A476="",U476="",COUNTIF('Project codes'!$A$7:$A$106,U476)&lt;&gt;1),"",_xlfn.XLOOKUP(U476,'Project codes'!$A$7:$A$106,'Project codes'!$I$7:$I$106,"",0))</x:f>
      </x:c>
      <x:c r="E476" s="4"/>
      <x:c r="F476" s="35" t="str">
        <x:f>IF(AND(ISNUMBER(N476),N476&gt;=0,O476="Complete"),N476/3600000,"")</x:f>
      </x:c>
      <x:c r="G476" s="4"/>
      <x:c r="H476" s="4"/>
      <x:c r="I476" s="36" t="str">
        <x:f>IF(COUNTA(A476:C476,E476,G476:H476,J476:T476,V476:AB476)=0,"",IF(A476="","Review: missing entry ID",IF(COUNTIF($A$7:$A$506,A476)&gt;1,"Review: duplicate entry ID",IF(NOT(ISNUMBER(B476)),"Review: work date",IF(OR(C476="",E476="",K476="",M476="",H476=""),"Review: source details",IF(J476&lt;&gt;'Estimate review'!$J$5,"Review: project scope",IF(OR(NOT(ISNUMBER(N476)),N476&lt;0,O476&lt;&gt;"Complete"),"Review: duration",IF(S476&lt;&gt;"Coded","Review: coding status",IF(OR(U476="",COUNTIF('Project codes'!$A$7:$A$106,U476)=0),"Review: SOW mapping",IF(COUNTIF('Project codes'!$A$7:$A$106,U476)&gt;1,"Review: duplicate code",IF(_xlfn.XLOOKUP(U476,'Project codes'!$A$7:$A$106,'Project codes'!$F$7:$F$106,"Review",0)="Hold","Review: allocation hold",IF(OR(D476="",COUNTIF('SOW register'!$A$7:$A$36,D476)&lt;&gt;1),"Review: SOW mapping",IF(AND(G476&lt;&gt;"Yes",G476&lt;&gt;"No"),"Review: billability",IF(AB476="","Review: billing evidence","OK"))))))))))))))</x:f>
      </x:c>
      <x:c r="J476" s="24"/>
      <x:c r="K476" s="38"/>
      <x:c r="L476" s="38"/>
      <x:c r="M476" s="38"/>
      <x:c r="N476" s="39"/>
      <x:c r="O476" s="24"/>
      <x:c r="P476" s="24"/>
      <x:c r="Q476" s="38"/>
      <x:c r="R476" s="38"/>
      <x:c r="S476" s="24"/>
      <x:c r="T476" s="24"/>
      <x:c r="U476" s="37" t="str">
        <x:f>IF(OR(J476="",Q476="",R476=""),"",J476&amp;"|"&amp;Q476&amp;"|"&amp;R476)</x:f>
      </x:c>
      <x:c r="V476" s="24"/>
      <x:c r="W476" s="24"/>
      <x:c r="X476" s="40"/>
      <x:c r="Y476" s="40"/>
      <x:c r="Z476" s="39"/>
      <x:c r="AA476" s="39"/>
      <x:c r="AB476" s="24"/>
    </x:row>
    <x:row r="477" ht="23" customHeight="1">
      <x:c r="A477" s="20"/>
      <x:c r="B477" s="5"/>
      <x:c r="C477" s="4"/>
      <x:c r="D477" s="34" t="str">
        <x:f>IF(OR(A477="",U477="",COUNTIF('Project codes'!$A$7:$A$106,U477)&lt;&gt;1),"",_xlfn.XLOOKUP(U477,'Project codes'!$A$7:$A$106,'Project codes'!$I$7:$I$106,"",0))</x:f>
      </x:c>
      <x:c r="E477" s="4"/>
      <x:c r="F477" s="35" t="str">
        <x:f>IF(AND(ISNUMBER(N477),N477&gt;=0,O477="Complete"),N477/3600000,"")</x:f>
      </x:c>
      <x:c r="G477" s="4"/>
      <x:c r="H477" s="4"/>
      <x:c r="I477" s="36" t="str">
        <x:f>IF(COUNTA(A477:C477,E477,G477:H477,J477:T477,V477:AB477)=0,"",IF(A477="","Review: missing entry ID",IF(COUNTIF($A$7:$A$506,A477)&gt;1,"Review: duplicate entry ID",IF(NOT(ISNUMBER(B477)),"Review: work date",IF(OR(C477="",E477="",K477="",M477="",H477=""),"Review: source details",IF(J477&lt;&gt;'Estimate review'!$J$5,"Review: project scope",IF(OR(NOT(ISNUMBER(N477)),N477&lt;0,O477&lt;&gt;"Complete"),"Review: duration",IF(S477&lt;&gt;"Coded","Review: coding status",IF(OR(U477="",COUNTIF('Project codes'!$A$7:$A$106,U477)=0),"Review: SOW mapping",IF(COUNTIF('Project codes'!$A$7:$A$106,U477)&gt;1,"Review: duplicate code",IF(_xlfn.XLOOKUP(U477,'Project codes'!$A$7:$A$106,'Project codes'!$F$7:$F$106,"Review",0)="Hold","Review: allocation hold",IF(OR(D477="",COUNTIF('SOW register'!$A$7:$A$36,D477)&lt;&gt;1),"Review: SOW mapping",IF(AND(G477&lt;&gt;"Yes",G477&lt;&gt;"No"),"Review: billability",IF(AB477="","Review: billing evidence","OK"))))))))))))))</x:f>
      </x:c>
      <x:c r="J477" s="24"/>
      <x:c r="K477" s="38"/>
      <x:c r="L477" s="38"/>
      <x:c r="M477" s="38"/>
      <x:c r="N477" s="39"/>
      <x:c r="O477" s="24"/>
      <x:c r="P477" s="24"/>
      <x:c r="Q477" s="38"/>
      <x:c r="R477" s="38"/>
      <x:c r="S477" s="24"/>
      <x:c r="T477" s="24"/>
      <x:c r="U477" s="37" t="str">
        <x:f>IF(OR(J477="",Q477="",R477=""),"",J477&amp;"|"&amp;Q477&amp;"|"&amp;R477)</x:f>
      </x:c>
      <x:c r="V477" s="24"/>
      <x:c r="W477" s="24"/>
      <x:c r="X477" s="40"/>
      <x:c r="Y477" s="40"/>
      <x:c r="Z477" s="39"/>
      <x:c r="AA477" s="39"/>
      <x:c r="AB477" s="24"/>
    </x:row>
    <x:row r="478" ht="23" customHeight="1">
      <x:c r="A478" s="20"/>
      <x:c r="B478" s="5"/>
      <x:c r="C478" s="4"/>
      <x:c r="D478" s="34" t="str">
        <x:f>IF(OR(A478="",U478="",COUNTIF('Project codes'!$A$7:$A$106,U478)&lt;&gt;1),"",_xlfn.XLOOKUP(U478,'Project codes'!$A$7:$A$106,'Project codes'!$I$7:$I$106,"",0))</x:f>
      </x:c>
      <x:c r="E478" s="4"/>
      <x:c r="F478" s="35" t="str">
        <x:f>IF(AND(ISNUMBER(N478),N478&gt;=0,O478="Complete"),N478/3600000,"")</x:f>
      </x:c>
      <x:c r="G478" s="4"/>
      <x:c r="H478" s="4"/>
      <x:c r="I478" s="36" t="str">
        <x:f>IF(COUNTA(A478:C478,E478,G478:H478,J478:T478,V478:AB478)=0,"",IF(A478="","Review: missing entry ID",IF(COUNTIF($A$7:$A$506,A478)&gt;1,"Review: duplicate entry ID",IF(NOT(ISNUMBER(B478)),"Review: work date",IF(OR(C478="",E478="",K478="",M478="",H478=""),"Review: source details",IF(J478&lt;&gt;'Estimate review'!$J$5,"Review: project scope",IF(OR(NOT(ISNUMBER(N478)),N478&lt;0,O478&lt;&gt;"Complete"),"Review: duration",IF(S478&lt;&gt;"Coded","Review: coding status",IF(OR(U478="",COUNTIF('Project codes'!$A$7:$A$106,U478)=0),"Review: SOW mapping",IF(COUNTIF('Project codes'!$A$7:$A$106,U478)&gt;1,"Review: duplicate code",IF(_xlfn.XLOOKUP(U478,'Project codes'!$A$7:$A$106,'Project codes'!$F$7:$F$106,"Review",0)="Hold","Review: allocation hold",IF(OR(D478="",COUNTIF('SOW register'!$A$7:$A$36,D478)&lt;&gt;1),"Review: SOW mapping",IF(AND(G478&lt;&gt;"Yes",G478&lt;&gt;"No"),"Review: billability",IF(AB478="","Review: billing evidence","OK"))))))))))))))</x:f>
      </x:c>
      <x:c r="J478" s="24"/>
      <x:c r="K478" s="38"/>
      <x:c r="L478" s="38"/>
      <x:c r="M478" s="38"/>
      <x:c r="N478" s="39"/>
      <x:c r="O478" s="24"/>
      <x:c r="P478" s="24"/>
      <x:c r="Q478" s="38"/>
      <x:c r="R478" s="38"/>
      <x:c r="S478" s="24"/>
      <x:c r="T478" s="24"/>
      <x:c r="U478" s="37" t="str">
        <x:f>IF(OR(J478="",Q478="",R478=""),"",J478&amp;"|"&amp;Q478&amp;"|"&amp;R478)</x:f>
      </x:c>
      <x:c r="V478" s="24"/>
      <x:c r="W478" s="24"/>
      <x:c r="X478" s="40"/>
      <x:c r="Y478" s="40"/>
      <x:c r="Z478" s="39"/>
      <x:c r="AA478" s="39"/>
      <x:c r="AB478" s="24"/>
    </x:row>
    <x:row r="479" ht="23" customHeight="1">
      <x:c r="A479" s="20"/>
      <x:c r="B479" s="5"/>
      <x:c r="C479" s="4"/>
      <x:c r="D479" s="34" t="str">
        <x:f>IF(OR(A479="",U479="",COUNTIF('Project codes'!$A$7:$A$106,U479)&lt;&gt;1),"",_xlfn.XLOOKUP(U479,'Project codes'!$A$7:$A$106,'Project codes'!$I$7:$I$106,"",0))</x:f>
      </x:c>
      <x:c r="E479" s="4"/>
      <x:c r="F479" s="35" t="str">
        <x:f>IF(AND(ISNUMBER(N479),N479&gt;=0,O479="Complete"),N479/3600000,"")</x:f>
      </x:c>
      <x:c r="G479" s="4"/>
      <x:c r="H479" s="4"/>
      <x:c r="I479" s="36" t="str">
        <x:f>IF(COUNTA(A479:C479,E479,G479:H479,J479:T479,V479:AB479)=0,"",IF(A479="","Review: missing entry ID",IF(COUNTIF($A$7:$A$506,A479)&gt;1,"Review: duplicate entry ID",IF(NOT(ISNUMBER(B479)),"Review: work date",IF(OR(C479="",E479="",K479="",M479="",H479=""),"Review: source details",IF(J479&lt;&gt;'Estimate review'!$J$5,"Review: project scope",IF(OR(NOT(ISNUMBER(N479)),N479&lt;0,O479&lt;&gt;"Complete"),"Review: duration",IF(S479&lt;&gt;"Coded","Review: coding status",IF(OR(U479="",COUNTIF('Project codes'!$A$7:$A$106,U479)=0),"Review: SOW mapping",IF(COUNTIF('Project codes'!$A$7:$A$106,U479)&gt;1,"Review: duplicate code",IF(_xlfn.XLOOKUP(U479,'Project codes'!$A$7:$A$106,'Project codes'!$F$7:$F$106,"Review",0)="Hold","Review: allocation hold",IF(OR(D479="",COUNTIF('SOW register'!$A$7:$A$36,D479)&lt;&gt;1),"Review: SOW mapping",IF(AND(G479&lt;&gt;"Yes",G479&lt;&gt;"No"),"Review: billability",IF(AB479="","Review: billing evidence","OK"))))))))))))))</x:f>
      </x:c>
      <x:c r="J479" s="24"/>
      <x:c r="K479" s="38"/>
      <x:c r="L479" s="38"/>
      <x:c r="M479" s="38"/>
      <x:c r="N479" s="39"/>
      <x:c r="O479" s="24"/>
      <x:c r="P479" s="24"/>
      <x:c r="Q479" s="38"/>
      <x:c r="R479" s="38"/>
      <x:c r="S479" s="24"/>
      <x:c r="T479" s="24"/>
      <x:c r="U479" s="37" t="str">
        <x:f>IF(OR(J479="",Q479="",R479=""),"",J479&amp;"|"&amp;Q479&amp;"|"&amp;R479)</x:f>
      </x:c>
      <x:c r="V479" s="24"/>
      <x:c r="W479" s="24"/>
      <x:c r="X479" s="40"/>
      <x:c r="Y479" s="40"/>
      <x:c r="Z479" s="39"/>
      <x:c r="AA479" s="39"/>
      <x:c r="AB479" s="24"/>
    </x:row>
    <x:row r="480" ht="23" customHeight="1">
      <x:c r="A480" s="20"/>
      <x:c r="B480" s="5"/>
      <x:c r="C480" s="4"/>
      <x:c r="D480" s="34" t="str">
        <x:f>IF(OR(A480="",U480="",COUNTIF('Project codes'!$A$7:$A$106,U480)&lt;&gt;1),"",_xlfn.XLOOKUP(U480,'Project codes'!$A$7:$A$106,'Project codes'!$I$7:$I$106,"",0))</x:f>
      </x:c>
      <x:c r="E480" s="4"/>
      <x:c r="F480" s="35" t="str">
        <x:f>IF(AND(ISNUMBER(N480),N480&gt;=0,O480="Complete"),N480/3600000,"")</x:f>
      </x:c>
      <x:c r="G480" s="4"/>
      <x:c r="H480" s="4"/>
      <x:c r="I480" s="36" t="str">
        <x:f>IF(COUNTA(A480:C480,E480,G480:H480,J480:T480,V480:AB480)=0,"",IF(A480="","Review: missing entry ID",IF(COUNTIF($A$7:$A$506,A480)&gt;1,"Review: duplicate entry ID",IF(NOT(ISNUMBER(B480)),"Review: work date",IF(OR(C480="",E480="",K480="",M480="",H480=""),"Review: source details",IF(J480&lt;&gt;'Estimate review'!$J$5,"Review: project scope",IF(OR(NOT(ISNUMBER(N480)),N480&lt;0,O480&lt;&gt;"Complete"),"Review: duration",IF(S480&lt;&gt;"Coded","Review: coding status",IF(OR(U480="",COUNTIF('Project codes'!$A$7:$A$106,U480)=0),"Review: SOW mapping",IF(COUNTIF('Project codes'!$A$7:$A$106,U480)&gt;1,"Review: duplicate code",IF(_xlfn.XLOOKUP(U480,'Project codes'!$A$7:$A$106,'Project codes'!$F$7:$F$106,"Review",0)="Hold","Review: allocation hold",IF(OR(D480="",COUNTIF('SOW register'!$A$7:$A$36,D480)&lt;&gt;1),"Review: SOW mapping",IF(AND(G480&lt;&gt;"Yes",G480&lt;&gt;"No"),"Review: billability",IF(AB480="","Review: billing evidence","OK"))))))))))))))</x:f>
      </x:c>
      <x:c r="J480" s="24"/>
      <x:c r="K480" s="38"/>
      <x:c r="L480" s="38"/>
      <x:c r="M480" s="38"/>
      <x:c r="N480" s="39"/>
      <x:c r="O480" s="24"/>
      <x:c r="P480" s="24"/>
      <x:c r="Q480" s="38"/>
      <x:c r="R480" s="38"/>
      <x:c r="S480" s="24"/>
      <x:c r="T480" s="24"/>
      <x:c r="U480" s="37" t="str">
        <x:f>IF(OR(J480="",Q480="",R480=""),"",J480&amp;"|"&amp;Q480&amp;"|"&amp;R480)</x:f>
      </x:c>
      <x:c r="V480" s="24"/>
      <x:c r="W480" s="24"/>
      <x:c r="X480" s="40"/>
      <x:c r="Y480" s="40"/>
      <x:c r="Z480" s="39"/>
      <x:c r="AA480" s="39"/>
      <x:c r="AB480" s="24"/>
    </x:row>
    <x:row r="481" ht="23" customHeight="1">
      <x:c r="A481" s="20"/>
      <x:c r="B481" s="5"/>
      <x:c r="C481" s="4"/>
      <x:c r="D481" s="34" t="str">
        <x:f>IF(OR(A481="",U481="",COUNTIF('Project codes'!$A$7:$A$106,U481)&lt;&gt;1),"",_xlfn.XLOOKUP(U481,'Project codes'!$A$7:$A$106,'Project codes'!$I$7:$I$106,"",0))</x:f>
      </x:c>
      <x:c r="E481" s="4"/>
      <x:c r="F481" s="35" t="str">
        <x:f>IF(AND(ISNUMBER(N481),N481&gt;=0,O481="Complete"),N481/3600000,"")</x:f>
      </x:c>
      <x:c r="G481" s="4"/>
      <x:c r="H481" s="4"/>
      <x:c r="I481" s="36" t="str">
        <x:f>IF(COUNTA(A481:C481,E481,G481:H481,J481:T481,V481:AB481)=0,"",IF(A481="","Review: missing entry ID",IF(COUNTIF($A$7:$A$506,A481)&gt;1,"Review: duplicate entry ID",IF(NOT(ISNUMBER(B481)),"Review: work date",IF(OR(C481="",E481="",K481="",M481="",H481=""),"Review: source details",IF(J481&lt;&gt;'Estimate review'!$J$5,"Review: project scope",IF(OR(NOT(ISNUMBER(N481)),N481&lt;0,O481&lt;&gt;"Complete"),"Review: duration",IF(S481&lt;&gt;"Coded","Review: coding status",IF(OR(U481="",COUNTIF('Project codes'!$A$7:$A$106,U481)=0),"Review: SOW mapping",IF(COUNTIF('Project codes'!$A$7:$A$106,U481)&gt;1,"Review: duplicate code",IF(_xlfn.XLOOKUP(U481,'Project codes'!$A$7:$A$106,'Project codes'!$F$7:$F$106,"Review",0)="Hold","Review: allocation hold",IF(OR(D481="",COUNTIF('SOW register'!$A$7:$A$36,D481)&lt;&gt;1),"Review: SOW mapping",IF(AND(G481&lt;&gt;"Yes",G481&lt;&gt;"No"),"Review: billability",IF(AB481="","Review: billing evidence","OK"))))))))))))))</x:f>
      </x:c>
      <x:c r="J481" s="24"/>
      <x:c r="K481" s="38"/>
      <x:c r="L481" s="38"/>
      <x:c r="M481" s="38"/>
      <x:c r="N481" s="39"/>
      <x:c r="O481" s="24"/>
      <x:c r="P481" s="24"/>
      <x:c r="Q481" s="38"/>
      <x:c r="R481" s="38"/>
      <x:c r="S481" s="24"/>
      <x:c r="T481" s="24"/>
      <x:c r="U481" s="37" t="str">
        <x:f>IF(OR(J481="",Q481="",R481=""),"",J481&amp;"|"&amp;Q481&amp;"|"&amp;R481)</x:f>
      </x:c>
      <x:c r="V481" s="24"/>
      <x:c r="W481" s="24"/>
      <x:c r="X481" s="40"/>
      <x:c r="Y481" s="40"/>
      <x:c r="Z481" s="39"/>
      <x:c r="AA481" s="39"/>
      <x:c r="AB481" s="24"/>
    </x:row>
    <x:row r="482" ht="23" customHeight="1">
      <x:c r="A482" s="20"/>
      <x:c r="B482" s="5"/>
      <x:c r="C482" s="4"/>
      <x:c r="D482" s="34" t="str">
        <x:f>IF(OR(A482="",U482="",COUNTIF('Project codes'!$A$7:$A$106,U482)&lt;&gt;1),"",_xlfn.XLOOKUP(U482,'Project codes'!$A$7:$A$106,'Project codes'!$I$7:$I$106,"",0))</x:f>
      </x:c>
      <x:c r="E482" s="4"/>
      <x:c r="F482" s="35" t="str">
        <x:f>IF(AND(ISNUMBER(N482),N482&gt;=0,O482="Complete"),N482/3600000,"")</x:f>
      </x:c>
      <x:c r="G482" s="4"/>
      <x:c r="H482" s="4"/>
      <x:c r="I482" s="36" t="str">
        <x:f>IF(COUNTA(A482:C482,E482,G482:H482,J482:T482,V482:AB482)=0,"",IF(A482="","Review: missing entry ID",IF(COUNTIF($A$7:$A$506,A482)&gt;1,"Review: duplicate entry ID",IF(NOT(ISNUMBER(B482)),"Review: work date",IF(OR(C482="",E482="",K482="",M482="",H482=""),"Review: source details",IF(J482&lt;&gt;'Estimate review'!$J$5,"Review: project scope",IF(OR(NOT(ISNUMBER(N482)),N482&lt;0,O482&lt;&gt;"Complete"),"Review: duration",IF(S482&lt;&gt;"Coded","Review: coding status",IF(OR(U482="",COUNTIF('Project codes'!$A$7:$A$106,U482)=0),"Review: SOW mapping",IF(COUNTIF('Project codes'!$A$7:$A$106,U482)&gt;1,"Review: duplicate code",IF(_xlfn.XLOOKUP(U482,'Project codes'!$A$7:$A$106,'Project codes'!$F$7:$F$106,"Review",0)="Hold","Review: allocation hold",IF(OR(D482="",COUNTIF('SOW register'!$A$7:$A$36,D482)&lt;&gt;1),"Review: SOW mapping",IF(AND(G482&lt;&gt;"Yes",G482&lt;&gt;"No"),"Review: billability",IF(AB482="","Review: billing evidence","OK"))))))))))))))</x:f>
      </x:c>
      <x:c r="J482" s="24"/>
      <x:c r="K482" s="38"/>
      <x:c r="L482" s="38"/>
      <x:c r="M482" s="38"/>
      <x:c r="N482" s="39"/>
      <x:c r="O482" s="24"/>
      <x:c r="P482" s="24"/>
      <x:c r="Q482" s="38"/>
      <x:c r="R482" s="38"/>
      <x:c r="S482" s="24"/>
      <x:c r="T482" s="24"/>
      <x:c r="U482" s="37" t="str">
        <x:f>IF(OR(J482="",Q482="",R482=""),"",J482&amp;"|"&amp;Q482&amp;"|"&amp;R482)</x:f>
      </x:c>
      <x:c r="V482" s="24"/>
      <x:c r="W482" s="24"/>
      <x:c r="X482" s="40"/>
      <x:c r="Y482" s="40"/>
      <x:c r="Z482" s="39"/>
      <x:c r="AA482" s="39"/>
      <x:c r="AB482" s="24"/>
    </x:row>
    <x:row r="483" ht="23" customHeight="1">
      <x:c r="A483" s="20"/>
      <x:c r="B483" s="5"/>
      <x:c r="C483" s="4"/>
      <x:c r="D483" s="34" t="str">
        <x:f>IF(OR(A483="",U483="",COUNTIF('Project codes'!$A$7:$A$106,U483)&lt;&gt;1),"",_xlfn.XLOOKUP(U483,'Project codes'!$A$7:$A$106,'Project codes'!$I$7:$I$106,"",0))</x:f>
      </x:c>
      <x:c r="E483" s="4"/>
      <x:c r="F483" s="35" t="str">
        <x:f>IF(AND(ISNUMBER(N483),N483&gt;=0,O483="Complete"),N483/3600000,"")</x:f>
      </x:c>
      <x:c r="G483" s="4"/>
      <x:c r="H483" s="4"/>
      <x:c r="I483" s="36" t="str">
        <x:f>IF(COUNTA(A483:C483,E483,G483:H483,J483:T483,V483:AB483)=0,"",IF(A483="","Review: missing entry ID",IF(COUNTIF($A$7:$A$506,A483)&gt;1,"Review: duplicate entry ID",IF(NOT(ISNUMBER(B483)),"Review: work date",IF(OR(C483="",E483="",K483="",M483="",H483=""),"Review: source details",IF(J483&lt;&gt;'Estimate review'!$J$5,"Review: project scope",IF(OR(NOT(ISNUMBER(N483)),N483&lt;0,O483&lt;&gt;"Complete"),"Review: duration",IF(S483&lt;&gt;"Coded","Review: coding status",IF(OR(U483="",COUNTIF('Project codes'!$A$7:$A$106,U483)=0),"Review: SOW mapping",IF(COUNTIF('Project codes'!$A$7:$A$106,U483)&gt;1,"Review: duplicate code",IF(_xlfn.XLOOKUP(U483,'Project codes'!$A$7:$A$106,'Project codes'!$F$7:$F$106,"Review",0)="Hold","Review: allocation hold",IF(OR(D483="",COUNTIF('SOW register'!$A$7:$A$36,D483)&lt;&gt;1),"Review: SOW mapping",IF(AND(G483&lt;&gt;"Yes",G483&lt;&gt;"No"),"Review: billability",IF(AB483="","Review: billing evidence","OK"))))))))))))))</x:f>
      </x:c>
      <x:c r="J483" s="24"/>
      <x:c r="K483" s="38"/>
      <x:c r="L483" s="38"/>
      <x:c r="M483" s="38"/>
      <x:c r="N483" s="39"/>
      <x:c r="O483" s="24"/>
      <x:c r="P483" s="24"/>
      <x:c r="Q483" s="38"/>
      <x:c r="R483" s="38"/>
      <x:c r="S483" s="24"/>
      <x:c r="T483" s="24"/>
      <x:c r="U483" s="37" t="str">
        <x:f>IF(OR(J483="",Q483="",R483=""),"",J483&amp;"|"&amp;Q483&amp;"|"&amp;R483)</x:f>
      </x:c>
      <x:c r="V483" s="24"/>
      <x:c r="W483" s="24"/>
      <x:c r="X483" s="40"/>
      <x:c r="Y483" s="40"/>
      <x:c r="Z483" s="39"/>
      <x:c r="AA483" s="39"/>
      <x:c r="AB483" s="24"/>
    </x:row>
    <x:row r="484" ht="23" customHeight="1">
      <x:c r="A484" s="20"/>
      <x:c r="B484" s="5"/>
      <x:c r="C484" s="4"/>
      <x:c r="D484" s="34" t="str">
        <x:f>IF(OR(A484="",U484="",COUNTIF('Project codes'!$A$7:$A$106,U484)&lt;&gt;1),"",_xlfn.XLOOKUP(U484,'Project codes'!$A$7:$A$106,'Project codes'!$I$7:$I$106,"",0))</x:f>
      </x:c>
      <x:c r="E484" s="4"/>
      <x:c r="F484" s="35" t="str">
        <x:f>IF(AND(ISNUMBER(N484),N484&gt;=0,O484="Complete"),N484/3600000,"")</x:f>
      </x:c>
      <x:c r="G484" s="4"/>
      <x:c r="H484" s="4"/>
      <x:c r="I484" s="36" t="str">
        <x:f>IF(COUNTA(A484:C484,E484,G484:H484,J484:T484,V484:AB484)=0,"",IF(A484="","Review: missing entry ID",IF(COUNTIF($A$7:$A$506,A484)&gt;1,"Review: duplicate entry ID",IF(NOT(ISNUMBER(B484)),"Review: work date",IF(OR(C484="",E484="",K484="",M484="",H484=""),"Review: source details",IF(J484&lt;&gt;'Estimate review'!$J$5,"Review: project scope",IF(OR(NOT(ISNUMBER(N484)),N484&lt;0,O484&lt;&gt;"Complete"),"Review: duration",IF(S484&lt;&gt;"Coded","Review: coding status",IF(OR(U484="",COUNTIF('Project codes'!$A$7:$A$106,U484)=0),"Review: SOW mapping",IF(COUNTIF('Project codes'!$A$7:$A$106,U484)&gt;1,"Review: duplicate code",IF(_xlfn.XLOOKUP(U484,'Project codes'!$A$7:$A$106,'Project codes'!$F$7:$F$106,"Review",0)="Hold","Review: allocation hold",IF(OR(D484="",COUNTIF('SOW register'!$A$7:$A$36,D484)&lt;&gt;1),"Review: SOW mapping",IF(AND(G484&lt;&gt;"Yes",G484&lt;&gt;"No"),"Review: billability",IF(AB484="","Review: billing evidence","OK"))))))))))))))</x:f>
      </x:c>
      <x:c r="J484" s="24"/>
      <x:c r="K484" s="38"/>
      <x:c r="L484" s="38"/>
      <x:c r="M484" s="38"/>
      <x:c r="N484" s="39"/>
      <x:c r="O484" s="24"/>
      <x:c r="P484" s="24"/>
      <x:c r="Q484" s="38"/>
      <x:c r="R484" s="38"/>
      <x:c r="S484" s="24"/>
      <x:c r="T484" s="24"/>
      <x:c r="U484" s="37" t="str">
        <x:f>IF(OR(J484="",Q484="",R484=""),"",J484&amp;"|"&amp;Q484&amp;"|"&amp;R484)</x:f>
      </x:c>
      <x:c r="V484" s="24"/>
      <x:c r="W484" s="24"/>
      <x:c r="X484" s="40"/>
      <x:c r="Y484" s="40"/>
      <x:c r="Z484" s="39"/>
      <x:c r="AA484" s="39"/>
      <x:c r="AB484" s="24"/>
    </x:row>
    <x:row r="485" ht="23" customHeight="1">
      <x:c r="A485" s="20"/>
      <x:c r="B485" s="5"/>
      <x:c r="C485" s="4"/>
      <x:c r="D485" s="34" t="str">
        <x:f>IF(OR(A485="",U485="",COUNTIF('Project codes'!$A$7:$A$106,U485)&lt;&gt;1),"",_xlfn.XLOOKUP(U485,'Project codes'!$A$7:$A$106,'Project codes'!$I$7:$I$106,"",0))</x:f>
      </x:c>
      <x:c r="E485" s="4"/>
      <x:c r="F485" s="35" t="str">
        <x:f>IF(AND(ISNUMBER(N485),N485&gt;=0,O485="Complete"),N485/3600000,"")</x:f>
      </x:c>
      <x:c r="G485" s="4"/>
      <x:c r="H485" s="4"/>
      <x:c r="I485" s="36" t="str">
        <x:f>IF(COUNTA(A485:C485,E485,G485:H485,J485:T485,V485:AB485)=0,"",IF(A485="","Review: missing entry ID",IF(COUNTIF($A$7:$A$506,A485)&gt;1,"Review: duplicate entry ID",IF(NOT(ISNUMBER(B485)),"Review: work date",IF(OR(C485="",E485="",K485="",M485="",H485=""),"Review: source details",IF(J485&lt;&gt;'Estimate review'!$J$5,"Review: project scope",IF(OR(NOT(ISNUMBER(N485)),N485&lt;0,O485&lt;&gt;"Complete"),"Review: duration",IF(S485&lt;&gt;"Coded","Review: coding status",IF(OR(U485="",COUNTIF('Project codes'!$A$7:$A$106,U485)=0),"Review: SOW mapping",IF(COUNTIF('Project codes'!$A$7:$A$106,U485)&gt;1,"Review: duplicate code",IF(_xlfn.XLOOKUP(U485,'Project codes'!$A$7:$A$106,'Project codes'!$F$7:$F$106,"Review",0)="Hold","Review: allocation hold",IF(OR(D485="",COUNTIF('SOW register'!$A$7:$A$36,D485)&lt;&gt;1),"Review: SOW mapping",IF(AND(G485&lt;&gt;"Yes",G485&lt;&gt;"No"),"Review: billability",IF(AB485="","Review: billing evidence","OK"))))))))))))))</x:f>
      </x:c>
      <x:c r="J485" s="24"/>
      <x:c r="K485" s="38"/>
      <x:c r="L485" s="38"/>
      <x:c r="M485" s="38"/>
      <x:c r="N485" s="39"/>
      <x:c r="O485" s="24"/>
      <x:c r="P485" s="24"/>
      <x:c r="Q485" s="38"/>
      <x:c r="R485" s="38"/>
      <x:c r="S485" s="24"/>
      <x:c r="T485" s="24"/>
      <x:c r="U485" s="37" t="str">
        <x:f>IF(OR(J485="",Q485="",R485=""),"",J485&amp;"|"&amp;Q485&amp;"|"&amp;R485)</x:f>
      </x:c>
      <x:c r="V485" s="24"/>
      <x:c r="W485" s="24"/>
      <x:c r="X485" s="40"/>
      <x:c r="Y485" s="40"/>
      <x:c r="Z485" s="39"/>
      <x:c r="AA485" s="39"/>
      <x:c r="AB485" s="24"/>
    </x:row>
    <x:row r="486" ht="23" customHeight="1">
      <x:c r="A486" s="20"/>
      <x:c r="B486" s="5"/>
      <x:c r="C486" s="4"/>
      <x:c r="D486" s="34" t="str">
        <x:f>IF(OR(A486="",U486="",COUNTIF('Project codes'!$A$7:$A$106,U486)&lt;&gt;1),"",_xlfn.XLOOKUP(U486,'Project codes'!$A$7:$A$106,'Project codes'!$I$7:$I$106,"",0))</x:f>
      </x:c>
      <x:c r="E486" s="4"/>
      <x:c r="F486" s="35" t="str">
        <x:f>IF(AND(ISNUMBER(N486),N486&gt;=0,O486="Complete"),N486/3600000,"")</x:f>
      </x:c>
      <x:c r="G486" s="4"/>
      <x:c r="H486" s="4"/>
      <x:c r="I486" s="36" t="str">
        <x:f>IF(COUNTA(A486:C486,E486,G486:H486,J486:T486,V486:AB486)=0,"",IF(A486="","Review: missing entry ID",IF(COUNTIF($A$7:$A$506,A486)&gt;1,"Review: duplicate entry ID",IF(NOT(ISNUMBER(B486)),"Review: work date",IF(OR(C486="",E486="",K486="",M486="",H486=""),"Review: source details",IF(J486&lt;&gt;'Estimate review'!$J$5,"Review: project scope",IF(OR(NOT(ISNUMBER(N486)),N486&lt;0,O486&lt;&gt;"Complete"),"Review: duration",IF(S486&lt;&gt;"Coded","Review: coding status",IF(OR(U486="",COUNTIF('Project codes'!$A$7:$A$106,U486)=0),"Review: SOW mapping",IF(COUNTIF('Project codes'!$A$7:$A$106,U486)&gt;1,"Review: duplicate code",IF(_xlfn.XLOOKUP(U486,'Project codes'!$A$7:$A$106,'Project codes'!$F$7:$F$106,"Review",0)="Hold","Review: allocation hold",IF(OR(D486="",COUNTIF('SOW register'!$A$7:$A$36,D486)&lt;&gt;1),"Review: SOW mapping",IF(AND(G486&lt;&gt;"Yes",G486&lt;&gt;"No"),"Review: billability",IF(AB486="","Review: billing evidence","OK"))))))))))))))</x:f>
      </x:c>
      <x:c r="J486" s="24"/>
      <x:c r="K486" s="38"/>
      <x:c r="L486" s="38"/>
      <x:c r="M486" s="38"/>
      <x:c r="N486" s="39"/>
      <x:c r="O486" s="24"/>
      <x:c r="P486" s="24"/>
      <x:c r="Q486" s="38"/>
      <x:c r="R486" s="38"/>
      <x:c r="S486" s="24"/>
      <x:c r="T486" s="24"/>
      <x:c r="U486" s="37" t="str">
        <x:f>IF(OR(J486="",Q486="",R486=""),"",J486&amp;"|"&amp;Q486&amp;"|"&amp;R486)</x:f>
      </x:c>
      <x:c r="V486" s="24"/>
      <x:c r="W486" s="24"/>
      <x:c r="X486" s="40"/>
      <x:c r="Y486" s="40"/>
      <x:c r="Z486" s="39"/>
      <x:c r="AA486" s="39"/>
      <x:c r="AB486" s="24"/>
    </x:row>
    <x:row r="487" ht="23" customHeight="1">
      <x:c r="A487" s="20"/>
      <x:c r="B487" s="5"/>
      <x:c r="C487" s="4"/>
      <x:c r="D487" s="34" t="str">
        <x:f>IF(OR(A487="",U487="",COUNTIF('Project codes'!$A$7:$A$106,U487)&lt;&gt;1),"",_xlfn.XLOOKUP(U487,'Project codes'!$A$7:$A$106,'Project codes'!$I$7:$I$106,"",0))</x:f>
      </x:c>
      <x:c r="E487" s="4"/>
      <x:c r="F487" s="35" t="str">
        <x:f>IF(AND(ISNUMBER(N487),N487&gt;=0,O487="Complete"),N487/3600000,"")</x:f>
      </x:c>
      <x:c r="G487" s="4"/>
      <x:c r="H487" s="4"/>
      <x:c r="I487" s="36" t="str">
        <x:f>IF(COUNTA(A487:C487,E487,G487:H487,J487:T487,V487:AB487)=0,"",IF(A487="","Review: missing entry ID",IF(COUNTIF($A$7:$A$506,A487)&gt;1,"Review: duplicate entry ID",IF(NOT(ISNUMBER(B487)),"Review: work date",IF(OR(C487="",E487="",K487="",M487="",H487=""),"Review: source details",IF(J487&lt;&gt;'Estimate review'!$J$5,"Review: project scope",IF(OR(NOT(ISNUMBER(N487)),N487&lt;0,O487&lt;&gt;"Complete"),"Review: duration",IF(S487&lt;&gt;"Coded","Review: coding status",IF(OR(U487="",COUNTIF('Project codes'!$A$7:$A$106,U487)=0),"Review: SOW mapping",IF(COUNTIF('Project codes'!$A$7:$A$106,U487)&gt;1,"Review: duplicate code",IF(_xlfn.XLOOKUP(U487,'Project codes'!$A$7:$A$106,'Project codes'!$F$7:$F$106,"Review",0)="Hold","Review: allocation hold",IF(OR(D487="",COUNTIF('SOW register'!$A$7:$A$36,D487)&lt;&gt;1),"Review: SOW mapping",IF(AND(G487&lt;&gt;"Yes",G487&lt;&gt;"No"),"Review: billability",IF(AB487="","Review: billing evidence","OK"))))))))))))))</x:f>
      </x:c>
      <x:c r="J487" s="24"/>
      <x:c r="K487" s="38"/>
      <x:c r="L487" s="38"/>
      <x:c r="M487" s="38"/>
      <x:c r="N487" s="39"/>
      <x:c r="O487" s="24"/>
      <x:c r="P487" s="24"/>
      <x:c r="Q487" s="38"/>
      <x:c r="R487" s="38"/>
      <x:c r="S487" s="24"/>
      <x:c r="T487" s="24"/>
      <x:c r="U487" s="37" t="str">
        <x:f>IF(OR(J487="",Q487="",R487=""),"",J487&amp;"|"&amp;Q487&amp;"|"&amp;R487)</x:f>
      </x:c>
      <x:c r="V487" s="24"/>
      <x:c r="W487" s="24"/>
      <x:c r="X487" s="40"/>
      <x:c r="Y487" s="40"/>
      <x:c r="Z487" s="39"/>
      <x:c r="AA487" s="39"/>
      <x:c r="AB487" s="24"/>
    </x:row>
    <x:row r="488" ht="23" customHeight="1">
      <x:c r="A488" s="20"/>
      <x:c r="B488" s="5"/>
      <x:c r="C488" s="4"/>
      <x:c r="D488" s="34" t="str">
        <x:f>IF(OR(A488="",U488="",COUNTIF('Project codes'!$A$7:$A$106,U488)&lt;&gt;1),"",_xlfn.XLOOKUP(U488,'Project codes'!$A$7:$A$106,'Project codes'!$I$7:$I$106,"",0))</x:f>
      </x:c>
      <x:c r="E488" s="4"/>
      <x:c r="F488" s="35" t="str">
        <x:f>IF(AND(ISNUMBER(N488),N488&gt;=0,O488="Complete"),N488/3600000,"")</x:f>
      </x:c>
      <x:c r="G488" s="4"/>
      <x:c r="H488" s="4"/>
      <x:c r="I488" s="36" t="str">
        <x:f>IF(COUNTA(A488:C488,E488,G488:H488,J488:T488,V488:AB488)=0,"",IF(A488="","Review: missing entry ID",IF(COUNTIF($A$7:$A$506,A488)&gt;1,"Review: duplicate entry ID",IF(NOT(ISNUMBER(B488)),"Review: work date",IF(OR(C488="",E488="",K488="",M488="",H488=""),"Review: source details",IF(J488&lt;&gt;'Estimate review'!$J$5,"Review: project scope",IF(OR(NOT(ISNUMBER(N488)),N488&lt;0,O488&lt;&gt;"Complete"),"Review: duration",IF(S488&lt;&gt;"Coded","Review: coding status",IF(OR(U488="",COUNTIF('Project codes'!$A$7:$A$106,U488)=0),"Review: SOW mapping",IF(COUNTIF('Project codes'!$A$7:$A$106,U488)&gt;1,"Review: duplicate code",IF(_xlfn.XLOOKUP(U488,'Project codes'!$A$7:$A$106,'Project codes'!$F$7:$F$106,"Review",0)="Hold","Review: allocation hold",IF(OR(D488="",COUNTIF('SOW register'!$A$7:$A$36,D488)&lt;&gt;1),"Review: SOW mapping",IF(AND(G488&lt;&gt;"Yes",G488&lt;&gt;"No"),"Review: billability",IF(AB488="","Review: billing evidence","OK"))))))))))))))</x:f>
      </x:c>
      <x:c r="J488" s="24"/>
      <x:c r="K488" s="38"/>
      <x:c r="L488" s="38"/>
      <x:c r="M488" s="38"/>
      <x:c r="N488" s="39"/>
      <x:c r="O488" s="24"/>
      <x:c r="P488" s="24"/>
      <x:c r="Q488" s="38"/>
      <x:c r="R488" s="38"/>
      <x:c r="S488" s="24"/>
      <x:c r="T488" s="24"/>
      <x:c r="U488" s="37" t="str">
        <x:f>IF(OR(J488="",Q488="",R488=""),"",J488&amp;"|"&amp;Q488&amp;"|"&amp;R488)</x:f>
      </x:c>
      <x:c r="V488" s="24"/>
      <x:c r="W488" s="24"/>
      <x:c r="X488" s="40"/>
      <x:c r="Y488" s="40"/>
      <x:c r="Z488" s="39"/>
      <x:c r="AA488" s="39"/>
      <x:c r="AB488" s="24"/>
    </x:row>
    <x:row r="489" ht="23" customHeight="1">
      <x:c r="A489" s="20"/>
      <x:c r="B489" s="5"/>
      <x:c r="C489" s="4"/>
      <x:c r="D489" s="34" t="str">
        <x:f>IF(OR(A489="",U489="",COUNTIF('Project codes'!$A$7:$A$106,U489)&lt;&gt;1),"",_xlfn.XLOOKUP(U489,'Project codes'!$A$7:$A$106,'Project codes'!$I$7:$I$106,"",0))</x:f>
      </x:c>
      <x:c r="E489" s="4"/>
      <x:c r="F489" s="35" t="str">
        <x:f>IF(AND(ISNUMBER(N489),N489&gt;=0,O489="Complete"),N489/3600000,"")</x:f>
      </x:c>
      <x:c r="G489" s="4"/>
      <x:c r="H489" s="4"/>
      <x:c r="I489" s="36" t="str">
        <x:f>IF(COUNTA(A489:C489,E489,G489:H489,J489:T489,V489:AB489)=0,"",IF(A489="","Review: missing entry ID",IF(COUNTIF($A$7:$A$506,A489)&gt;1,"Review: duplicate entry ID",IF(NOT(ISNUMBER(B489)),"Review: work date",IF(OR(C489="",E489="",K489="",M489="",H489=""),"Review: source details",IF(J489&lt;&gt;'Estimate review'!$J$5,"Review: project scope",IF(OR(NOT(ISNUMBER(N489)),N489&lt;0,O489&lt;&gt;"Complete"),"Review: duration",IF(S489&lt;&gt;"Coded","Review: coding status",IF(OR(U489="",COUNTIF('Project codes'!$A$7:$A$106,U489)=0),"Review: SOW mapping",IF(COUNTIF('Project codes'!$A$7:$A$106,U489)&gt;1,"Review: duplicate code",IF(_xlfn.XLOOKUP(U489,'Project codes'!$A$7:$A$106,'Project codes'!$F$7:$F$106,"Review",0)="Hold","Review: allocation hold",IF(OR(D489="",COUNTIF('SOW register'!$A$7:$A$36,D489)&lt;&gt;1),"Review: SOW mapping",IF(AND(G489&lt;&gt;"Yes",G489&lt;&gt;"No"),"Review: billability",IF(AB489="","Review: billing evidence","OK"))))))))))))))</x:f>
      </x:c>
      <x:c r="J489" s="24"/>
      <x:c r="K489" s="38"/>
      <x:c r="L489" s="38"/>
      <x:c r="M489" s="38"/>
      <x:c r="N489" s="39"/>
      <x:c r="O489" s="24"/>
      <x:c r="P489" s="24"/>
      <x:c r="Q489" s="38"/>
      <x:c r="R489" s="38"/>
      <x:c r="S489" s="24"/>
      <x:c r="T489" s="24"/>
      <x:c r="U489" s="37" t="str">
        <x:f>IF(OR(J489="",Q489="",R489=""),"",J489&amp;"|"&amp;Q489&amp;"|"&amp;R489)</x:f>
      </x:c>
      <x:c r="V489" s="24"/>
      <x:c r="W489" s="24"/>
      <x:c r="X489" s="40"/>
      <x:c r="Y489" s="40"/>
      <x:c r="Z489" s="39"/>
      <x:c r="AA489" s="39"/>
      <x:c r="AB489" s="24"/>
    </x:row>
    <x:row r="490" ht="23" customHeight="1">
      <x:c r="A490" s="20"/>
      <x:c r="B490" s="5"/>
      <x:c r="C490" s="4"/>
      <x:c r="D490" s="34" t="str">
        <x:f>IF(OR(A490="",U490="",COUNTIF('Project codes'!$A$7:$A$106,U490)&lt;&gt;1),"",_xlfn.XLOOKUP(U490,'Project codes'!$A$7:$A$106,'Project codes'!$I$7:$I$106,"",0))</x:f>
      </x:c>
      <x:c r="E490" s="4"/>
      <x:c r="F490" s="35" t="str">
        <x:f>IF(AND(ISNUMBER(N490),N490&gt;=0,O490="Complete"),N490/3600000,"")</x:f>
      </x:c>
      <x:c r="G490" s="4"/>
      <x:c r="H490" s="4"/>
      <x:c r="I490" s="36" t="str">
        <x:f>IF(COUNTA(A490:C490,E490,G490:H490,J490:T490,V490:AB490)=0,"",IF(A490="","Review: missing entry ID",IF(COUNTIF($A$7:$A$506,A490)&gt;1,"Review: duplicate entry ID",IF(NOT(ISNUMBER(B490)),"Review: work date",IF(OR(C490="",E490="",K490="",M490="",H490=""),"Review: source details",IF(J490&lt;&gt;'Estimate review'!$J$5,"Review: project scope",IF(OR(NOT(ISNUMBER(N490)),N490&lt;0,O490&lt;&gt;"Complete"),"Review: duration",IF(S490&lt;&gt;"Coded","Review: coding status",IF(OR(U490="",COUNTIF('Project codes'!$A$7:$A$106,U490)=0),"Review: SOW mapping",IF(COUNTIF('Project codes'!$A$7:$A$106,U490)&gt;1,"Review: duplicate code",IF(_xlfn.XLOOKUP(U490,'Project codes'!$A$7:$A$106,'Project codes'!$F$7:$F$106,"Review",0)="Hold","Review: allocation hold",IF(OR(D490="",COUNTIF('SOW register'!$A$7:$A$36,D490)&lt;&gt;1),"Review: SOW mapping",IF(AND(G490&lt;&gt;"Yes",G490&lt;&gt;"No"),"Review: billability",IF(AB490="","Review: billing evidence","OK"))))))))))))))</x:f>
      </x:c>
      <x:c r="J490" s="24"/>
      <x:c r="K490" s="38"/>
      <x:c r="L490" s="38"/>
      <x:c r="M490" s="38"/>
      <x:c r="N490" s="39"/>
      <x:c r="O490" s="24"/>
      <x:c r="P490" s="24"/>
      <x:c r="Q490" s="38"/>
      <x:c r="R490" s="38"/>
      <x:c r="S490" s="24"/>
      <x:c r="T490" s="24"/>
      <x:c r="U490" s="37" t="str">
        <x:f>IF(OR(J490="",Q490="",R490=""),"",J490&amp;"|"&amp;Q490&amp;"|"&amp;R490)</x:f>
      </x:c>
      <x:c r="V490" s="24"/>
      <x:c r="W490" s="24"/>
      <x:c r="X490" s="40"/>
      <x:c r="Y490" s="40"/>
      <x:c r="Z490" s="39"/>
      <x:c r="AA490" s="39"/>
      <x:c r="AB490" s="24"/>
    </x:row>
    <x:row r="491" ht="23" customHeight="1">
      <x:c r="A491" s="20"/>
      <x:c r="B491" s="5"/>
      <x:c r="C491" s="4"/>
      <x:c r="D491" s="34" t="str">
        <x:f>IF(OR(A491="",U491="",COUNTIF('Project codes'!$A$7:$A$106,U491)&lt;&gt;1),"",_xlfn.XLOOKUP(U491,'Project codes'!$A$7:$A$106,'Project codes'!$I$7:$I$106,"",0))</x:f>
      </x:c>
      <x:c r="E491" s="4"/>
      <x:c r="F491" s="35" t="str">
        <x:f>IF(AND(ISNUMBER(N491),N491&gt;=0,O491="Complete"),N491/3600000,"")</x:f>
      </x:c>
      <x:c r="G491" s="4"/>
      <x:c r="H491" s="4"/>
      <x:c r="I491" s="36" t="str">
        <x:f>IF(COUNTA(A491:C491,E491,G491:H491,J491:T491,V491:AB491)=0,"",IF(A491="","Review: missing entry ID",IF(COUNTIF($A$7:$A$506,A491)&gt;1,"Review: duplicate entry ID",IF(NOT(ISNUMBER(B491)),"Review: work date",IF(OR(C491="",E491="",K491="",M491="",H491=""),"Review: source details",IF(J491&lt;&gt;'Estimate review'!$J$5,"Review: project scope",IF(OR(NOT(ISNUMBER(N491)),N491&lt;0,O491&lt;&gt;"Complete"),"Review: duration",IF(S491&lt;&gt;"Coded","Review: coding status",IF(OR(U491="",COUNTIF('Project codes'!$A$7:$A$106,U491)=0),"Review: SOW mapping",IF(COUNTIF('Project codes'!$A$7:$A$106,U491)&gt;1,"Review: duplicate code",IF(_xlfn.XLOOKUP(U491,'Project codes'!$A$7:$A$106,'Project codes'!$F$7:$F$106,"Review",0)="Hold","Review: allocation hold",IF(OR(D491="",COUNTIF('SOW register'!$A$7:$A$36,D491)&lt;&gt;1),"Review: SOW mapping",IF(AND(G491&lt;&gt;"Yes",G491&lt;&gt;"No"),"Review: billability",IF(AB491="","Review: billing evidence","OK"))))))))))))))</x:f>
      </x:c>
      <x:c r="J491" s="24"/>
      <x:c r="K491" s="38"/>
      <x:c r="L491" s="38"/>
      <x:c r="M491" s="38"/>
      <x:c r="N491" s="39"/>
      <x:c r="O491" s="24"/>
      <x:c r="P491" s="24"/>
      <x:c r="Q491" s="38"/>
      <x:c r="R491" s="38"/>
      <x:c r="S491" s="24"/>
      <x:c r="T491" s="24"/>
      <x:c r="U491" s="37" t="str">
        <x:f>IF(OR(J491="",Q491="",R491=""),"",J491&amp;"|"&amp;Q491&amp;"|"&amp;R491)</x:f>
      </x:c>
      <x:c r="V491" s="24"/>
      <x:c r="W491" s="24"/>
      <x:c r="X491" s="40"/>
      <x:c r="Y491" s="40"/>
      <x:c r="Z491" s="39"/>
      <x:c r="AA491" s="39"/>
      <x:c r="AB491" s="24"/>
    </x:row>
    <x:row r="492" ht="23" customHeight="1">
      <x:c r="A492" s="20"/>
      <x:c r="B492" s="5"/>
      <x:c r="C492" s="4"/>
      <x:c r="D492" s="34" t="str">
        <x:f>IF(OR(A492="",U492="",COUNTIF('Project codes'!$A$7:$A$106,U492)&lt;&gt;1),"",_xlfn.XLOOKUP(U492,'Project codes'!$A$7:$A$106,'Project codes'!$I$7:$I$106,"",0))</x:f>
      </x:c>
      <x:c r="E492" s="4"/>
      <x:c r="F492" s="35" t="str">
        <x:f>IF(AND(ISNUMBER(N492),N492&gt;=0,O492="Complete"),N492/3600000,"")</x:f>
      </x:c>
      <x:c r="G492" s="4"/>
      <x:c r="H492" s="4"/>
      <x:c r="I492" s="36" t="str">
        <x:f>IF(COUNTA(A492:C492,E492,G492:H492,J492:T492,V492:AB492)=0,"",IF(A492="","Review: missing entry ID",IF(COUNTIF($A$7:$A$506,A492)&gt;1,"Review: duplicate entry ID",IF(NOT(ISNUMBER(B492)),"Review: work date",IF(OR(C492="",E492="",K492="",M492="",H492=""),"Review: source details",IF(J492&lt;&gt;'Estimate review'!$J$5,"Review: project scope",IF(OR(NOT(ISNUMBER(N492)),N492&lt;0,O492&lt;&gt;"Complete"),"Review: duration",IF(S492&lt;&gt;"Coded","Review: coding status",IF(OR(U492="",COUNTIF('Project codes'!$A$7:$A$106,U492)=0),"Review: SOW mapping",IF(COUNTIF('Project codes'!$A$7:$A$106,U492)&gt;1,"Review: duplicate code",IF(_xlfn.XLOOKUP(U492,'Project codes'!$A$7:$A$106,'Project codes'!$F$7:$F$106,"Review",0)="Hold","Review: allocation hold",IF(OR(D492="",COUNTIF('SOW register'!$A$7:$A$36,D492)&lt;&gt;1),"Review: SOW mapping",IF(AND(G492&lt;&gt;"Yes",G492&lt;&gt;"No"),"Review: billability",IF(AB492="","Review: billing evidence","OK"))))))))))))))</x:f>
      </x:c>
      <x:c r="J492" s="24"/>
      <x:c r="K492" s="38"/>
      <x:c r="L492" s="38"/>
      <x:c r="M492" s="38"/>
      <x:c r="N492" s="39"/>
      <x:c r="O492" s="24"/>
      <x:c r="P492" s="24"/>
      <x:c r="Q492" s="38"/>
      <x:c r="R492" s="38"/>
      <x:c r="S492" s="24"/>
      <x:c r="T492" s="24"/>
      <x:c r="U492" s="37" t="str">
        <x:f>IF(OR(J492="",Q492="",R492=""),"",J492&amp;"|"&amp;Q492&amp;"|"&amp;R492)</x:f>
      </x:c>
      <x:c r="V492" s="24"/>
      <x:c r="W492" s="24"/>
      <x:c r="X492" s="40"/>
      <x:c r="Y492" s="40"/>
      <x:c r="Z492" s="39"/>
      <x:c r="AA492" s="39"/>
      <x:c r="AB492" s="24"/>
    </x:row>
    <x:row r="493" ht="23" customHeight="1">
      <x:c r="A493" s="20"/>
      <x:c r="B493" s="5"/>
      <x:c r="C493" s="4"/>
      <x:c r="D493" s="34" t="str">
        <x:f>IF(OR(A493="",U493="",COUNTIF('Project codes'!$A$7:$A$106,U493)&lt;&gt;1),"",_xlfn.XLOOKUP(U493,'Project codes'!$A$7:$A$106,'Project codes'!$I$7:$I$106,"",0))</x:f>
      </x:c>
      <x:c r="E493" s="4"/>
      <x:c r="F493" s="35" t="str">
        <x:f>IF(AND(ISNUMBER(N493),N493&gt;=0,O493="Complete"),N493/3600000,"")</x:f>
      </x:c>
      <x:c r="G493" s="4"/>
      <x:c r="H493" s="4"/>
      <x:c r="I493" s="36" t="str">
        <x:f>IF(COUNTA(A493:C493,E493,G493:H493,J493:T493,V493:AB493)=0,"",IF(A493="","Review: missing entry ID",IF(COUNTIF($A$7:$A$506,A493)&gt;1,"Review: duplicate entry ID",IF(NOT(ISNUMBER(B493)),"Review: work date",IF(OR(C493="",E493="",K493="",M493="",H493=""),"Review: source details",IF(J493&lt;&gt;'Estimate review'!$J$5,"Review: project scope",IF(OR(NOT(ISNUMBER(N493)),N493&lt;0,O493&lt;&gt;"Complete"),"Review: duration",IF(S493&lt;&gt;"Coded","Review: coding status",IF(OR(U493="",COUNTIF('Project codes'!$A$7:$A$106,U493)=0),"Review: SOW mapping",IF(COUNTIF('Project codes'!$A$7:$A$106,U493)&gt;1,"Review: duplicate code",IF(_xlfn.XLOOKUP(U493,'Project codes'!$A$7:$A$106,'Project codes'!$F$7:$F$106,"Review",0)="Hold","Review: allocation hold",IF(OR(D493="",COUNTIF('SOW register'!$A$7:$A$36,D493)&lt;&gt;1),"Review: SOW mapping",IF(AND(G493&lt;&gt;"Yes",G493&lt;&gt;"No"),"Review: billability",IF(AB493="","Review: billing evidence","OK"))))))))))))))</x:f>
      </x:c>
      <x:c r="J493" s="24"/>
      <x:c r="K493" s="38"/>
      <x:c r="L493" s="38"/>
      <x:c r="M493" s="38"/>
      <x:c r="N493" s="39"/>
      <x:c r="O493" s="24"/>
      <x:c r="P493" s="24"/>
      <x:c r="Q493" s="38"/>
      <x:c r="R493" s="38"/>
      <x:c r="S493" s="24"/>
      <x:c r="T493" s="24"/>
      <x:c r="U493" s="37" t="str">
        <x:f>IF(OR(J493="",Q493="",R493=""),"",J493&amp;"|"&amp;Q493&amp;"|"&amp;R493)</x:f>
      </x:c>
      <x:c r="V493" s="24"/>
      <x:c r="W493" s="24"/>
      <x:c r="X493" s="40"/>
      <x:c r="Y493" s="40"/>
      <x:c r="Z493" s="39"/>
      <x:c r="AA493" s="39"/>
      <x:c r="AB493" s="24"/>
    </x:row>
    <x:row r="494" ht="23" customHeight="1">
      <x:c r="A494" s="20"/>
      <x:c r="B494" s="5"/>
      <x:c r="C494" s="4"/>
      <x:c r="D494" s="34" t="str">
        <x:f>IF(OR(A494="",U494="",COUNTIF('Project codes'!$A$7:$A$106,U494)&lt;&gt;1),"",_xlfn.XLOOKUP(U494,'Project codes'!$A$7:$A$106,'Project codes'!$I$7:$I$106,"",0))</x:f>
      </x:c>
      <x:c r="E494" s="4"/>
      <x:c r="F494" s="35" t="str">
        <x:f>IF(AND(ISNUMBER(N494),N494&gt;=0,O494="Complete"),N494/3600000,"")</x:f>
      </x:c>
      <x:c r="G494" s="4"/>
      <x:c r="H494" s="4"/>
      <x:c r="I494" s="36" t="str">
        <x:f>IF(COUNTA(A494:C494,E494,G494:H494,J494:T494,V494:AB494)=0,"",IF(A494="","Review: missing entry ID",IF(COUNTIF($A$7:$A$506,A494)&gt;1,"Review: duplicate entry ID",IF(NOT(ISNUMBER(B494)),"Review: work date",IF(OR(C494="",E494="",K494="",M494="",H494=""),"Review: source details",IF(J494&lt;&gt;'Estimate review'!$J$5,"Review: project scope",IF(OR(NOT(ISNUMBER(N494)),N494&lt;0,O494&lt;&gt;"Complete"),"Review: duration",IF(S494&lt;&gt;"Coded","Review: coding status",IF(OR(U494="",COUNTIF('Project codes'!$A$7:$A$106,U494)=0),"Review: SOW mapping",IF(COUNTIF('Project codes'!$A$7:$A$106,U494)&gt;1,"Review: duplicate code",IF(_xlfn.XLOOKUP(U494,'Project codes'!$A$7:$A$106,'Project codes'!$F$7:$F$106,"Review",0)="Hold","Review: allocation hold",IF(OR(D494="",COUNTIF('SOW register'!$A$7:$A$36,D494)&lt;&gt;1),"Review: SOW mapping",IF(AND(G494&lt;&gt;"Yes",G494&lt;&gt;"No"),"Review: billability",IF(AB494="","Review: billing evidence","OK"))))))))))))))</x:f>
      </x:c>
      <x:c r="J494" s="24"/>
      <x:c r="K494" s="38"/>
      <x:c r="L494" s="38"/>
      <x:c r="M494" s="38"/>
      <x:c r="N494" s="39"/>
      <x:c r="O494" s="24"/>
      <x:c r="P494" s="24"/>
      <x:c r="Q494" s="38"/>
      <x:c r="R494" s="38"/>
      <x:c r="S494" s="24"/>
      <x:c r="T494" s="24"/>
      <x:c r="U494" s="37" t="str">
        <x:f>IF(OR(J494="",Q494="",R494=""),"",J494&amp;"|"&amp;Q494&amp;"|"&amp;R494)</x:f>
      </x:c>
      <x:c r="V494" s="24"/>
      <x:c r="W494" s="24"/>
      <x:c r="X494" s="40"/>
      <x:c r="Y494" s="40"/>
      <x:c r="Z494" s="39"/>
      <x:c r="AA494" s="39"/>
      <x:c r="AB494" s="24"/>
    </x:row>
    <x:row r="495" ht="23" customHeight="1">
      <x:c r="A495" s="20"/>
      <x:c r="B495" s="5"/>
      <x:c r="C495" s="4"/>
      <x:c r="D495" s="34" t="str">
        <x:f>IF(OR(A495="",U495="",COUNTIF('Project codes'!$A$7:$A$106,U495)&lt;&gt;1),"",_xlfn.XLOOKUP(U495,'Project codes'!$A$7:$A$106,'Project codes'!$I$7:$I$106,"",0))</x:f>
      </x:c>
      <x:c r="E495" s="4"/>
      <x:c r="F495" s="35" t="str">
        <x:f>IF(AND(ISNUMBER(N495),N495&gt;=0,O495="Complete"),N495/3600000,"")</x:f>
      </x:c>
      <x:c r="G495" s="4"/>
      <x:c r="H495" s="4"/>
      <x:c r="I495" s="36" t="str">
        <x:f>IF(COUNTA(A495:C495,E495,G495:H495,J495:T495,V495:AB495)=0,"",IF(A495="","Review: missing entry ID",IF(COUNTIF($A$7:$A$506,A495)&gt;1,"Review: duplicate entry ID",IF(NOT(ISNUMBER(B495)),"Review: work date",IF(OR(C495="",E495="",K495="",M495="",H495=""),"Review: source details",IF(J495&lt;&gt;'Estimate review'!$J$5,"Review: project scope",IF(OR(NOT(ISNUMBER(N495)),N495&lt;0,O495&lt;&gt;"Complete"),"Review: duration",IF(S495&lt;&gt;"Coded","Review: coding status",IF(OR(U495="",COUNTIF('Project codes'!$A$7:$A$106,U495)=0),"Review: SOW mapping",IF(COUNTIF('Project codes'!$A$7:$A$106,U495)&gt;1,"Review: duplicate code",IF(_xlfn.XLOOKUP(U495,'Project codes'!$A$7:$A$106,'Project codes'!$F$7:$F$106,"Review",0)="Hold","Review: allocation hold",IF(OR(D495="",COUNTIF('SOW register'!$A$7:$A$36,D495)&lt;&gt;1),"Review: SOW mapping",IF(AND(G495&lt;&gt;"Yes",G495&lt;&gt;"No"),"Review: billability",IF(AB495="","Review: billing evidence","OK"))))))))))))))</x:f>
      </x:c>
      <x:c r="J495" s="24"/>
      <x:c r="K495" s="38"/>
      <x:c r="L495" s="38"/>
      <x:c r="M495" s="38"/>
      <x:c r="N495" s="39"/>
      <x:c r="O495" s="24"/>
      <x:c r="P495" s="24"/>
      <x:c r="Q495" s="38"/>
      <x:c r="R495" s="38"/>
      <x:c r="S495" s="24"/>
      <x:c r="T495" s="24"/>
      <x:c r="U495" s="37" t="str">
        <x:f>IF(OR(J495="",Q495="",R495=""),"",J495&amp;"|"&amp;Q495&amp;"|"&amp;R495)</x:f>
      </x:c>
      <x:c r="V495" s="24"/>
      <x:c r="W495" s="24"/>
      <x:c r="X495" s="40"/>
      <x:c r="Y495" s="40"/>
      <x:c r="Z495" s="39"/>
      <x:c r="AA495" s="39"/>
      <x:c r="AB495" s="24"/>
    </x:row>
    <x:row r="496" ht="23" customHeight="1">
      <x:c r="A496" s="20"/>
      <x:c r="B496" s="5"/>
      <x:c r="C496" s="4"/>
      <x:c r="D496" s="34" t="str">
        <x:f>IF(OR(A496="",U496="",COUNTIF('Project codes'!$A$7:$A$106,U496)&lt;&gt;1),"",_xlfn.XLOOKUP(U496,'Project codes'!$A$7:$A$106,'Project codes'!$I$7:$I$106,"",0))</x:f>
      </x:c>
      <x:c r="E496" s="4"/>
      <x:c r="F496" s="35" t="str">
        <x:f>IF(AND(ISNUMBER(N496),N496&gt;=0,O496="Complete"),N496/3600000,"")</x:f>
      </x:c>
      <x:c r="G496" s="4"/>
      <x:c r="H496" s="4"/>
      <x:c r="I496" s="36" t="str">
        <x:f>IF(COUNTA(A496:C496,E496,G496:H496,J496:T496,V496:AB496)=0,"",IF(A496="","Review: missing entry ID",IF(COUNTIF($A$7:$A$506,A496)&gt;1,"Review: duplicate entry ID",IF(NOT(ISNUMBER(B496)),"Review: work date",IF(OR(C496="",E496="",K496="",M496="",H496=""),"Review: source details",IF(J496&lt;&gt;'Estimate review'!$J$5,"Review: project scope",IF(OR(NOT(ISNUMBER(N496)),N496&lt;0,O496&lt;&gt;"Complete"),"Review: duration",IF(S496&lt;&gt;"Coded","Review: coding status",IF(OR(U496="",COUNTIF('Project codes'!$A$7:$A$106,U496)=0),"Review: SOW mapping",IF(COUNTIF('Project codes'!$A$7:$A$106,U496)&gt;1,"Review: duplicate code",IF(_xlfn.XLOOKUP(U496,'Project codes'!$A$7:$A$106,'Project codes'!$F$7:$F$106,"Review",0)="Hold","Review: allocation hold",IF(OR(D496="",COUNTIF('SOW register'!$A$7:$A$36,D496)&lt;&gt;1),"Review: SOW mapping",IF(AND(G496&lt;&gt;"Yes",G496&lt;&gt;"No"),"Review: billability",IF(AB496="","Review: billing evidence","OK"))))))))))))))</x:f>
      </x:c>
      <x:c r="J496" s="24"/>
      <x:c r="K496" s="38"/>
      <x:c r="L496" s="38"/>
      <x:c r="M496" s="38"/>
      <x:c r="N496" s="39"/>
      <x:c r="O496" s="24"/>
      <x:c r="P496" s="24"/>
      <x:c r="Q496" s="38"/>
      <x:c r="R496" s="38"/>
      <x:c r="S496" s="24"/>
      <x:c r="T496" s="24"/>
      <x:c r="U496" s="37" t="str">
        <x:f>IF(OR(J496="",Q496="",R496=""),"",J496&amp;"|"&amp;Q496&amp;"|"&amp;R496)</x:f>
      </x:c>
      <x:c r="V496" s="24"/>
      <x:c r="W496" s="24"/>
      <x:c r="X496" s="40"/>
      <x:c r="Y496" s="40"/>
      <x:c r="Z496" s="39"/>
      <x:c r="AA496" s="39"/>
      <x:c r="AB496" s="24"/>
    </x:row>
    <x:row r="497" ht="23" customHeight="1">
      <x:c r="A497" s="20"/>
      <x:c r="B497" s="5"/>
      <x:c r="C497" s="4"/>
      <x:c r="D497" s="34" t="str">
        <x:f>IF(OR(A497="",U497="",COUNTIF('Project codes'!$A$7:$A$106,U497)&lt;&gt;1),"",_xlfn.XLOOKUP(U497,'Project codes'!$A$7:$A$106,'Project codes'!$I$7:$I$106,"",0))</x:f>
      </x:c>
      <x:c r="E497" s="4"/>
      <x:c r="F497" s="35" t="str">
        <x:f>IF(AND(ISNUMBER(N497),N497&gt;=0,O497="Complete"),N497/3600000,"")</x:f>
      </x:c>
      <x:c r="G497" s="4"/>
      <x:c r="H497" s="4"/>
      <x:c r="I497" s="36" t="str">
        <x:f>IF(COUNTA(A497:C497,E497,G497:H497,J497:T497,V497:AB497)=0,"",IF(A497="","Review: missing entry ID",IF(COUNTIF($A$7:$A$506,A497)&gt;1,"Review: duplicate entry ID",IF(NOT(ISNUMBER(B497)),"Review: work date",IF(OR(C497="",E497="",K497="",M497="",H497=""),"Review: source details",IF(J497&lt;&gt;'Estimate review'!$J$5,"Review: project scope",IF(OR(NOT(ISNUMBER(N497)),N497&lt;0,O497&lt;&gt;"Complete"),"Review: duration",IF(S497&lt;&gt;"Coded","Review: coding status",IF(OR(U497="",COUNTIF('Project codes'!$A$7:$A$106,U497)=0),"Review: SOW mapping",IF(COUNTIF('Project codes'!$A$7:$A$106,U497)&gt;1,"Review: duplicate code",IF(_xlfn.XLOOKUP(U497,'Project codes'!$A$7:$A$106,'Project codes'!$F$7:$F$106,"Review",0)="Hold","Review: allocation hold",IF(OR(D497="",COUNTIF('SOW register'!$A$7:$A$36,D497)&lt;&gt;1),"Review: SOW mapping",IF(AND(G497&lt;&gt;"Yes",G497&lt;&gt;"No"),"Review: billability",IF(AB497="","Review: billing evidence","OK"))))))))))))))</x:f>
      </x:c>
      <x:c r="J497" s="24"/>
      <x:c r="K497" s="38"/>
      <x:c r="L497" s="38"/>
      <x:c r="M497" s="38"/>
      <x:c r="N497" s="39"/>
      <x:c r="O497" s="24"/>
      <x:c r="P497" s="24"/>
      <x:c r="Q497" s="38"/>
      <x:c r="R497" s="38"/>
      <x:c r="S497" s="24"/>
      <x:c r="T497" s="24"/>
      <x:c r="U497" s="37" t="str">
        <x:f>IF(OR(J497="",Q497="",R497=""),"",J497&amp;"|"&amp;Q497&amp;"|"&amp;R497)</x:f>
      </x:c>
      <x:c r="V497" s="24"/>
      <x:c r="W497" s="24"/>
      <x:c r="X497" s="40"/>
      <x:c r="Y497" s="40"/>
      <x:c r="Z497" s="39"/>
      <x:c r="AA497" s="39"/>
      <x:c r="AB497" s="24"/>
    </x:row>
    <x:row r="498" ht="23" customHeight="1">
      <x:c r="A498" s="20"/>
      <x:c r="B498" s="5"/>
      <x:c r="C498" s="4"/>
      <x:c r="D498" s="34" t="str">
        <x:f>IF(OR(A498="",U498="",COUNTIF('Project codes'!$A$7:$A$106,U498)&lt;&gt;1),"",_xlfn.XLOOKUP(U498,'Project codes'!$A$7:$A$106,'Project codes'!$I$7:$I$106,"",0))</x:f>
      </x:c>
      <x:c r="E498" s="4"/>
      <x:c r="F498" s="35" t="str">
        <x:f>IF(AND(ISNUMBER(N498),N498&gt;=0,O498="Complete"),N498/3600000,"")</x:f>
      </x:c>
      <x:c r="G498" s="4"/>
      <x:c r="H498" s="4"/>
      <x:c r="I498" s="36" t="str">
        <x:f>IF(COUNTA(A498:C498,E498,G498:H498,J498:T498,V498:AB498)=0,"",IF(A498="","Review: missing entry ID",IF(COUNTIF($A$7:$A$506,A498)&gt;1,"Review: duplicate entry ID",IF(NOT(ISNUMBER(B498)),"Review: work date",IF(OR(C498="",E498="",K498="",M498="",H498=""),"Review: source details",IF(J498&lt;&gt;'Estimate review'!$J$5,"Review: project scope",IF(OR(NOT(ISNUMBER(N498)),N498&lt;0,O498&lt;&gt;"Complete"),"Review: duration",IF(S498&lt;&gt;"Coded","Review: coding status",IF(OR(U498="",COUNTIF('Project codes'!$A$7:$A$106,U498)=0),"Review: SOW mapping",IF(COUNTIF('Project codes'!$A$7:$A$106,U498)&gt;1,"Review: duplicate code",IF(_xlfn.XLOOKUP(U498,'Project codes'!$A$7:$A$106,'Project codes'!$F$7:$F$106,"Review",0)="Hold","Review: allocation hold",IF(OR(D498="",COUNTIF('SOW register'!$A$7:$A$36,D498)&lt;&gt;1),"Review: SOW mapping",IF(AND(G498&lt;&gt;"Yes",G498&lt;&gt;"No"),"Review: billability",IF(AB498="","Review: billing evidence","OK"))))))))))))))</x:f>
      </x:c>
      <x:c r="J498" s="24"/>
      <x:c r="K498" s="38"/>
      <x:c r="L498" s="38"/>
      <x:c r="M498" s="38"/>
      <x:c r="N498" s="39"/>
      <x:c r="O498" s="24"/>
      <x:c r="P498" s="24"/>
      <x:c r="Q498" s="38"/>
      <x:c r="R498" s="38"/>
      <x:c r="S498" s="24"/>
      <x:c r="T498" s="24"/>
      <x:c r="U498" s="37" t="str">
        <x:f>IF(OR(J498="",Q498="",R498=""),"",J498&amp;"|"&amp;Q498&amp;"|"&amp;R498)</x:f>
      </x:c>
      <x:c r="V498" s="24"/>
      <x:c r="W498" s="24"/>
      <x:c r="X498" s="40"/>
      <x:c r="Y498" s="40"/>
      <x:c r="Z498" s="39"/>
      <x:c r="AA498" s="39"/>
      <x:c r="AB498" s="24"/>
    </x:row>
    <x:row r="499" ht="23" customHeight="1">
      <x:c r="A499" s="20"/>
      <x:c r="B499" s="5"/>
      <x:c r="C499" s="4"/>
      <x:c r="D499" s="34" t="str">
        <x:f>IF(OR(A499="",U499="",COUNTIF('Project codes'!$A$7:$A$106,U499)&lt;&gt;1),"",_xlfn.XLOOKUP(U499,'Project codes'!$A$7:$A$106,'Project codes'!$I$7:$I$106,"",0))</x:f>
      </x:c>
      <x:c r="E499" s="4"/>
      <x:c r="F499" s="35" t="str">
        <x:f>IF(AND(ISNUMBER(N499),N499&gt;=0,O499="Complete"),N499/3600000,"")</x:f>
      </x:c>
      <x:c r="G499" s="4"/>
      <x:c r="H499" s="4"/>
      <x:c r="I499" s="36" t="str">
        <x:f>IF(COUNTA(A499:C499,E499,G499:H499,J499:T499,V499:AB499)=0,"",IF(A499="","Review: missing entry ID",IF(COUNTIF($A$7:$A$506,A499)&gt;1,"Review: duplicate entry ID",IF(NOT(ISNUMBER(B499)),"Review: work date",IF(OR(C499="",E499="",K499="",M499="",H499=""),"Review: source details",IF(J499&lt;&gt;'Estimate review'!$J$5,"Review: project scope",IF(OR(NOT(ISNUMBER(N499)),N499&lt;0,O499&lt;&gt;"Complete"),"Review: duration",IF(S499&lt;&gt;"Coded","Review: coding status",IF(OR(U499="",COUNTIF('Project codes'!$A$7:$A$106,U499)=0),"Review: SOW mapping",IF(COUNTIF('Project codes'!$A$7:$A$106,U499)&gt;1,"Review: duplicate code",IF(_xlfn.XLOOKUP(U499,'Project codes'!$A$7:$A$106,'Project codes'!$F$7:$F$106,"Review",0)="Hold","Review: allocation hold",IF(OR(D499="",COUNTIF('SOW register'!$A$7:$A$36,D499)&lt;&gt;1),"Review: SOW mapping",IF(AND(G499&lt;&gt;"Yes",G499&lt;&gt;"No"),"Review: billability",IF(AB499="","Review: billing evidence","OK"))))))))))))))</x:f>
      </x:c>
      <x:c r="J499" s="24"/>
      <x:c r="K499" s="38"/>
      <x:c r="L499" s="38"/>
      <x:c r="M499" s="38"/>
      <x:c r="N499" s="39"/>
      <x:c r="O499" s="24"/>
      <x:c r="P499" s="24"/>
      <x:c r="Q499" s="38"/>
      <x:c r="R499" s="38"/>
      <x:c r="S499" s="24"/>
      <x:c r="T499" s="24"/>
      <x:c r="U499" s="37" t="str">
        <x:f>IF(OR(J499="",Q499="",R499=""),"",J499&amp;"|"&amp;Q499&amp;"|"&amp;R499)</x:f>
      </x:c>
      <x:c r="V499" s="24"/>
      <x:c r="W499" s="24"/>
      <x:c r="X499" s="40"/>
      <x:c r="Y499" s="40"/>
      <x:c r="Z499" s="39"/>
      <x:c r="AA499" s="39"/>
      <x:c r="AB499" s="24"/>
    </x:row>
    <x:row r="500" ht="23" customHeight="1">
      <x:c r="A500" s="20"/>
      <x:c r="B500" s="5"/>
      <x:c r="C500" s="4"/>
      <x:c r="D500" s="34" t="str">
        <x:f>IF(OR(A500="",U500="",COUNTIF('Project codes'!$A$7:$A$106,U500)&lt;&gt;1),"",_xlfn.XLOOKUP(U500,'Project codes'!$A$7:$A$106,'Project codes'!$I$7:$I$106,"",0))</x:f>
      </x:c>
      <x:c r="E500" s="4"/>
      <x:c r="F500" s="35" t="str">
        <x:f>IF(AND(ISNUMBER(N500),N500&gt;=0,O500="Complete"),N500/3600000,"")</x:f>
      </x:c>
      <x:c r="G500" s="4"/>
      <x:c r="H500" s="4"/>
      <x:c r="I500" s="36" t="str">
        <x:f>IF(COUNTA(A500:C500,E500,G500:H500,J500:T500,V500:AB500)=0,"",IF(A500="","Review: missing entry ID",IF(COUNTIF($A$7:$A$506,A500)&gt;1,"Review: duplicate entry ID",IF(NOT(ISNUMBER(B500)),"Review: work date",IF(OR(C500="",E500="",K500="",M500="",H500=""),"Review: source details",IF(J500&lt;&gt;'Estimate review'!$J$5,"Review: project scope",IF(OR(NOT(ISNUMBER(N500)),N500&lt;0,O500&lt;&gt;"Complete"),"Review: duration",IF(S500&lt;&gt;"Coded","Review: coding status",IF(OR(U500="",COUNTIF('Project codes'!$A$7:$A$106,U500)=0),"Review: SOW mapping",IF(COUNTIF('Project codes'!$A$7:$A$106,U500)&gt;1,"Review: duplicate code",IF(_xlfn.XLOOKUP(U500,'Project codes'!$A$7:$A$106,'Project codes'!$F$7:$F$106,"Review",0)="Hold","Review: allocation hold",IF(OR(D500="",COUNTIF('SOW register'!$A$7:$A$36,D500)&lt;&gt;1),"Review: SOW mapping",IF(AND(G500&lt;&gt;"Yes",G500&lt;&gt;"No"),"Review: billability",IF(AB500="","Review: billing evidence","OK"))))))))))))))</x:f>
      </x:c>
      <x:c r="J500" s="24"/>
      <x:c r="K500" s="38"/>
      <x:c r="L500" s="38"/>
      <x:c r="M500" s="38"/>
      <x:c r="N500" s="39"/>
      <x:c r="O500" s="24"/>
      <x:c r="P500" s="24"/>
      <x:c r="Q500" s="38"/>
      <x:c r="R500" s="38"/>
      <x:c r="S500" s="24"/>
      <x:c r="T500" s="24"/>
      <x:c r="U500" s="37" t="str">
        <x:f>IF(OR(J500="",Q500="",R500=""),"",J500&amp;"|"&amp;Q500&amp;"|"&amp;R500)</x:f>
      </x:c>
      <x:c r="V500" s="24"/>
      <x:c r="W500" s="24"/>
      <x:c r="X500" s="40"/>
      <x:c r="Y500" s="40"/>
      <x:c r="Z500" s="39"/>
      <x:c r="AA500" s="39"/>
      <x:c r="AB500" s="24"/>
    </x:row>
    <x:row r="501" ht="23" customHeight="1">
      <x:c r="A501" s="20"/>
      <x:c r="B501" s="5"/>
      <x:c r="C501" s="4"/>
      <x:c r="D501" s="34" t="str">
        <x:f>IF(OR(A501="",U501="",COUNTIF('Project codes'!$A$7:$A$106,U501)&lt;&gt;1),"",_xlfn.XLOOKUP(U501,'Project codes'!$A$7:$A$106,'Project codes'!$I$7:$I$106,"",0))</x:f>
      </x:c>
      <x:c r="E501" s="4"/>
      <x:c r="F501" s="35" t="str">
        <x:f>IF(AND(ISNUMBER(N501),N501&gt;=0,O501="Complete"),N501/3600000,"")</x:f>
      </x:c>
      <x:c r="G501" s="4"/>
      <x:c r="H501" s="4"/>
      <x:c r="I501" s="36" t="str">
        <x:f>IF(COUNTA(A501:C501,E501,G501:H501,J501:T501,V501:AB501)=0,"",IF(A501="","Review: missing entry ID",IF(COUNTIF($A$7:$A$506,A501)&gt;1,"Review: duplicate entry ID",IF(NOT(ISNUMBER(B501)),"Review: work date",IF(OR(C501="",E501="",K501="",M501="",H501=""),"Review: source details",IF(J501&lt;&gt;'Estimate review'!$J$5,"Review: project scope",IF(OR(NOT(ISNUMBER(N501)),N501&lt;0,O501&lt;&gt;"Complete"),"Review: duration",IF(S501&lt;&gt;"Coded","Review: coding status",IF(OR(U501="",COUNTIF('Project codes'!$A$7:$A$106,U501)=0),"Review: SOW mapping",IF(COUNTIF('Project codes'!$A$7:$A$106,U501)&gt;1,"Review: duplicate code",IF(_xlfn.XLOOKUP(U501,'Project codes'!$A$7:$A$106,'Project codes'!$F$7:$F$106,"Review",0)="Hold","Review: allocation hold",IF(OR(D501="",COUNTIF('SOW register'!$A$7:$A$36,D501)&lt;&gt;1),"Review: SOW mapping",IF(AND(G501&lt;&gt;"Yes",G501&lt;&gt;"No"),"Review: billability",IF(AB501="","Review: billing evidence","OK"))))))))))))))</x:f>
      </x:c>
      <x:c r="J501" s="24"/>
      <x:c r="K501" s="38"/>
      <x:c r="L501" s="38"/>
      <x:c r="M501" s="38"/>
      <x:c r="N501" s="39"/>
      <x:c r="O501" s="24"/>
      <x:c r="P501" s="24"/>
      <x:c r="Q501" s="38"/>
      <x:c r="R501" s="38"/>
      <x:c r="S501" s="24"/>
      <x:c r="T501" s="24"/>
      <x:c r="U501" s="37" t="str">
        <x:f>IF(OR(J501="",Q501="",R501=""),"",J501&amp;"|"&amp;Q501&amp;"|"&amp;R501)</x:f>
      </x:c>
      <x:c r="V501" s="24"/>
      <x:c r="W501" s="24"/>
      <x:c r="X501" s="40"/>
      <x:c r="Y501" s="40"/>
      <x:c r="Z501" s="39"/>
      <x:c r="AA501" s="39"/>
      <x:c r="AB501" s="24"/>
    </x:row>
    <x:row r="502" ht="23" customHeight="1">
      <x:c r="A502" s="20"/>
      <x:c r="B502" s="5"/>
      <x:c r="C502" s="4"/>
      <x:c r="D502" s="34" t="str">
        <x:f>IF(OR(A502="",U502="",COUNTIF('Project codes'!$A$7:$A$106,U502)&lt;&gt;1),"",_xlfn.XLOOKUP(U502,'Project codes'!$A$7:$A$106,'Project codes'!$I$7:$I$106,"",0))</x:f>
      </x:c>
      <x:c r="E502" s="4"/>
      <x:c r="F502" s="35" t="str">
        <x:f>IF(AND(ISNUMBER(N502),N502&gt;=0,O502="Complete"),N502/3600000,"")</x:f>
      </x:c>
      <x:c r="G502" s="4"/>
      <x:c r="H502" s="4"/>
      <x:c r="I502" s="36" t="str">
        <x:f>IF(COUNTA(A502:C502,E502,G502:H502,J502:T502,V502:AB502)=0,"",IF(A502="","Review: missing entry ID",IF(COUNTIF($A$7:$A$506,A502)&gt;1,"Review: duplicate entry ID",IF(NOT(ISNUMBER(B502)),"Review: work date",IF(OR(C502="",E502="",K502="",M502="",H502=""),"Review: source details",IF(J502&lt;&gt;'Estimate review'!$J$5,"Review: project scope",IF(OR(NOT(ISNUMBER(N502)),N502&lt;0,O502&lt;&gt;"Complete"),"Review: duration",IF(S502&lt;&gt;"Coded","Review: coding status",IF(OR(U502="",COUNTIF('Project codes'!$A$7:$A$106,U502)=0),"Review: SOW mapping",IF(COUNTIF('Project codes'!$A$7:$A$106,U502)&gt;1,"Review: duplicate code",IF(_xlfn.XLOOKUP(U502,'Project codes'!$A$7:$A$106,'Project codes'!$F$7:$F$106,"Review",0)="Hold","Review: allocation hold",IF(OR(D502="",COUNTIF('SOW register'!$A$7:$A$36,D502)&lt;&gt;1),"Review: SOW mapping",IF(AND(G502&lt;&gt;"Yes",G502&lt;&gt;"No"),"Review: billability",IF(AB502="","Review: billing evidence","OK"))))))))))))))</x:f>
      </x:c>
      <x:c r="J502" s="24"/>
      <x:c r="K502" s="38"/>
      <x:c r="L502" s="38"/>
      <x:c r="M502" s="38"/>
      <x:c r="N502" s="39"/>
      <x:c r="O502" s="24"/>
      <x:c r="P502" s="24"/>
      <x:c r="Q502" s="38"/>
      <x:c r="R502" s="38"/>
      <x:c r="S502" s="24"/>
      <x:c r="T502" s="24"/>
      <x:c r="U502" s="37" t="str">
        <x:f>IF(OR(J502="",Q502="",R502=""),"",J502&amp;"|"&amp;Q502&amp;"|"&amp;R502)</x:f>
      </x:c>
      <x:c r="V502" s="24"/>
      <x:c r="W502" s="24"/>
      <x:c r="X502" s="40"/>
      <x:c r="Y502" s="40"/>
      <x:c r="Z502" s="39"/>
      <x:c r="AA502" s="39"/>
      <x:c r="AB502" s="24"/>
    </x:row>
    <x:row r="503" ht="23" customHeight="1">
      <x:c r="A503" s="20"/>
      <x:c r="B503" s="5"/>
      <x:c r="C503" s="4"/>
      <x:c r="D503" s="34" t="str">
        <x:f>IF(OR(A503="",U503="",COUNTIF('Project codes'!$A$7:$A$106,U503)&lt;&gt;1),"",_xlfn.XLOOKUP(U503,'Project codes'!$A$7:$A$106,'Project codes'!$I$7:$I$106,"",0))</x:f>
      </x:c>
      <x:c r="E503" s="4"/>
      <x:c r="F503" s="35" t="str">
        <x:f>IF(AND(ISNUMBER(N503),N503&gt;=0,O503="Complete"),N503/3600000,"")</x:f>
      </x:c>
      <x:c r="G503" s="4"/>
      <x:c r="H503" s="4"/>
      <x:c r="I503" s="36" t="str">
        <x:f>IF(COUNTA(A503:C503,E503,G503:H503,J503:T503,V503:AB503)=0,"",IF(A503="","Review: missing entry ID",IF(COUNTIF($A$7:$A$506,A503)&gt;1,"Review: duplicate entry ID",IF(NOT(ISNUMBER(B503)),"Review: work date",IF(OR(C503="",E503="",K503="",M503="",H503=""),"Review: source details",IF(J503&lt;&gt;'Estimate review'!$J$5,"Review: project scope",IF(OR(NOT(ISNUMBER(N503)),N503&lt;0,O503&lt;&gt;"Complete"),"Review: duration",IF(S503&lt;&gt;"Coded","Review: coding status",IF(OR(U503="",COUNTIF('Project codes'!$A$7:$A$106,U503)=0),"Review: SOW mapping",IF(COUNTIF('Project codes'!$A$7:$A$106,U503)&gt;1,"Review: duplicate code",IF(_xlfn.XLOOKUP(U503,'Project codes'!$A$7:$A$106,'Project codes'!$F$7:$F$106,"Review",0)="Hold","Review: allocation hold",IF(OR(D503="",COUNTIF('SOW register'!$A$7:$A$36,D503)&lt;&gt;1),"Review: SOW mapping",IF(AND(G503&lt;&gt;"Yes",G503&lt;&gt;"No"),"Review: billability",IF(AB503="","Review: billing evidence","OK"))))))))))))))</x:f>
      </x:c>
      <x:c r="J503" s="24"/>
      <x:c r="K503" s="38"/>
      <x:c r="L503" s="38"/>
      <x:c r="M503" s="38"/>
      <x:c r="N503" s="39"/>
      <x:c r="O503" s="24"/>
      <x:c r="P503" s="24"/>
      <x:c r="Q503" s="38"/>
      <x:c r="R503" s="38"/>
      <x:c r="S503" s="24"/>
      <x:c r="T503" s="24"/>
      <x:c r="U503" s="37" t="str">
        <x:f>IF(OR(J503="",Q503="",R503=""),"",J503&amp;"|"&amp;Q503&amp;"|"&amp;R503)</x:f>
      </x:c>
      <x:c r="V503" s="24"/>
      <x:c r="W503" s="24"/>
      <x:c r="X503" s="40"/>
      <x:c r="Y503" s="40"/>
      <x:c r="Z503" s="39"/>
      <x:c r="AA503" s="39"/>
      <x:c r="AB503" s="24"/>
    </x:row>
    <x:row r="504" ht="23" customHeight="1">
      <x:c r="A504" s="20"/>
      <x:c r="B504" s="5"/>
      <x:c r="C504" s="4"/>
      <x:c r="D504" s="34" t="str">
        <x:f>IF(OR(A504="",U504="",COUNTIF('Project codes'!$A$7:$A$106,U504)&lt;&gt;1),"",_xlfn.XLOOKUP(U504,'Project codes'!$A$7:$A$106,'Project codes'!$I$7:$I$106,"",0))</x:f>
      </x:c>
      <x:c r="E504" s="4"/>
      <x:c r="F504" s="35" t="str">
        <x:f>IF(AND(ISNUMBER(N504),N504&gt;=0,O504="Complete"),N504/3600000,"")</x:f>
      </x:c>
      <x:c r="G504" s="4"/>
      <x:c r="H504" s="4"/>
      <x:c r="I504" s="36" t="str">
        <x:f>IF(COUNTA(A504:C504,E504,G504:H504,J504:T504,V504:AB504)=0,"",IF(A504="","Review: missing entry ID",IF(COUNTIF($A$7:$A$506,A504)&gt;1,"Review: duplicate entry ID",IF(NOT(ISNUMBER(B504)),"Review: work date",IF(OR(C504="",E504="",K504="",M504="",H504=""),"Review: source details",IF(J504&lt;&gt;'Estimate review'!$J$5,"Review: project scope",IF(OR(NOT(ISNUMBER(N504)),N504&lt;0,O504&lt;&gt;"Complete"),"Review: duration",IF(S504&lt;&gt;"Coded","Review: coding status",IF(OR(U504="",COUNTIF('Project codes'!$A$7:$A$106,U504)=0),"Review: SOW mapping",IF(COUNTIF('Project codes'!$A$7:$A$106,U504)&gt;1,"Review: duplicate code",IF(_xlfn.XLOOKUP(U504,'Project codes'!$A$7:$A$106,'Project codes'!$F$7:$F$106,"Review",0)="Hold","Review: allocation hold",IF(OR(D504="",COUNTIF('SOW register'!$A$7:$A$36,D504)&lt;&gt;1),"Review: SOW mapping",IF(AND(G504&lt;&gt;"Yes",G504&lt;&gt;"No"),"Review: billability",IF(AB504="","Review: billing evidence","OK"))))))))))))))</x:f>
      </x:c>
      <x:c r="J504" s="24"/>
      <x:c r="K504" s="38"/>
      <x:c r="L504" s="38"/>
      <x:c r="M504" s="38"/>
      <x:c r="N504" s="39"/>
      <x:c r="O504" s="24"/>
      <x:c r="P504" s="24"/>
      <x:c r="Q504" s="38"/>
      <x:c r="R504" s="38"/>
      <x:c r="S504" s="24"/>
      <x:c r="T504" s="24"/>
      <x:c r="U504" s="37" t="str">
        <x:f>IF(OR(J504="",Q504="",R504=""),"",J504&amp;"|"&amp;Q504&amp;"|"&amp;R504)</x:f>
      </x:c>
      <x:c r="V504" s="24"/>
      <x:c r="W504" s="24"/>
      <x:c r="X504" s="40"/>
      <x:c r="Y504" s="40"/>
      <x:c r="Z504" s="39"/>
      <x:c r="AA504" s="39"/>
      <x:c r="AB504" s="24"/>
    </x:row>
    <x:row r="505" ht="23" customHeight="1">
      <x:c r="A505" s="20"/>
      <x:c r="B505" s="5"/>
      <x:c r="C505" s="4"/>
      <x:c r="D505" s="34" t="str">
        <x:f>IF(OR(A505="",U505="",COUNTIF('Project codes'!$A$7:$A$106,U505)&lt;&gt;1),"",_xlfn.XLOOKUP(U505,'Project codes'!$A$7:$A$106,'Project codes'!$I$7:$I$106,"",0))</x:f>
      </x:c>
      <x:c r="E505" s="4"/>
      <x:c r="F505" s="35" t="str">
        <x:f>IF(AND(ISNUMBER(N505),N505&gt;=0,O505="Complete"),N505/3600000,"")</x:f>
      </x:c>
      <x:c r="G505" s="4"/>
      <x:c r="H505" s="4"/>
      <x:c r="I505" s="36" t="str">
        <x:f>IF(COUNTA(A505:C505,E505,G505:H505,J505:T505,V505:AB505)=0,"",IF(A505="","Review: missing entry ID",IF(COUNTIF($A$7:$A$506,A505)&gt;1,"Review: duplicate entry ID",IF(NOT(ISNUMBER(B505)),"Review: work date",IF(OR(C505="",E505="",K505="",M505="",H505=""),"Review: source details",IF(J505&lt;&gt;'Estimate review'!$J$5,"Review: project scope",IF(OR(NOT(ISNUMBER(N505)),N505&lt;0,O505&lt;&gt;"Complete"),"Review: duration",IF(S505&lt;&gt;"Coded","Review: coding status",IF(OR(U505="",COUNTIF('Project codes'!$A$7:$A$106,U505)=0),"Review: SOW mapping",IF(COUNTIF('Project codes'!$A$7:$A$106,U505)&gt;1,"Review: duplicate code",IF(_xlfn.XLOOKUP(U505,'Project codes'!$A$7:$A$106,'Project codes'!$F$7:$F$106,"Review",0)="Hold","Review: allocation hold",IF(OR(D505="",COUNTIF('SOW register'!$A$7:$A$36,D505)&lt;&gt;1),"Review: SOW mapping",IF(AND(G505&lt;&gt;"Yes",G505&lt;&gt;"No"),"Review: billability",IF(AB505="","Review: billing evidence","OK"))))))))))))))</x:f>
      </x:c>
      <x:c r="J505" s="24"/>
      <x:c r="K505" s="38"/>
      <x:c r="L505" s="38"/>
      <x:c r="M505" s="38"/>
      <x:c r="N505" s="39"/>
      <x:c r="O505" s="24"/>
      <x:c r="P505" s="24"/>
      <x:c r="Q505" s="38"/>
      <x:c r="R505" s="38"/>
      <x:c r="S505" s="24"/>
      <x:c r="T505" s="24"/>
      <x:c r="U505" s="37" t="str">
        <x:f>IF(OR(J505="",Q505="",R505=""),"",J505&amp;"|"&amp;Q505&amp;"|"&amp;R505)</x:f>
      </x:c>
      <x:c r="V505" s="24"/>
      <x:c r="W505" s="24"/>
      <x:c r="X505" s="40"/>
      <x:c r="Y505" s="40"/>
      <x:c r="Z505" s="39"/>
      <x:c r="AA505" s="39"/>
      <x:c r="AB505" s="24"/>
    </x:row>
    <x:row r="506" ht="23" customHeight="1">
      <x:c r="A506" s="20"/>
      <x:c r="B506" s="5"/>
      <x:c r="C506" s="4"/>
      <x:c r="D506" s="34" t="str">
        <x:f>IF(OR(A506="",U506="",COUNTIF('Project codes'!$A$7:$A$106,U506)&lt;&gt;1),"",_xlfn.XLOOKUP(U506,'Project codes'!$A$7:$A$106,'Project codes'!$I$7:$I$106,"",0))</x:f>
      </x:c>
      <x:c r="E506" s="4"/>
      <x:c r="F506" s="35" t="str">
        <x:f>IF(AND(ISNUMBER(N506),N506&gt;=0,O506="Complete"),N506/3600000,"")</x:f>
      </x:c>
      <x:c r="G506" s="4"/>
      <x:c r="H506" s="4"/>
      <x:c r="I506" s="36" t="str">
        <x:f>IF(COUNTA(A506:C506,E506,G506:H506,J506:T506,V506:AB506)=0,"",IF(A506="","Review: missing entry ID",IF(COUNTIF($A$7:$A$506,A506)&gt;1,"Review: duplicate entry ID",IF(NOT(ISNUMBER(B506)),"Review: work date",IF(OR(C506="",E506="",K506="",M506="",H506=""),"Review: source details",IF(J506&lt;&gt;'Estimate review'!$J$5,"Review: project scope",IF(OR(NOT(ISNUMBER(N506)),N506&lt;0,O506&lt;&gt;"Complete"),"Review: duration",IF(S506&lt;&gt;"Coded","Review: coding status",IF(OR(U506="",COUNTIF('Project codes'!$A$7:$A$106,U506)=0),"Review: SOW mapping",IF(COUNTIF('Project codes'!$A$7:$A$106,U506)&gt;1,"Review: duplicate code",IF(_xlfn.XLOOKUP(U506,'Project codes'!$A$7:$A$106,'Project codes'!$F$7:$F$106,"Review",0)="Hold","Review: allocation hold",IF(OR(D506="",COUNTIF('SOW register'!$A$7:$A$36,D506)&lt;&gt;1),"Review: SOW mapping",IF(AND(G506&lt;&gt;"Yes",G506&lt;&gt;"No"),"Review: billability",IF(AB506="","Review: billing evidence","OK"))))))))))))))</x:f>
      </x:c>
      <x:c r="J506" s="24"/>
      <x:c r="K506" s="38"/>
      <x:c r="L506" s="38"/>
      <x:c r="M506" s="38"/>
      <x:c r="N506" s="39"/>
      <x:c r="O506" s="24"/>
      <x:c r="P506" s="24"/>
      <x:c r="Q506" s="38"/>
      <x:c r="R506" s="38"/>
      <x:c r="S506" s="24"/>
      <x:c r="T506" s="24"/>
      <x:c r="U506" s="37" t="str">
        <x:f>IF(OR(J506="",Q506="",R506=""),"",J506&amp;"|"&amp;Q506&amp;"|"&amp;R506)</x:f>
      </x:c>
      <x:c r="V506" s="24"/>
      <x:c r="W506" s="24"/>
      <x:c r="X506" s="40"/>
      <x:c r="Y506" s="40"/>
      <x:c r="Z506" s="39"/>
      <x:c r="AA506" s="39"/>
      <x:c r="AB506" s="24"/>
    </x:row>
  </x:sheetData>
  <x:conditionalFormatting sqref="I7:I506">
    <x:cfRule type="containsText" dxfId="4" priority="1" operator="containsText" text="Review:"/>
  </x:conditionalFormatting>
  <x:dataValidations count="1">
    <x:dataValidation type="list" sqref="G7:G506">
      <x:formula1>"Yes,No,Unclear"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860119e174430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0" hidden="0" customWidth="1"/>
    <x:col min="2" max="2" width="26" hidden="0" customWidth="1"/>
    <x:col min="3" max="3" width="40" hidden="0" customWidth="1"/>
    <x:col min="4" max="4" width="40" hidden="0" customWidth="1"/>
    <x:col min="5" max="5" width="52" hidden="0" customWidth="1"/>
    <x:col min="6" max="6" width="18" hidden="0" customWidth="1"/>
    <x:col min="7" max="7" width="24" hidden="0" customWidth="1"/>
    <x:col min="8" max="8" width="52" hidden="0" customWidth="1"/>
    <x:col min="9" max="9" width="2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41" t="str">
        <x:v>Project Code to SOW mapping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 t="str">
        <x:v>Match project + field ID + option ID. Several Project Codes may map to one SOW; that SOW is rounded once.</x:v>
      </x:c>
      <x:c r="B3" s="1"/>
      <x:c r="C3" s="1"/>
      <x:c r="D3" s="1"/>
      <x:c r="E3" s="1"/>
      <x:c r="F3" s="1"/>
      <x:c r="G3" s="1"/>
      <x:c r="H3" s="1"/>
    </x:row>
    <x:row r="4" ht="24" customHeight="1">
      <x:c r="A4" s="1" t="str">
        <x:v>Map only with confirmation evidence. Hold legacy/pending allocations; task status never establishes SOW status.</x:v>
      </x:c>
      <x:c r="B4" s="1"/>
      <x:c r="C4" s="1"/>
      <x:c r="D4" s="1"/>
      <x:c r="E4" s="1"/>
      <x:c r="F4" s="1"/>
      <x:c r="G4" s="1"/>
      <x:c r="H4" s="1"/>
    </x:row>
    <x:row r="5" ht="24" customHeight="1">
      <x:c r="A5" s="1" t="str">
        <x:v>Current Battlestar dropdown observed October 1, 2026. Refresh codes from the source export; no QBO mappings are assumed.</x:v>
      </x:c>
      <x:c r="B5" s="1"/>
      <x:c r="C5" s="1"/>
      <x:c r="D5" s="1"/>
      <x:c r="E5" s="1"/>
      <x:c r="F5" s="1"/>
      <x:c r="G5" s="1"/>
      <x:c r="H5" s="1"/>
    </x:row>
    <x:row r="6" ht="36" customHeight="1">
      <x:c r="A6" s="33" t="str">
        <x:v>Mapping key</x:v>
      </x:c>
      <x:c r="B6" s="33" t="str">
        <x:v>ClickUp project</x:v>
      </x:c>
      <x:c r="C6" s="33" t="str">
        <x:v>Project Code field ID</x:v>
      </x:c>
      <x:c r="D6" s="33" t="str">
        <x:v>Project Code option ID</x:v>
      </x:c>
      <x:c r="E6" s="33" t="str">
        <x:v>Project Code label</x:v>
      </x:c>
      <x:c r="F6" s="33" t="str">
        <x:v>Treatment</x:v>
      </x:c>
      <x:c r="G6" s="33" t="str">
        <x:v>Confirmed SOW ID</x:v>
      </x:c>
      <x:c r="H6" s="33" t="str">
        <x:v>Mapping confirmation / resolution</x:v>
      </x:c>
      <x:c r="I6" s="33" t="str">
        <x:v>Approved SOW</x:v>
      </x:c>
    </x:row>
    <x:row r="7" ht="36" customHeight="1">
      <x:c r="A7" s="45" t="str">
        <x:f>IF(OR(B7="",C7="",D7=""),"",B7&amp;"|"&amp;C7&amp;"|"&amp;D7)</x:f>
        <x:v>Project Battlestar|8e714f9d-cabd-4396-b26a-b8aee1ba18aa|c43f4dd7-ca26-4c0b-b624-b7490c51f895</x:v>
      </x:c>
      <x:c r="B7" s="24" t="str">
        <x:v>Project Battlestar</x:v>
      </x:c>
      <x:c r="C7" s="38" t="str">
        <x:v>8e714f9d-cabd-4396-b26a-b8aee1ba18aa</x:v>
      </x:c>
      <x:c r="D7" s="38" t="str">
        <x:v>c43f4dd7-ca26-4c0b-b624-b7490c51f895</x:v>
      </x:c>
      <x:c r="E7" s="46" t="str">
        <x:v>BT-P1 — Phase 1 Delivery</x:v>
      </x:c>
      <x:c r="F7" s="24" t="str">
        <x:v>Review</x:v>
      </x:c>
      <x:c r="G7" s="38"/>
      <x:c r="H7" s="24"/>
      <x:c r="I7" s="44" t="str">
        <x:f>IF(AND(F7="Map",G7&lt;&gt;"",H7&lt;&gt;""),G7,"")</x:f>
      </x:c>
    </x:row>
    <x:row r="8" ht="36" customHeight="1">
      <x:c r="A8" s="45" t="str">
        <x:f>IF(OR(B8="",C8="",D8=""),"",B8&amp;"|"&amp;C8&amp;"|"&amp;D8)</x:f>
        <x:v>Project Battlestar|8e714f9d-cabd-4396-b26a-b8aee1ba18aa|2cdbd325-cbb9-450c-995e-5319c7fec54c</x:v>
      </x:c>
      <x:c r="B8" s="24" t="str">
        <x:v>Project Battlestar</x:v>
      </x:c>
      <x:c r="C8" s="38" t="str">
        <x:v>8e714f9d-cabd-4396-b26a-b8aee1ba18aa</x:v>
      </x:c>
      <x:c r="D8" s="38" t="str">
        <x:v>2cdbd325-cbb9-450c-995e-5319c7fec54c</x:v>
      </x:c>
      <x:c r="E8" s="46" t="str">
        <x:v>BT-S06 — DDS Locator</x:v>
      </x:c>
      <x:c r="F8" s="24" t="str">
        <x:v>Review</x:v>
      </x:c>
      <x:c r="G8" s="38"/>
      <x:c r="H8" s="24"/>
      <x:c r="I8" s="44" t="str">
        <x:f>IF(AND(F8="Map",G8&lt;&gt;"",H8&lt;&gt;""),G8,"")</x:f>
      </x:c>
    </x:row>
    <x:row r="9" ht="36" customHeight="1">
      <x:c r="A9" s="45" t="str">
        <x:f>IF(OR(B9="",C9="",D9=""),"",B9&amp;"|"&amp;C9&amp;"|"&amp;D9)</x:f>
        <x:v>Project Battlestar|8e714f9d-cabd-4396-b26a-b8aee1ba18aa|5d134280-e7a1-47d2-9f90-e2fe73b7bba5</x:v>
      </x:c>
      <x:c r="B9" s="24" t="str">
        <x:v>Project Battlestar</x:v>
      </x:c>
      <x:c r="C9" s="38" t="str">
        <x:v>8e714f9d-cabd-4396-b26a-b8aee1ba18aa</x:v>
      </x:c>
      <x:c r="D9" s="38" t="str">
        <x:v>5d134280-e7a1-47d2-9f90-e2fe73b7bba5</x:v>
      </x:c>
      <x:c r="E9" s="46" t="str">
        <x:v>BT-S07 — Marketing Email Domains</x:v>
      </x:c>
      <x:c r="F9" s="24" t="str">
        <x:v>Review</x:v>
      </x:c>
      <x:c r="G9" s="38"/>
      <x:c r="H9" s="24"/>
      <x:c r="I9" s="44" t="str">
        <x:f>IF(AND(F9="Map",G9&lt;&gt;"",H9&lt;&gt;""),G9,"")</x:f>
      </x:c>
    </x:row>
    <x:row r="10" ht="36" customHeight="1">
      <x:c r="A10" s="45" t="str">
        <x:f>IF(OR(B10="",C10="",D10=""),"",B10&amp;"|"&amp;C10&amp;"|"&amp;D10)</x:f>
        <x:v>Project Battlestar|8e714f9d-cabd-4396-b26a-b8aee1ba18aa|7003c07d-75cf-4b40-9374-31f4969c368f</x:v>
      </x:c>
      <x:c r="B10" s="24" t="str">
        <x:v>Project Battlestar</x:v>
      </x:c>
      <x:c r="C10" s="38" t="str">
        <x:v>8e714f9d-cabd-4396-b26a-b8aee1ba18aa</x:v>
      </x:c>
      <x:c r="D10" s="38" t="str">
        <x:v>7003c07d-75cf-4b40-9374-31f4969c368f</x:v>
      </x:c>
      <x:c r="E10" s="46" t="str">
        <x:v>BT-S08 — Microsoft 365 Administration</x:v>
      </x:c>
      <x:c r="F10" s="24" t="str">
        <x:v>Review</x:v>
      </x:c>
      <x:c r="G10" s="38"/>
      <x:c r="H10" s="24"/>
      <x:c r="I10" s="44" t="str">
        <x:f>IF(AND(F10="Map",G10&lt;&gt;"",H10&lt;&gt;""),G10,"")</x:f>
      </x:c>
    </x:row>
    <x:row r="11" ht="36" customHeight="1">
      <x:c r="A11" s="45" t="str">
        <x:f>IF(OR(B11="",C11="",D11=""),"",B11&amp;"|"&amp;C11&amp;"|"&amp;D11)</x:f>
        <x:v>Project Battlestar|8e714f9d-cabd-4396-b26a-b8aee1ba18aa|77eeb93e-0ec7-43ba-afc1-525012a18a1d</x:v>
      </x:c>
      <x:c r="B11" s="24" t="str">
        <x:v>Project Battlestar</x:v>
      </x:c>
      <x:c r="C11" s="38" t="str">
        <x:v>8e714f9d-cabd-4396-b26a-b8aee1ba18aa</x:v>
      </x:c>
      <x:c r="D11" s="38" t="str">
        <x:v>77eeb93e-0ec7-43ba-afc1-525012a18a1d</x:v>
      </x:c>
      <x:c r="E11" s="46" t="str">
        <x:v>BT-S09 — Scanner ETL Discovery</x:v>
      </x:c>
      <x:c r="F11" s="24" t="str">
        <x:v>Review</x:v>
      </x:c>
      <x:c r="G11" s="38"/>
      <x:c r="H11" s="24"/>
      <x:c r="I11" s="44" t="str">
        <x:f>IF(AND(F11="Map",G11&lt;&gt;"",H11&lt;&gt;""),G11,"")</x:f>
      </x:c>
    </x:row>
    <x:row r="12" ht="36" customHeight="1">
      <x:c r="A12" s="45" t="str">
        <x:f>IF(OR(B12="",C12="",D12=""),"",B12&amp;"|"&amp;C12&amp;"|"&amp;D12)</x:f>
        <x:v>Project Battlestar|8e714f9d-cabd-4396-b26a-b8aee1ba18aa|c0c84054-b74d-4b62-9a15-91f755142d54</x:v>
      </x:c>
      <x:c r="B12" s="24" t="str">
        <x:v>Project Battlestar</x:v>
      </x:c>
      <x:c r="C12" s="38" t="str">
        <x:v>8e714f9d-cabd-4396-b26a-b8aee1ba18aa</x:v>
      </x:c>
      <x:c r="D12" s="38" t="str">
        <x:v>c0c84054-b74d-4b62-9a15-91f755142d54</x:v>
      </x:c>
      <x:c r="E12" s="46" t="str">
        <x:v>BT-S10 — Salesforce Reports &amp; Campaigns</x:v>
      </x:c>
      <x:c r="F12" s="24" t="str">
        <x:v>Review</x:v>
      </x:c>
      <x:c r="G12" s="38"/>
      <x:c r="H12" s="24"/>
      <x:c r="I12" s="44" t="str">
        <x:f>IF(AND(F12="Map",G12&lt;&gt;"",H12&lt;&gt;""),G12,"")</x:f>
      </x:c>
    </x:row>
    <x:row r="13" ht="36" customHeight="1">
      <x:c r="A13" s="45" t="str">
        <x:f>IF(OR(B13="",C13="",D13=""),"",B13&amp;"|"&amp;C13&amp;"|"&amp;D13)</x:f>
        <x:v>Project Battlestar|8e714f9d-cabd-4396-b26a-b8aee1ba18aa|dd7fd871-a401-4bbd-a45f-60894915329a</x:v>
      </x:c>
      <x:c r="B13" s="24" t="str">
        <x:v>Project Battlestar</x:v>
      </x:c>
      <x:c r="C13" s="38" t="str">
        <x:v>8e714f9d-cabd-4396-b26a-b8aee1ba18aa</x:v>
      </x:c>
      <x:c r="D13" s="38" t="str">
        <x:v>dd7fd871-a401-4bbd-a45f-60894915329a</x:v>
      </x:c>
      <x:c r="E13" s="46" t="str">
        <x:v>BT-S11 — Historical Product Data Normalization</x:v>
      </x:c>
      <x:c r="F13" s="24" t="str">
        <x:v>Review</x:v>
      </x:c>
      <x:c r="G13" s="38"/>
      <x:c r="H13" s="24"/>
      <x:c r="I13" s="44" t="str">
        <x:f>IF(AND(F13="Map",G13&lt;&gt;"",H13&lt;&gt;""),G13,"")</x:f>
      </x:c>
    </x:row>
    <x:row r="14" ht="36" customHeight="1">
      <x:c r="A14" s="45" t="str">
        <x:f>IF(OR(B14="",C14="",D14=""),"",B14&amp;"|"&amp;C14&amp;"|"&amp;D14)</x:f>
        <x:v>Project Battlestar|8e714f9d-cabd-4396-b26a-b8aee1ba18aa|32c0beab-7c53-4eb1-ba97-b82295249120</x:v>
      </x:c>
      <x:c r="B14" s="24" t="str">
        <x:v>Project Battlestar</x:v>
      </x:c>
      <x:c r="C14" s="38" t="str">
        <x:v>8e714f9d-cabd-4396-b26a-b8aee1ba18aa</x:v>
      </x:c>
      <x:c r="D14" s="38" t="str">
        <x:v>32c0beab-7c53-4eb1-ba97-b82295249120</x:v>
      </x:c>
      <x:c r="E14" s="46" t="str">
        <x:v>BT-S12 — Marketing Website &amp; UPS</x:v>
      </x:c>
      <x:c r="F14" s="24" t="str">
        <x:v>Review</x:v>
      </x:c>
      <x:c r="G14" s="38"/>
      <x:c r="H14" s="24"/>
      <x:c r="I14" s="44" t="str">
        <x:f>IF(AND(F14="Map",G14&lt;&gt;"",H14&lt;&gt;""),G14,"")</x:f>
      </x:c>
    </x:row>
    <x:row r="15" ht="36" customHeight="1">
      <x:c r="A15" s="45" t="str">
        <x:f>IF(OR(B15="",C15="",D15=""),"",B15&amp;"|"&amp;C15&amp;"|"&amp;D15)</x:f>
        <x:v>Project Battlestar|8e714f9d-cabd-4396-b26a-b8aee1ba18aa|7758380e-6dbc-4e12-b977-e3cc8acf8892</x:v>
      </x:c>
      <x:c r="B15" s="24" t="str">
        <x:v>Project Battlestar</x:v>
      </x:c>
      <x:c r="C15" s="38" t="str">
        <x:v>8e714f9d-cabd-4396-b26a-b8aee1ba18aa</x:v>
      </x:c>
      <x:c r="D15" s="38" t="str">
        <x:v>7758380e-6dbc-4e12-b977-e3cc8acf8892</x:v>
      </x:c>
      <x:c r="E15" s="46" t="str">
        <x:v>BT-S13 — Apex Sales &amp; Marketing Discovery</x:v>
      </x:c>
      <x:c r="F15" s="24" t="str">
        <x:v>Review</x:v>
      </x:c>
      <x:c r="G15" s="38"/>
      <x:c r="H15" s="24"/>
      <x:c r="I15" s="44" t="str">
        <x:f>IF(AND(F15="Map",G15&lt;&gt;"",H15&lt;&gt;""),G15,"")</x:f>
      </x:c>
    </x:row>
    <x:row r="16" ht="36" customHeight="1">
      <x:c r="A16" s="45" t="str">
        <x:f>IF(OR(B16="",C16="",D16=""),"",B16&amp;"|"&amp;C16&amp;"|"&amp;D16)</x:f>
        <x:v>Project Battlestar|8e714f9d-cabd-4396-b26a-b8aee1ba18aa|892dc3b1-146a-478a-99fd-4258feefed45</x:v>
      </x:c>
      <x:c r="B16" s="24" t="str">
        <x:v>Project Battlestar</x:v>
      </x:c>
      <x:c r="C16" s="38" t="str">
        <x:v>8e714f9d-cabd-4396-b26a-b8aee1ba18aa</x:v>
      </x:c>
      <x:c r="D16" s="38" t="str">
        <x:v>892dc3b1-146a-478a-99fd-4258feefed45</x:v>
      </x:c>
      <x:c r="E16" s="46" t="str">
        <x:v>BT-S14 — Kinder Krowns QuickBooks Discovery</x:v>
      </x:c>
      <x:c r="F16" s="24" t="str">
        <x:v>Review</x:v>
      </x:c>
      <x:c r="G16" s="38"/>
      <x:c r="H16" s="24"/>
      <x:c r="I16" s="44" t="str">
        <x:f>IF(AND(F16="Map",G16&lt;&gt;"",H16&lt;&gt;""),G16,"")</x:f>
      </x:c>
    </x:row>
    <x:row r="17" ht="36" customHeight="1">
      <x:c r="A17" s="45" t="str">
        <x:f>IF(OR(B17="",C17="",D17=""),"",B17&amp;"|"&amp;C17&amp;"|"&amp;D17)</x:f>
        <x:v>Project Battlestar|8e714f9d-cabd-4396-b26a-b8aee1ba18aa|daeed189-4094-441a-91b6-bc7dd5b3dc2a</x:v>
      </x:c>
      <x:c r="B17" s="24" t="str">
        <x:v>Project Battlestar</x:v>
      </x:c>
      <x:c r="C17" s="38" t="str">
        <x:v>8e714f9d-cabd-4396-b26a-b8aee1ba18aa</x:v>
      </x:c>
      <x:c r="D17" s="38" t="str">
        <x:v>daeed189-4094-441a-91b6-bc7dd5b3dc2a</x:v>
      </x:c>
      <x:c r="E17" s="46" t="str">
        <x:v>BT-S15 — Kinder Krowns WooCommerce Discovery</x:v>
      </x:c>
      <x:c r="F17" s="24" t="str">
        <x:v>Review</x:v>
      </x:c>
      <x:c r="G17" s="38"/>
      <x:c r="H17" s="24"/>
      <x:c r="I17" s="44" t="str">
        <x:f>IF(AND(F17="Map",G17&lt;&gt;"",H17&lt;&gt;""),G17,"")</x:f>
      </x:c>
    </x:row>
    <x:row r="18" ht="36" customHeight="1">
      <x:c r="A18" s="45" t="str">
        <x:f>IF(OR(B18="",C18="",D18=""),"",B18&amp;"|"&amp;C18&amp;"|"&amp;D18)</x:f>
        <x:v>Project Battlestar|8e714f9d-cabd-4396-b26a-b8aee1ba18aa|f791f629-0216-4adb-ad79-1764624fae18</x:v>
      </x:c>
      <x:c r="B18" s="24" t="str">
        <x:v>Project Battlestar</x:v>
      </x:c>
      <x:c r="C18" s="38" t="str">
        <x:v>8e714f9d-cabd-4396-b26a-b8aee1ba18aa</x:v>
      </x:c>
      <x:c r="D18" s="38" t="str">
        <x:v>f791f629-0216-4adb-ad79-1764624fae18</x:v>
      </x:c>
      <x:c r="E18" s="46" t="str">
        <x:v>BT-S16 — Kinder Krowns Salesforce Mobile Discovery</x:v>
      </x:c>
      <x:c r="F18" s="24" t="str">
        <x:v>Review</x:v>
      </x:c>
      <x:c r="G18" s="38"/>
      <x:c r="H18" s="24"/>
      <x:c r="I18" s="44" t="str">
        <x:f>IF(AND(F18="Map",G18&lt;&gt;"",H18&lt;&gt;""),G18,"")</x:f>
      </x:c>
    </x:row>
    <x:row r="19" ht="36" customHeight="1">
      <x:c r="A19" s="45" t="str">
        <x:f>IF(OR(B19="",C19="",D19=""),"",B19&amp;"|"&amp;C19&amp;"|"&amp;D19)</x:f>
        <x:v>Project Battlestar|8e714f9d-cabd-4396-b26a-b8aee1ba18aa|11d74f71-d7a5-4ba3-8415-887a9fb276ea</x:v>
      </x:c>
      <x:c r="B19" s="24" t="str">
        <x:v>Project Battlestar</x:v>
      </x:c>
      <x:c r="C19" s="38" t="str">
        <x:v>8e714f9d-cabd-4396-b26a-b8aee1ba18aa</x:v>
      </x:c>
      <x:c r="D19" s="38" t="str">
        <x:v>11d74f71-d7a5-4ba3-8415-887a9fb276ea</x:v>
      </x:c>
      <x:c r="E19" s="46" t="str">
        <x:v>BT-S17 — Kinder Krowns Salesforce Pipeline Discovery</x:v>
      </x:c>
      <x:c r="F19" s="24" t="str">
        <x:v>Review</x:v>
      </x:c>
      <x:c r="G19" s="38"/>
      <x:c r="H19" s="24"/>
      <x:c r="I19" s="44" t="str">
        <x:f>IF(AND(F19="Map",G19&lt;&gt;"",H19&lt;&gt;""),G19,"")</x:f>
      </x:c>
    </x:row>
    <x:row r="20" ht="36" customHeight="1">
      <x:c r="A20" s="45" t="str">
        <x:f>IF(OR(B20="",C20="",D20=""),"",B20&amp;"|"&amp;C20&amp;"|"&amp;D20)</x:f>
        <x:v>Project Battlestar|8e714f9d-cabd-4396-b26a-b8aee1ba18aa|cebef877-8635-4acd-ab14-bdf47be1f785</x:v>
      </x:c>
      <x:c r="B20" s="24" t="str">
        <x:v>Project Battlestar</x:v>
      </x:c>
      <x:c r="C20" s="38" t="str">
        <x:v>8e714f9d-cabd-4396-b26a-b8aee1ba18aa</x:v>
      </x:c>
      <x:c r="D20" s="38" t="str">
        <x:v>cebef877-8635-4acd-ab14-bdf47be1f785</x:v>
      </x:c>
      <x:c r="E20" s="46" t="str">
        <x:v>LEGACY — Battlestar Main — review allocation</x:v>
      </x:c>
      <x:c r="F20" s="24" t="str">
        <x:v>Hold</x:v>
      </x:c>
      <x:c r="G20" s="38"/>
      <x:c r="H20" s="24"/>
      <x:c r="I20" s="44" t="str">
        <x:f>IF(AND(F20="Map",G20&lt;&gt;"",H20&lt;&gt;""),G20,"")</x:f>
      </x:c>
    </x:row>
    <x:row r="21" ht="36" customHeight="1">
      <x:c r="A21" s="45" t="str">
        <x:f>IF(OR(B21="",C21="",D21=""),"",B21&amp;"|"&amp;C21&amp;"|"&amp;D21)</x:f>
        <x:v>Project Battlestar|8e714f9d-cabd-4396-b26a-b8aee1ba18aa|12a8a57d-e659-4b94-bee3-8b6256bc1782</x:v>
      </x:c>
      <x:c r="B21" s="24" t="str">
        <x:v>Project Battlestar</x:v>
      </x:c>
      <x:c r="C21" s="38" t="str">
        <x:v>8e714f9d-cabd-4396-b26a-b8aee1ba18aa</x:v>
      </x:c>
      <x:c r="D21" s="38" t="str">
        <x:v>12a8a57d-e659-4b94-bee3-8b6256bc1782</x:v>
      </x:c>
      <x:c r="E21" s="46" t="str">
        <x:v>Pending allocation — do not invoice</x:v>
      </x:c>
      <x:c r="F21" s="24" t="str">
        <x:v>Hold</x:v>
      </x:c>
      <x:c r="G21" s="38"/>
      <x:c r="H21" s="24"/>
      <x:c r="I21" s="44" t="str">
        <x:f>IF(AND(F21="Map",G21&lt;&gt;"",H21&lt;&gt;""),G21,"")</x:f>
      </x:c>
    </x:row>
    <x:row r="22" ht="36" customHeight="1">
      <x:c r="A22" s="45" t="str">
        <x:f>IF(OR(B22="",C22="",D22=""),"",B22&amp;"|"&amp;C22&amp;"|"&amp;D22)</x:f>
      </x:c>
      <x:c r="B22" s="24"/>
      <x:c r="C22" s="38"/>
      <x:c r="D22" s="38"/>
      <x:c r="E22" s="46"/>
      <x:c r="F22" s="24"/>
      <x:c r="G22" s="38"/>
      <x:c r="H22" s="24"/>
      <x:c r="I22" s="44" t="str">
        <x:f>IF(AND(F22="Map",G22&lt;&gt;"",H22&lt;&gt;""),G22,"")</x:f>
      </x:c>
    </x:row>
    <x:row r="23" ht="36" customHeight="1">
      <x:c r="A23" s="45" t="str">
        <x:f>IF(OR(B23="",C23="",D23=""),"",B23&amp;"|"&amp;C23&amp;"|"&amp;D23)</x:f>
      </x:c>
      <x:c r="B23" s="24"/>
      <x:c r="C23" s="38"/>
      <x:c r="D23" s="38"/>
      <x:c r="E23" s="46"/>
      <x:c r="F23" s="24"/>
      <x:c r="G23" s="38"/>
      <x:c r="H23" s="24"/>
      <x:c r="I23" s="44" t="str">
        <x:f>IF(AND(F23="Map",G23&lt;&gt;"",H23&lt;&gt;""),G23,"")</x:f>
      </x:c>
    </x:row>
    <x:row r="24" ht="36" customHeight="1">
      <x:c r="A24" s="45" t="str">
        <x:f>IF(OR(B24="",C24="",D24=""),"",B24&amp;"|"&amp;C24&amp;"|"&amp;D24)</x:f>
      </x:c>
      <x:c r="B24" s="24"/>
      <x:c r="C24" s="38"/>
      <x:c r="D24" s="38"/>
      <x:c r="E24" s="46"/>
      <x:c r="F24" s="24"/>
      <x:c r="G24" s="38"/>
      <x:c r="H24" s="24"/>
      <x:c r="I24" s="44" t="str">
        <x:f>IF(AND(F24="Map",G24&lt;&gt;"",H24&lt;&gt;""),G24,"")</x:f>
      </x:c>
    </x:row>
    <x:row r="25" ht="36" customHeight="1">
      <x:c r="A25" s="45" t="str">
        <x:f>IF(OR(B25="",C25="",D25=""),"",B25&amp;"|"&amp;C25&amp;"|"&amp;D25)</x:f>
      </x:c>
      <x:c r="B25" s="24"/>
      <x:c r="C25" s="38"/>
      <x:c r="D25" s="38"/>
      <x:c r="E25" s="46"/>
      <x:c r="F25" s="24"/>
      <x:c r="G25" s="38"/>
      <x:c r="H25" s="24"/>
      <x:c r="I25" s="44" t="str">
        <x:f>IF(AND(F25="Map",G25&lt;&gt;"",H25&lt;&gt;""),G25,"")</x:f>
      </x:c>
    </x:row>
    <x:row r="26" ht="36" customHeight="1">
      <x:c r="A26" s="45" t="str">
        <x:f>IF(OR(B26="",C26="",D26=""),"",B26&amp;"|"&amp;C26&amp;"|"&amp;D26)</x:f>
      </x:c>
      <x:c r="B26" s="24"/>
      <x:c r="C26" s="38"/>
      <x:c r="D26" s="38"/>
      <x:c r="E26" s="46"/>
      <x:c r="F26" s="24"/>
      <x:c r="G26" s="38"/>
      <x:c r="H26" s="24"/>
      <x:c r="I26" s="44" t="str">
        <x:f>IF(AND(F26="Map",G26&lt;&gt;"",H26&lt;&gt;""),G26,"")</x:f>
      </x:c>
    </x:row>
    <x:row r="27" ht="36" customHeight="1">
      <x:c r="A27" s="45" t="str">
        <x:f>IF(OR(B27="",C27="",D27=""),"",B27&amp;"|"&amp;C27&amp;"|"&amp;D27)</x:f>
      </x:c>
      <x:c r="B27" s="24"/>
      <x:c r="C27" s="38"/>
      <x:c r="D27" s="38"/>
      <x:c r="E27" s="46"/>
      <x:c r="F27" s="24"/>
      <x:c r="G27" s="38"/>
      <x:c r="H27" s="24"/>
      <x:c r="I27" s="44" t="str">
        <x:f>IF(AND(F27="Map",G27&lt;&gt;"",H27&lt;&gt;""),G27,"")</x:f>
      </x:c>
    </x:row>
    <x:row r="28" ht="36" customHeight="1">
      <x:c r="A28" s="45" t="str">
        <x:f>IF(OR(B28="",C28="",D28=""),"",B28&amp;"|"&amp;C28&amp;"|"&amp;D28)</x:f>
      </x:c>
      <x:c r="B28" s="24"/>
      <x:c r="C28" s="38"/>
      <x:c r="D28" s="38"/>
      <x:c r="E28" s="46"/>
      <x:c r="F28" s="24"/>
      <x:c r="G28" s="38"/>
      <x:c r="H28" s="24"/>
      <x:c r="I28" s="44" t="str">
        <x:f>IF(AND(F28="Map",G28&lt;&gt;"",H28&lt;&gt;""),G28,"")</x:f>
      </x:c>
    </x:row>
    <x:row r="29" ht="36" customHeight="1">
      <x:c r="A29" s="45" t="str">
        <x:f>IF(OR(B29="",C29="",D29=""),"",B29&amp;"|"&amp;C29&amp;"|"&amp;D29)</x:f>
      </x:c>
      <x:c r="B29" s="24"/>
      <x:c r="C29" s="38"/>
      <x:c r="D29" s="38"/>
      <x:c r="E29" s="46"/>
      <x:c r="F29" s="24"/>
      <x:c r="G29" s="38"/>
      <x:c r="H29" s="24"/>
      <x:c r="I29" s="44" t="str">
        <x:f>IF(AND(F29="Map",G29&lt;&gt;"",H29&lt;&gt;""),G29,"")</x:f>
      </x:c>
    </x:row>
    <x:row r="30" ht="36" customHeight="1">
      <x:c r="A30" s="45" t="str">
        <x:f>IF(OR(B30="",C30="",D30=""),"",B30&amp;"|"&amp;C30&amp;"|"&amp;D30)</x:f>
      </x:c>
      <x:c r="B30" s="24"/>
      <x:c r="C30" s="38"/>
      <x:c r="D30" s="38"/>
      <x:c r="E30" s="46"/>
      <x:c r="F30" s="24"/>
      <x:c r="G30" s="38"/>
      <x:c r="H30" s="24"/>
      <x:c r="I30" s="44" t="str">
        <x:f>IF(AND(F30="Map",G30&lt;&gt;"",H30&lt;&gt;""),G30,"")</x:f>
      </x:c>
    </x:row>
    <x:row r="31" ht="36" customHeight="1">
      <x:c r="A31" s="45" t="str">
        <x:f>IF(OR(B31="",C31="",D31=""),"",B31&amp;"|"&amp;C31&amp;"|"&amp;D31)</x:f>
      </x:c>
      <x:c r="B31" s="24"/>
      <x:c r="C31" s="38"/>
      <x:c r="D31" s="38"/>
      <x:c r="E31" s="46"/>
      <x:c r="F31" s="24"/>
      <x:c r="G31" s="38"/>
      <x:c r="H31" s="24"/>
      <x:c r="I31" s="44" t="str">
        <x:f>IF(AND(F31="Map",G31&lt;&gt;"",H31&lt;&gt;""),G31,"")</x:f>
      </x:c>
    </x:row>
    <x:row r="32" ht="36" customHeight="1">
      <x:c r="A32" s="45" t="str">
        <x:f>IF(OR(B32="",C32="",D32=""),"",B32&amp;"|"&amp;C32&amp;"|"&amp;D32)</x:f>
      </x:c>
      <x:c r="B32" s="24"/>
      <x:c r="C32" s="38"/>
      <x:c r="D32" s="38"/>
      <x:c r="E32" s="46"/>
      <x:c r="F32" s="24"/>
      <x:c r="G32" s="38"/>
      <x:c r="H32" s="24"/>
      <x:c r="I32" s="44" t="str">
        <x:f>IF(AND(F32="Map",G32&lt;&gt;"",H32&lt;&gt;""),G32,"")</x:f>
      </x:c>
    </x:row>
    <x:row r="33" ht="36" customHeight="1">
      <x:c r="A33" s="45" t="str">
        <x:f>IF(OR(B33="",C33="",D33=""),"",B33&amp;"|"&amp;C33&amp;"|"&amp;D33)</x:f>
      </x:c>
      <x:c r="B33" s="24"/>
      <x:c r="C33" s="38"/>
      <x:c r="D33" s="38"/>
      <x:c r="E33" s="46"/>
      <x:c r="F33" s="24"/>
      <x:c r="G33" s="38"/>
      <x:c r="H33" s="24"/>
      <x:c r="I33" s="44" t="str">
        <x:f>IF(AND(F33="Map",G33&lt;&gt;"",H33&lt;&gt;""),G33,"")</x:f>
      </x:c>
    </x:row>
    <x:row r="34" ht="36" customHeight="1">
      <x:c r="A34" s="45" t="str">
        <x:f>IF(OR(B34="",C34="",D34=""),"",B34&amp;"|"&amp;C34&amp;"|"&amp;D34)</x:f>
      </x:c>
      <x:c r="B34" s="24"/>
      <x:c r="C34" s="38"/>
      <x:c r="D34" s="38"/>
      <x:c r="E34" s="46"/>
      <x:c r="F34" s="24"/>
      <x:c r="G34" s="38"/>
      <x:c r="H34" s="24"/>
      <x:c r="I34" s="44" t="str">
        <x:f>IF(AND(F34="Map",G34&lt;&gt;"",H34&lt;&gt;""),G34,"")</x:f>
      </x:c>
    </x:row>
    <x:row r="35" ht="36" customHeight="1">
      <x:c r="A35" s="45" t="str">
        <x:f>IF(OR(B35="",C35="",D35=""),"",B35&amp;"|"&amp;C35&amp;"|"&amp;D35)</x:f>
      </x:c>
      <x:c r="B35" s="24"/>
      <x:c r="C35" s="38"/>
      <x:c r="D35" s="38"/>
      <x:c r="E35" s="46"/>
      <x:c r="F35" s="24"/>
      <x:c r="G35" s="38"/>
      <x:c r="H35" s="24"/>
      <x:c r="I35" s="44" t="str">
        <x:f>IF(AND(F35="Map",G35&lt;&gt;"",H35&lt;&gt;""),G35,"")</x:f>
      </x:c>
    </x:row>
    <x:row r="36" ht="36" customHeight="1">
      <x:c r="A36" s="45" t="str">
        <x:f>IF(OR(B36="",C36="",D36=""),"",B36&amp;"|"&amp;C36&amp;"|"&amp;D36)</x:f>
      </x:c>
      <x:c r="B36" s="24"/>
      <x:c r="C36" s="38"/>
      <x:c r="D36" s="38"/>
      <x:c r="E36" s="46"/>
      <x:c r="F36" s="24"/>
      <x:c r="G36" s="38"/>
      <x:c r="H36" s="24"/>
      <x:c r="I36" s="44" t="str">
        <x:f>IF(AND(F36="Map",G36&lt;&gt;"",H36&lt;&gt;""),G36,"")</x:f>
      </x:c>
    </x:row>
    <x:row r="37" ht="36" customHeight="1">
      <x:c r="A37" s="45" t="str">
        <x:f>IF(OR(B37="",C37="",D37=""),"",B37&amp;"|"&amp;C37&amp;"|"&amp;D37)</x:f>
      </x:c>
      <x:c r="B37" s="24"/>
      <x:c r="C37" s="38"/>
      <x:c r="D37" s="38"/>
      <x:c r="E37" s="46"/>
      <x:c r="F37" s="24"/>
      <x:c r="G37" s="38"/>
      <x:c r="H37" s="24"/>
      <x:c r="I37" s="44" t="str">
        <x:f>IF(AND(F37="Map",G37&lt;&gt;"",H37&lt;&gt;""),G37,"")</x:f>
      </x:c>
    </x:row>
    <x:row r="38" ht="36" customHeight="1">
      <x:c r="A38" s="45" t="str">
        <x:f>IF(OR(B38="",C38="",D38=""),"",B38&amp;"|"&amp;C38&amp;"|"&amp;D38)</x:f>
      </x:c>
      <x:c r="B38" s="24"/>
      <x:c r="C38" s="38"/>
      <x:c r="D38" s="38"/>
      <x:c r="E38" s="46"/>
      <x:c r="F38" s="24"/>
      <x:c r="G38" s="38"/>
      <x:c r="H38" s="24"/>
      <x:c r="I38" s="44" t="str">
        <x:f>IF(AND(F38="Map",G38&lt;&gt;"",H38&lt;&gt;""),G38,"")</x:f>
      </x:c>
    </x:row>
    <x:row r="39" ht="36" customHeight="1">
      <x:c r="A39" s="45" t="str">
        <x:f>IF(OR(B39="",C39="",D39=""),"",B39&amp;"|"&amp;C39&amp;"|"&amp;D39)</x:f>
      </x:c>
      <x:c r="B39" s="24"/>
      <x:c r="C39" s="38"/>
      <x:c r="D39" s="38"/>
      <x:c r="E39" s="46"/>
      <x:c r="F39" s="24"/>
      <x:c r="G39" s="38"/>
      <x:c r="H39" s="24"/>
      <x:c r="I39" s="44" t="str">
        <x:f>IF(AND(F39="Map",G39&lt;&gt;"",H39&lt;&gt;""),G39,"")</x:f>
      </x:c>
    </x:row>
    <x:row r="40" ht="36" customHeight="1">
      <x:c r="A40" s="45" t="str">
        <x:f>IF(OR(B40="",C40="",D40=""),"",B40&amp;"|"&amp;C40&amp;"|"&amp;D40)</x:f>
      </x:c>
      <x:c r="B40" s="24"/>
      <x:c r="C40" s="38"/>
      <x:c r="D40" s="38"/>
      <x:c r="E40" s="46"/>
      <x:c r="F40" s="24"/>
      <x:c r="G40" s="38"/>
      <x:c r="H40" s="24"/>
      <x:c r="I40" s="44" t="str">
        <x:f>IF(AND(F40="Map",G40&lt;&gt;"",H40&lt;&gt;""),G40,"")</x:f>
      </x:c>
    </x:row>
    <x:row r="41" ht="36" customHeight="1">
      <x:c r="A41" s="45" t="str">
        <x:f>IF(OR(B41="",C41="",D41=""),"",B41&amp;"|"&amp;C41&amp;"|"&amp;D41)</x:f>
      </x:c>
      <x:c r="B41" s="24"/>
      <x:c r="C41" s="38"/>
      <x:c r="D41" s="38"/>
      <x:c r="E41" s="46"/>
      <x:c r="F41" s="24"/>
      <x:c r="G41" s="38"/>
      <x:c r="H41" s="24"/>
      <x:c r="I41" s="44" t="str">
        <x:f>IF(AND(F41="Map",G41&lt;&gt;"",H41&lt;&gt;""),G41,"")</x:f>
      </x:c>
    </x:row>
    <x:row r="42" ht="36" customHeight="1">
      <x:c r="A42" s="45" t="str">
        <x:f>IF(OR(B42="",C42="",D42=""),"",B42&amp;"|"&amp;C42&amp;"|"&amp;D42)</x:f>
      </x:c>
      <x:c r="B42" s="24"/>
      <x:c r="C42" s="38"/>
      <x:c r="D42" s="38"/>
      <x:c r="E42" s="46"/>
      <x:c r="F42" s="24"/>
      <x:c r="G42" s="38"/>
      <x:c r="H42" s="24"/>
      <x:c r="I42" s="44" t="str">
        <x:f>IF(AND(F42="Map",G42&lt;&gt;"",H42&lt;&gt;""),G42,"")</x:f>
      </x:c>
    </x:row>
    <x:row r="43" ht="36" customHeight="1">
      <x:c r="A43" s="45" t="str">
        <x:f>IF(OR(B43="",C43="",D43=""),"",B43&amp;"|"&amp;C43&amp;"|"&amp;D43)</x:f>
      </x:c>
      <x:c r="B43" s="24"/>
      <x:c r="C43" s="38"/>
      <x:c r="D43" s="38"/>
      <x:c r="E43" s="46"/>
      <x:c r="F43" s="24"/>
      <x:c r="G43" s="38"/>
      <x:c r="H43" s="24"/>
      <x:c r="I43" s="44" t="str">
        <x:f>IF(AND(F43="Map",G43&lt;&gt;"",H43&lt;&gt;""),G43,"")</x:f>
      </x:c>
    </x:row>
    <x:row r="44" ht="36" customHeight="1">
      <x:c r="A44" s="45" t="str">
        <x:f>IF(OR(B44="",C44="",D44=""),"",B44&amp;"|"&amp;C44&amp;"|"&amp;D44)</x:f>
      </x:c>
      <x:c r="B44" s="24"/>
      <x:c r="C44" s="38"/>
      <x:c r="D44" s="38"/>
      <x:c r="E44" s="46"/>
      <x:c r="F44" s="24"/>
      <x:c r="G44" s="38"/>
      <x:c r="H44" s="24"/>
      <x:c r="I44" s="44" t="str">
        <x:f>IF(AND(F44="Map",G44&lt;&gt;"",H44&lt;&gt;""),G44,"")</x:f>
      </x:c>
    </x:row>
    <x:row r="45" ht="36" customHeight="1">
      <x:c r="A45" s="45" t="str">
        <x:f>IF(OR(B45="",C45="",D45=""),"",B45&amp;"|"&amp;C45&amp;"|"&amp;D45)</x:f>
      </x:c>
      <x:c r="B45" s="24"/>
      <x:c r="C45" s="38"/>
      <x:c r="D45" s="38"/>
      <x:c r="E45" s="46"/>
      <x:c r="F45" s="24"/>
      <x:c r="G45" s="38"/>
      <x:c r="H45" s="24"/>
      <x:c r="I45" s="44" t="str">
        <x:f>IF(AND(F45="Map",G45&lt;&gt;"",H45&lt;&gt;""),G45,"")</x:f>
      </x:c>
    </x:row>
    <x:row r="46" ht="36" customHeight="1">
      <x:c r="A46" s="45" t="str">
        <x:f>IF(OR(B46="",C46="",D46=""),"",B46&amp;"|"&amp;C46&amp;"|"&amp;D46)</x:f>
      </x:c>
      <x:c r="B46" s="24"/>
      <x:c r="C46" s="38"/>
      <x:c r="D46" s="38"/>
      <x:c r="E46" s="46"/>
      <x:c r="F46" s="24"/>
      <x:c r="G46" s="38"/>
      <x:c r="H46" s="24"/>
      <x:c r="I46" s="44" t="str">
        <x:f>IF(AND(F46="Map",G46&lt;&gt;"",H46&lt;&gt;""),G46,"")</x:f>
      </x:c>
    </x:row>
    <x:row r="47" ht="36" customHeight="1">
      <x:c r="A47" s="45" t="str">
        <x:f>IF(OR(B47="",C47="",D47=""),"",B47&amp;"|"&amp;C47&amp;"|"&amp;D47)</x:f>
      </x:c>
      <x:c r="B47" s="24"/>
      <x:c r="C47" s="38"/>
      <x:c r="D47" s="38"/>
      <x:c r="E47" s="46"/>
      <x:c r="F47" s="24"/>
      <x:c r="G47" s="38"/>
      <x:c r="H47" s="24"/>
      <x:c r="I47" s="44" t="str">
        <x:f>IF(AND(F47="Map",G47&lt;&gt;"",H47&lt;&gt;""),G47,"")</x:f>
      </x:c>
    </x:row>
    <x:row r="48" ht="36" customHeight="1">
      <x:c r="A48" s="45" t="str">
        <x:f>IF(OR(B48="",C48="",D48=""),"",B48&amp;"|"&amp;C48&amp;"|"&amp;D48)</x:f>
      </x:c>
      <x:c r="B48" s="24"/>
      <x:c r="C48" s="38"/>
      <x:c r="D48" s="38"/>
      <x:c r="E48" s="46"/>
      <x:c r="F48" s="24"/>
      <x:c r="G48" s="38"/>
      <x:c r="H48" s="24"/>
      <x:c r="I48" s="44" t="str">
        <x:f>IF(AND(F48="Map",G48&lt;&gt;"",H48&lt;&gt;""),G48,"")</x:f>
      </x:c>
    </x:row>
    <x:row r="49" ht="36" customHeight="1">
      <x:c r="A49" s="45" t="str">
        <x:f>IF(OR(B49="",C49="",D49=""),"",B49&amp;"|"&amp;C49&amp;"|"&amp;D49)</x:f>
      </x:c>
      <x:c r="B49" s="24"/>
      <x:c r="C49" s="38"/>
      <x:c r="D49" s="38"/>
      <x:c r="E49" s="46"/>
      <x:c r="F49" s="24"/>
      <x:c r="G49" s="38"/>
      <x:c r="H49" s="24"/>
      <x:c r="I49" s="44" t="str">
        <x:f>IF(AND(F49="Map",G49&lt;&gt;"",H49&lt;&gt;""),G49,"")</x:f>
      </x:c>
    </x:row>
    <x:row r="50" ht="36" customHeight="1">
      <x:c r="A50" s="45" t="str">
        <x:f>IF(OR(B50="",C50="",D50=""),"",B50&amp;"|"&amp;C50&amp;"|"&amp;D50)</x:f>
      </x:c>
      <x:c r="B50" s="24"/>
      <x:c r="C50" s="38"/>
      <x:c r="D50" s="38"/>
      <x:c r="E50" s="46"/>
      <x:c r="F50" s="24"/>
      <x:c r="G50" s="38"/>
      <x:c r="H50" s="24"/>
      <x:c r="I50" s="44" t="str">
        <x:f>IF(AND(F50="Map",G50&lt;&gt;"",H50&lt;&gt;""),G50,"")</x:f>
      </x:c>
    </x:row>
    <x:row r="51" ht="36" customHeight="1">
      <x:c r="A51" s="45" t="str">
        <x:f>IF(OR(B51="",C51="",D51=""),"",B51&amp;"|"&amp;C51&amp;"|"&amp;D51)</x:f>
      </x:c>
      <x:c r="B51" s="24"/>
      <x:c r="C51" s="38"/>
      <x:c r="D51" s="38"/>
      <x:c r="E51" s="46"/>
      <x:c r="F51" s="24"/>
      <x:c r="G51" s="38"/>
      <x:c r="H51" s="24"/>
      <x:c r="I51" s="44" t="str">
        <x:f>IF(AND(F51="Map",G51&lt;&gt;"",H51&lt;&gt;""),G51,"")</x:f>
      </x:c>
    </x:row>
    <x:row r="52" ht="36" customHeight="1">
      <x:c r="A52" s="45" t="str">
        <x:f>IF(OR(B52="",C52="",D52=""),"",B52&amp;"|"&amp;C52&amp;"|"&amp;D52)</x:f>
      </x:c>
      <x:c r="B52" s="24"/>
      <x:c r="C52" s="38"/>
      <x:c r="D52" s="38"/>
      <x:c r="E52" s="46"/>
      <x:c r="F52" s="24"/>
      <x:c r="G52" s="38"/>
      <x:c r="H52" s="24"/>
      <x:c r="I52" s="44" t="str">
        <x:f>IF(AND(F52="Map",G52&lt;&gt;"",H52&lt;&gt;""),G52,"")</x:f>
      </x:c>
    </x:row>
    <x:row r="53" ht="36" customHeight="1">
      <x:c r="A53" s="45" t="str">
        <x:f>IF(OR(B53="",C53="",D53=""),"",B53&amp;"|"&amp;C53&amp;"|"&amp;D53)</x:f>
      </x:c>
      <x:c r="B53" s="24"/>
      <x:c r="C53" s="38"/>
      <x:c r="D53" s="38"/>
      <x:c r="E53" s="46"/>
      <x:c r="F53" s="24"/>
      <x:c r="G53" s="38"/>
      <x:c r="H53" s="24"/>
      <x:c r="I53" s="44" t="str">
        <x:f>IF(AND(F53="Map",G53&lt;&gt;"",H53&lt;&gt;""),G53,"")</x:f>
      </x:c>
    </x:row>
    <x:row r="54" ht="36" customHeight="1">
      <x:c r="A54" s="45" t="str">
        <x:f>IF(OR(B54="",C54="",D54=""),"",B54&amp;"|"&amp;C54&amp;"|"&amp;D54)</x:f>
      </x:c>
      <x:c r="B54" s="24"/>
      <x:c r="C54" s="38"/>
      <x:c r="D54" s="38"/>
      <x:c r="E54" s="46"/>
      <x:c r="F54" s="24"/>
      <x:c r="G54" s="38"/>
      <x:c r="H54" s="24"/>
      <x:c r="I54" s="44" t="str">
        <x:f>IF(AND(F54="Map",G54&lt;&gt;"",H54&lt;&gt;""),G54,"")</x:f>
      </x:c>
    </x:row>
    <x:row r="55" ht="36" customHeight="1">
      <x:c r="A55" s="45" t="str">
        <x:f>IF(OR(B55="",C55="",D55=""),"",B55&amp;"|"&amp;C55&amp;"|"&amp;D55)</x:f>
      </x:c>
      <x:c r="B55" s="24"/>
      <x:c r="C55" s="38"/>
      <x:c r="D55" s="38"/>
      <x:c r="E55" s="46"/>
      <x:c r="F55" s="24"/>
      <x:c r="G55" s="38"/>
      <x:c r="H55" s="24"/>
      <x:c r="I55" s="44" t="str">
        <x:f>IF(AND(F55="Map",G55&lt;&gt;"",H55&lt;&gt;""),G55,"")</x:f>
      </x:c>
    </x:row>
    <x:row r="56" ht="36" customHeight="1">
      <x:c r="A56" s="45" t="str">
        <x:f>IF(OR(B56="",C56="",D56=""),"",B56&amp;"|"&amp;C56&amp;"|"&amp;D56)</x:f>
      </x:c>
      <x:c r="B56" s="24"/>
      <x:c r="C56" s="38"/>
      <x:c r="D56" s="38"/>
      <x:c r="E56" s="46"/>
      <x:c r="F56" s="24"/>
      <x:c r="G56" s="38"/>
      <x:c r="H56" s="24"/>
      <x:c r="I56" s="44" t="str">
        <x:f>IF(AND(F56="Map",G56&lt;&gt;"",H56&lt;&gt;""),G56,"")</x:f>
      </x:c>
    </x:row>
    <x:row r="57" ht="36" customHeight="1">
      <x:c r="A57" s="45" t="str">
        <x:f>IF(OR(B57="",C57="",D57=""),"",B57&amp;"|"&amp;C57&amp;"|"&amp;D57)</x:f>
      </x:c>
      <x:c r="B57" s="24"/>
      <x:c r="C57" s="38"/>
      <x:c r="D57" s="38"/>
      <x:c r="E57" s="46"/>
      <x:c r="F57" s="24"/>
      <x:c r="G57" s="38"/>
      <x:c r="H57" s="24"/>
      <x:c r="I57" s="44" t="str">
        <x:f>IF(AND(F57="Map",G57&lt;&gt;"",H57&lt;&gt;""),G57,"")</x:f>
      </x:c>
    </x:row>
    <x:row r="58" ht="36" customHeight="1">
      <x:c r="A58" s="45" t="str">
        <x:f>IF(OR(B58="",C58="",D58=""),"",B58&amp;"|"&amp;C58&amp;"|"&amp;D58)</x:f>
      </x:c>
      <x:c r="B58" s="24"/>
      <x:c r="C58" s="38"/>
      <x:c r="D58" s="38"/>
      <x:c r="E58" s="46"/>
      <x:c r="F58" s="24"/>
      <x:c r="G58" s="38"/>
      <x:c r="H58" s="24"/>
      <x:c r="I58" s="44" t="str">
        <x:f>IF(AND(F58="Map",G58&lt;&gt;"",H58&lt;&gt;""),G58,"")</x:f>
      </x:c>
    </x:row>
    <x:row r="59" ht="36" customHeight="1">
      <x:c r="A59" s="45" t="str">
        <x:f>IF(OR(B59="",C59="",D59=""),"",B59&amp;"|"&amp;C59&amp;"|"&amp;D59)</x:f>
      </x:c>
      <x:c r="B59" s="24"/>
      <x:c r="C59" s="38"/>
      <x:c r="D59" s="38"/>
      <x:c r="E59" s="46"/>
      <x:c r="F59" s="24"/>
      <x:c r="G59" s="38"/>
      <x:c r="H59" s="24"/>
      <x:c r="I59" s="44" t="str">
        <x:f>IF(AND(F59="Map",G59&lt;&gt;"",H59&lt;&gt;""),G59,"")</x:f>
      </x:c>
    </x:row>
    <x:row r="60" ht="36" customHeight="1">
      <x:c r="A60" s="45" t="str">
        <x:f>IF(OR(B60="",C60="",D60=""),"",B60&amp;"|"&amp;C60&amp;"|"&amp;D60)</x:f>
      </x:c>
      <x:c r="B60" s="24"/>
      <x:c r="C60" s="38"/>
      <x:c r="D60" s="38"/>
      <x:c r="E60" s="46"/>
      <x:c r="F60" s="24"/>
      <x:c r="G60" s="38"/>
      <x:c r="H60" s="24"/>
      <x:c r="I60" s="44" t="str">
        <x:f>IF(AND(F60="Map",G60&lt;&gt;"",H60&lt;&gt;""),G60,"")</x:f>
      </x:c>
    </x:row>
    <x:row r="61" ht="36" customHeight="1">
      <x:c r="A61" s="45" t="str">
        <x:f>IF(OR(B61="",C61="",D61=""),"",B61&amp;"|"&amp;C61&amp;"|"&amp;D61)</x:f>
      </x:c>
      <x:c r="B61" s="24"/>
      <x:c r="C61" s="38"/>
      <x:c r="D61" s="38"/>
      <x:c r="E61" s="46"/>
      <x:c r="F61" s="24"/>
      <x:c r="G61" s="38"/>
      <x:c r="H61" s="24"/>
      <x:c r="I61" s="44" t="str">
        <x:f>IF(AND(F61="Map",G61&lt;&gt;"",H61&lt;&gt;""),G61,"")</x:f>
      </x:c>
    </x:row>
    <x:row r="62" ht="36" customHeight="1">
      <x:c r="A62" s="45" t="str">
        <x:f>IF(OR(B62="",C62="",D62=""),"",B62&amp;"|"&amp;C62&amp;"|"&amp;D62)</x:f>
      </x:c>
      <x:c r="B62" s="24"/>
      <x:c r="C62" s="38"/>
      <x:c r="D62" s="38"/>
      <x:c r="E62" s="46"/>
      <x:c r="F62" s="24"/>
      <x:c r="G62" s="38"/>
      <x:c r="H62" s="24"/>
      <x:c r="I62" s="44" t="str">
        <x:f>IF(AND(F62="Map",G62&lt;&gt;"",H62&lt;&gt;""),G62,"")</x:f>
      </x:c>
    </x:row>
    <x:row r="63" ht="36" customHeight="1">
      <x:c r="A63" s="45" t="str">
        <x:f>IF(OR(B63="",C63="",D63=""),"",B63&amp;"|"&amp;C63&amp;"|"&amp;D63)</x:f>
      </x:c>
      <x:c r="B63" s="24"/>
      <x:c r="C63" s="38"/>
      <x:c r="D63" s="38"/>
      <x:c r="E63" s="46"/>
      <x:c r="F63" s="24"/>
      <x:c r="G63" s="38"/>
      <x:c r="H63" s="24"/>
      <x:c r="I63" s="44" t="str">
        <x:f>IF(AND(F63="Map",G63&lt;&gt;"",H63&lt;&gt;""),G63,"")</x:f>
      </x:c>
    </x:row>
    <x:row r="64" ht="36" customHeight="1">
      <x:c r="A64" s="45" t="str">
        <x:f>IF(OR(B64="",C64="",D64=""),"",B64&amp;"|"&amp;C64&amp;"|"&amp;D64)</x:f>
      </x:c>
      <x:c r="B64" s="24"/>
      <x:c r="C64" s="38"/>
      <x:c r="D64" s="38"/>
      <x:c r="E64" s="46"/>
      <x:c r="F64" s="24"/>
      <x:c r="G64" s="38"/>
      <x:c r="H64" s="24"/>
      <x:c r="I64" s="44" t="str">
        <x:f>IF(AND(F64="Map",G64&lt;&gt;"",H64&lt;&gt;""),G64,"")</x:f>
      </x:c>
    </x:row>
    <x:row r="65" ht="36" customHeight="1">
      <x:c r="A65" s="45" t="str">
        <x:f>IF(OR(B65="",C65="",D65=""),"",B65&amp;"|"&amp;C65&amp;"|"&amp;D65)</x:f>
      </x:c>
      <x:c r="B65" s="24"/>
      <x:c r="C65" s="38"/>
      <x:c r="D65" s="38"/>
      <x:c r="E65" s="46"/>
      <x:c r="F65" s="24"/>
      <x:c r="G65" s="38"/>
      <x:c r="H65" s="24"/>
      <x:c r="I65" s="44" t="str">
        <x:f>IF(AND(F65="Map",G65&lt;&gt;"",H65&lt;&gt;""),G65,"")</x:f>
      </x:c>
    </x:row>
    <x:row r="66" ht="36" customHeight="1">
      <x:c r="A66" s="45" t="str">
        <x:f>IF(OR(B66="",C66="",D66=""),"",B66&amp;"|"&amp;C66&amp;"|"&amp;D66)</x:f>
      </x:c>
      <x:c r="B66" s="24"/>
      <x:c r="C66" s="38"/>
      <x:c r="D66" s="38"/>
      <x:c r="E66" s="46"/>
      <x:c r="F66" s="24"/>
      <x:c r="G66" s="38"/>
      <x:c r="H66" s="24"/>
      <x:c r="I66" s="44" t="str">
        <x:f>IF(AND(F66="Map",G66&lt;&gt;"",H66&lt;&gt;""),G66,"")</x:f>
      </x:c>
    </x:row>
    <x:row r="67" ht="36" customHeight="1">
      <x:c r="A67" s="45" t="str">
        <x:f>IF(OR(B67="",C67="",D67=""),"",B67&amp;"|"&amp;C67&amp;"|"&amp;D67)</x:f>
      </x:c>
      <x:c r="B67" s="24"/>
      <x:c r="C67" s="38"/>
      <x:c r="D67" s="38"/>
      <x:c r="E67" s="46"/>
      <x:c r="F67" s="24"/>
      <x:c r="G67" s="38"/>
      <x:c r="H67" s="24"/>
      <x:c r="I67" s="44" t="str">
        <x:f>IF(AND(F67="Map",G67&lt;&gt;"",H67&lt;&gt;""),G67,"")</x:f>
      </x:c>
    </x:row>
    <x:row r="68" ht="36" customHeight="1">
      <x:c r="A68" s="45" t="str">
        <x:f>IF(OR(B68="",C68="",D68=""),"",B68&amp;"|"&amp;C68&amp;"|"&amp;D68)</x:f>
      </x:c>
      <x:c r="B68" s="24"/>
      <x:c r="C68" s="38"/>
      <x:c r="D68" s="38"/>
      <x:c r="E68" s="46"/>
      <x:c r="F68" s="24"/>
      <x:c r="G68" s="38"/>
      <x:c r="H68" s="24"/>
      <x:c r="I68" s="44" t="str">
        <x:f>IF(AND(F68="Map",G68&lt;&gt;"",H68&lt;&gt;""),G68,"")</x:f>
      </x:c>
    </x:row>
    <x:row r="69" ht="36" customHeight="1">
      <x:c r="A69" s="45" t="str">
        <x:f>IF(OR(B69="",C69="",D69=""),"",B69&amp;"|"&amp;C69&amp;"|"&amp;D69)</x:f>
      </x:c>
      <x:c r="B69" s="24"/>
      <x:c r="C69" s="38"/>
      <x:c r="D69" s="38"/>
      <x:c r="E69" s="46"/>
      <x:c r="F69" s="24"/>
      <x:c r="G69" s="38"/>
      <x:c r="H69" s="24"/>
      <x:c r="I69" s="44" t="str">
        <x:f>IF(AND(F69="Map",G69&lt;&gt;"",H69&lt;&gt;""),G69,"")</x:f>
      </x:c>
    </x:row>
    <x:row r="70" ht="36" customHeight="1">
      <x:c r="A70" s="45" t="str">
        <x:f>IF(OR(B70="",C70="",D70=""),"",B70&amp;"|"&amp;C70&amp;"|"&amp;D70)</x:f>
      </x:c>
      <x:c r="B70" s="24"/>
      <x:c r="C70" s="38"/>
      <x:c r="D70" s="38"/>
      <x:c r="E70" s="46"/>
      <x:c r="F70" s="24"/>
      <x:c r="G70" s="38"/>
      <x:c r="H70" s="24"/>
      <x:c r="I70" s="44" t="str">
        <x:f>IF(AND(F70="Map",G70&lt;&gt;"",H70&lt;&gt;""),G70,"")</x:f>
      </x:c>
    </x:row>
    <x:row r="71" ht="36" customHeight="1">
      <x:c r="A71" s="45" t="str">
        <x:f>IF(OR(B71="",C71="",D71=""),"",B71&amp;"|"&amp;C71&amp;"|"&amp;D71)</x:f>
      </x:c>
      <x:c r="B71" s="24"/>
      <x:c r="C71" s="38"/>
      <x:c r="D71" s="38"/>
      <x:c r="E71" s="46"/>
      <x:c r="F71" s="24"/>
      <x:c r="G71" s="38"/>
      <x:c r="H71" s="24"/>
      <x:c r="I71" s="44" t="str">
        <x:f>IF(AND(F71="Map",G71&lt;&gt;"",H71&lt;&gt;""),G71,"")</x:f>
      </x:c>
    </x:row>
    <x:row r="72" ht="36" customHeight="1">
      <x:c r="A72" s="45" t="str">
        <x:f>IF(OR(B72="",C72="",D72=""),"",B72&amp;"|"&amp;C72&amp;"|"&amp;D72)</x:f>
      </x:c>
      <x:c r="B72" s="24"/>
      <x:c r="C72" s="38"/>
      <x:c r="D72" s="38"/>
      <x:c r="E72" s="46"/>
      <x:c r="F72" s="24"/>
      <x:c r="G72" s="38"/>
      <x:c r="H72" s="24"/>
      <x:c r="I72" s="44" t="str">
        <x:f>IF(AND(F72="Map",G72&lt;&gt;"",H72&lt;&gt;""),G72,"")</x:f>
      </x:c>
    </x:row>
    <x:row r="73" ht="36" customHeight="1">
      <x:c r="A73" s="45" t="str">
        <x:f>IF(OR(B73="",C73="",D73=""),"",B73&amp;"|"&amp;C73&amp;"|"&amp;D73)</x:f>
      </x:c>
      <x:c r="B73" s="24"/>
      <x:c r="C73" s="38"/>
      <x:c r="D73" s="38"/>
      <x:c r="E73" s="46"/>
      <x:c r="F73" s="24"/>
      <x:c r="G73" s="38"/>
      <x:c r="H73" s="24"/>
      <x:c r="I73" s="44" t="str">
        <x:f>IF(AND(F73="Map",G73&lt;&gt;"",H73&lt;&gt;""),G73,"")</x:f>
      </x:c>
    </x:row>
    <x:row r="74" ht="36" customHeight="1">
      <x:c r="A74" s="45" t="str">
        <x:f>IF(OR(B74="",C74="",D74=""),"",B74&amp;"|"&amp;C74&amp;"|"&amp;D74)</x:f>
      </x:c>
      <x:c r="B74" s="24"/>
      <x:c r="C74" s="38"/>
      <x:c r="D74" s="38"/>
      <x:c r="E74" s="46"/>
      <x:c r="F74" s="24"/>
      <x:c r="G74" s="38"/>
      <x:c r="H74" s="24"/>
      <x:c r="I74" s="44" t="str">
        <x:f>IF(AND(F74="Map",G74&lt;&gt;"",H74&lt;&gt;""),G74,"")</x:f>
      </x:c>
    </x:row>
    <x:row r="75" ht="36" customHeight="1">
      <x:c r="A75" s="45" t="str">
        <x:f>IF(OR(B75="",C75="",D75=""),"",B75&amp;"|"&amp;C75&amp;"|"&amp;D75)</x:f>
      </x:c>
      <x:c r="B75" s="24"/>
      <x:c r="C75" s="38"/>
      <x:c r="D75" s="38"/>
      <x:c r="E75" s="46"/>
      <x:c r="F75" s="24"/>
      <x:c r="G75" s="38"/>
      <x:c r="H75" s="24"/>
      <x:c r="I75" s="44" t="str">
        <x:f>IF(AND(F75="Map",G75&lt;&gt;"",H75&lt;&gt;""),G75,"")</x:f>
      </x:c>
    </x:row>
    <x:row r="76" ht="36" customHeight="1">
      <x:c r="A76" s="45" t="str">
        <x:f>IF(OR(B76="",C76="",D76=""),"",B76&amp;"|"&amp;C76&amp;"|"&amp;D76)</x:f>
      </x:c>
      <x:c r="B76" s="24"/>
      <x:c r="C76" s="38"/>
      <x:c r="D76" s="38"/>
      <x:c r="E76" s="46"/>
      <x:c r="F76" s="24"/>
      <x:c r="G76" s="38"/>
      <x:c r="H76" s="24"/>
      <x:c r="I76" s="44" t="str">
        <x:f>IF(AND(F76="Map",G76&lt;&gt;"",H76&lt;&gt;""),G76,"")</x:f>
      </x:c>
    </x:row>
    <x:row r="77" ht="36" customHeight="1">
      <x:c r="A77" s="45" t="str">
        <x:f>IF(OR(B77="",C77="",D77=""),"",B77&amp;"|"&amp;C77&amp;"|"&amp;D77)</x:f>
      </x:c>
      <x:c r="B77" s="24"/>
      <x:c r="C77" s="38"/>
      <x:c r="D77" s="38"/>
      <x:c r="E77" s="46"/>
      <x:c r="F77" s="24"/>
      <x:c r="G77" s="38"/>
      <x:c r="H77" s="24"/>
      <x:c r="I77" s="44" t="str">
        <x:f>IF(AND(F77="Map",G77&lt;&gt;"",H77&lt;&gt;""),G77,"")</x:f>
      </x:c>
    </x:row>
    <x:row r="78" ht="36" customHeight="1">
      <x:c r="A78" s="45" t="str">
        <x:f>IF(OR(B78="",C78="",D78=""),"",B78&amp;"|"&amp;C78&amp;"|"&amp;D78)</x:f>
      </x:c>
      <x:c r="B78" s="24"/>
      <x:c r="C78" s="38"/>
      <x:c r="D78" s="38"/>
      <x:c r="E78" s="46"/>
      <x:c r="F78" s="24"/>
      <x:c r="G78" s="38"/>
      <x:c r="H78" s="24"/>
      <x:c r="I78" s="44" t="str">
        <x:f>IF(AND(F78="Map",G78&lt;&gt;"",H78&lt;&gt;""),G78,"")</x:f>
      </x:c>
    </x:row>
    <x:row r="79" ht="36" customHeight="1">
      <x:c r="A79" s="45" t="str">
        <x:f>IF(OR(B79="",C79="",D79=""),"",B79&amp;"|"&amp;C79&amp;"|"&amp;D79)</x:f>
      </x:c>
      <x:c r="B79" s="24"/>
      <x:c r="C79" s="38"/>
      <x:c r="D79" s="38"/>
      <x:c r="E79" s="46"/>
      <x:c r="F79" s="24"/>
      <x:c r="G79" s="38"/>
      <x:c r="H79" s="24"/>
      <x:c r="I79" s="44" t="str">
        <x:f>IF(AND(F79="Map",G79&lt;&gt;"",H79&lt;&gt;""),G79,"")</x:f>
      </x:c>
    </x:row>
    <x:row r="80" ht="36" customHeight="1">
      <x:c r="A80" s="45" t="str">
        <x:f>IF(OR(B80="",C80="",D80=""),"",B80&amp;"|"&amp;C80&amp;"|"&amp;D80)</x:f>
      </x:c>
      <x:c r="B80" s="24"/>
      <x:c r="C80" s="38"/>
      <x:c r="D80" s="38"/>
      <x:c r="E80" s="46"/>
      <x:c r="F80" s="24"/>
      <x:c r="G80" s="38"/>
      <x:c r="H80" s="24"/>
      <x:c r="I80" s="44" t="str">
        <x:f>IF(AND(F80="Map",G80&lt;&gt;"",H80&lt;&gt;""),G80,"")</x:f>
      </x:c>
    </x:row>
    <x:row r="81" ht="36" customHeight="1">
      <x:c r="A81" s="45" t="str">
        <x:f>IF(OR(B81="",C81="",D81=""),"",B81&amp;"|"&amp;C81&amp;"|"&amp;D81)</x:f>
      </x:c>
      <x:c r="B81" s="24"/>
      <x:c r="C81" s="38"/>
      <x:c r="D81" s="38"/>
      <x:c r="E81" s="46"/>
      <x:c r="F81" s="24"/>
      <x:c r="G81" s="38"/>
      <x:c r="H81" s="24"/>
      <x:c r="I81" s="44" t="str">
        <x:f>IF(AND(F81="Map",G81&lt;&gt;"",H81&lt;&gt;""),G81,"")</x:f>
      </x:c>
    </x:row>
    <x:row r="82" ht="36" customHeight="1">
      <x:c r="A82" s="45" t="str">
        <x:f>IF(OR(B82="",C82="",D82=""),"",B82&amp;"|"&amp;C82&amp;"|"&amp;D82)</x:f>
      </x:c>
      <x:c r="B82" s="24"/>
      <x:c r="C82" s="38"/>
      <x:c r="D82" s="38"/>
      <x:c r="E82" s="46"/>
      <x:c r="F82" s="24"/>
      <x:c r="G82" s="38"/>
      <x:c r="H82" s="24"/>
      <x:c r="I82" s="44" t="str">
        <x:f>IF(AND(F82="Map",G82&lt;&gt;"",H82&lt;&gt;""),G82,"")</x:f>
      </x:c>
    </x:row>
    <x:row r="83" ht="36" customHeight="1">
      <x:c r="A83" s="45" t="str">
        <x:f>IF(OR(B83="",C83="",D83=""),"",B83&amp;"|"&amp;C83&amp;"|"&amp;D83)</x:f>
      </x:c>
      <x:c r="B83" s="24"/>
      <x:c r="C83" s="38"/>
      <x:c r="D83" s="38"/>
      <x:c r="E83" s="46"/>
      <x:c r="F83" s="24"/>
      <x:c r="G83" s="38"/>
      <x:c r="H83" s="24"/>
      <x:c r="I83" s="44" t="str">
        <x:f>IF(AND(F83="Map",G83&lt;&gt;"",H83&lt;&gt;""),G83,"")</x:f>
      </x:c>
    </x:row>
    <x:row r="84" ht="36" customHeight="1">
      <x:c r="A84" s="45" t="str">
        <x:f>IF(OR(B84="",C84="",D84=""),"",B84&amp;"|"&amp;C84&amp;"|"&amp;D84)</x:f>
      </x:c>
      <x:c r="B84" s="24"/>
      <x:c r="C84" s="38"/>
      <x:c r="D84" s="38"/>
      <x:c r="E84" s="46"/>
      <x:c r="F84" s="24"/>
      <x:c r="G84" s="38"/>
      <x:c r="H84" s="24"/>
      <x:c r="I84" s="44" t="str">
        <x:f>IF(AND(F84="Map",G84&lt;&gt;"",H84&lt;&gt;""),G84,"")</x:f>
      </x:c>
    </x:row>
    <x:row r="85" ht="36" customHeight="1">
      <x:c r="A85" s="45" t="str">
        <x:f>IF(OR(B85="",C85="",D85=""),"",B85&amp;"|"&amp;C85&amp;"|"&amp;D85)</x:f>
      </x:c>
      <x:c r="B85" s="24"/>
      <x:c r="C85" s="38"/>
      <x:c r="D85" s="38"/>
      <x:c r="E85" s="46"/>
      <x:c r="F85" s="24"/>
      <x:c r="G85" s="38"/>
      <x:c r="H85" s="24"/>
      <x:c r="I85" s="44" t="str">
        <x:f>IF(AND(F85="Map",G85&lt;&gt;"",H85&lt;&gt;""),G85,"")</x:f>
      </x:c>
    </x:row>
    <x:row r="86" ht="36" customHeight="1">
      <x:c r="A86" s="45" t="str">
        <x:f>IF(OR(B86="",C86="",D86=""),"",B86&amp;"|"&amp;C86&amp;"|"&amp;D86)</x:f>
      </x:c>
      <x:c r="B86" s="24"/>
      <x:c r="C86" s="38"/>
      <x:c r="D86" s="38"/>
      <x:c r="E86" s="46"/>
      <x:c r="F86" s="24"/>
      <x:c r="G86" s="38"/>
      <x:c r="H86" s="24"/>
      <x:c r="I86" s="44" t="str">
        <x:f>IF(AND(F86="Map",G86&lt;&gt;"",H86&lt;&gt;""),G86,"")</x:f>
      </x:c>
    </x:row>
    <x:row r="87" ht="36" customHeight="1">
      <x:c r="A87" s="45" t="str">
        <x:f>IF(OR(B87="",C87="",D87=""),"",B87&amp;"|"&amp;C87&amp;"|"&amp;D87)</x:f>
      </x:c>
      <x:c r="B87" s="24"/>
      <x:c r="C87" s="38"/>
      <x:c r="D87" s="38"/>
      <x:c r="E87" s="46"/>
      <x:c r="F87" s="24"/>
      <x:c r="G87" s="38"/>
      <x:c r="H87" s="24"/>
      <x:c r="I87" s="44" t="str">
        <x:f>IF(AND(F87="Map",G87&lt;&gt;"",H87&lt;&gt;""),G87,"")</x:f>
      </x:c>
    </x:row>
    <x:row r="88" ht="36" customHeight="1">
      <x:c r="A88" s="45" t="str">
        <x:f>IF(OR(B88="",C88="",D88=""),"",B88&amp;"|"&amp;C88&amp;"|"&amp;D88)</x:f>
      </x:c>
      <x:c r="B88" s="24"/>
      <x:c r="C88" s="38"/>
      <x:c r="D88" s="38"/>
      <x:c r="E88" s="46"/>
      <x:c r="F88" s="24"/>
      <x:c r="G88" s="38"/>
      <x:c r="H88" s="24"/>
      <x:c r="I88" s="44" t="str">
        <x:f>IF(AND(F88="Map",G88&lt;&gt;"",H88&lt;&gt;""),G88,"")</x:f>
      </x:c>
    </x:row>
    <x:row r="89" ht="36" customHeight="1">
      <x:c r="A89" s="45" t="str">
        <x:f>IF(OR(B89="",C89="",D89=""),"",B89&amp;"|"&amp;C89&amp;"|"&amp;D89)</x:f>
      </x:c>
      <x:c r="B89" s="24"/>
      <x:c r="C89" s="38"/>
      <x:c r="D89" s="38"/>
      <x:c r="E89" s="46"/>
      <x:c r="F89" s="24"/>
      <x:c r="G89" s="38"/>
      <x:c r="H89" s="24"/>
      <x:c r="I89" s="44" t="str">
        <x:f>IF(AND(F89="Map",G89&lt;&gt;"",H89&lt;&gt;""),G89,"")</x:f>
      </x:c>
    </x:row>
    <x:row r="90" ht="36" customHeight="1">
      <x:c r="A90" s="45" t="str">
        <x:f>IF(OR(B90="",C90="",D90=""),"",B90&amp;"|"&amp;C90&amp;"|"&amp;D90)</x:f>
      </x:c>
      <x:c r="B90" s="24"/>
      <x:c r="C90" s="38"/>
      <x:c r="D90" s="38"/>
      <x:c r="E90" s="46"/>
      <x:c r="F90" s="24"/>
      <x:c r="G90" s="38"/>
      <x:c r="H90" s="24"/>
      <x:c r="I90" s="44" t="str">
        <x:f>IF(AND(F90="Map",G90&lt;&gt;"",H90&lt;&gt;""),G90,"")</x:f>
      </x:c>
    </x:row>
    <x:row r="91" ht="36" customHeight="1">
      <x:c r="A91" s="45" t="str">
        <x:f>IF(OR(B91="",C91="",D91=""),"",B91&amp;"|"&amp;C91&amp;"|"&amp;D91)</x:f>
      </x:c>
      <x:c r="B91" s="24"/>
      <x:c r="C91" s="38"/>
      <x:c r="D91" s="38"/>
      <x:c r="E91" s="46"/>
      <x:c r="F91" s="24"/>
      <x:c r="G91" s="38"/>
      <x:c r="H91" s="24"/>
      <x:c r="I91" s="44" t="str">
        <x:f>IF(AND(F91="Map",G91&lt;&gt;"",H91&lt;&gt;""),G91,"")</x:f>
      </x:c>
    </x:row>
    <x:row r="92" ht="36" customHeight="1">
      <x:c r="A92" s="45" t="str">
        <x:f>IF(OR(B92="",C92="",D92=""),"",B92&amp;"|"&amp;C92&amp;"|"&amp;D92)</x:f>
      </x:c>
      <x:c r="B92" s="24"/>
      <x:c r="C92" s="38"/>
      <x:c r="D92" s="38"/>
      <x:c r="E92" s="46"/>
      <x:c r="F92" s="24"/>
      <x:c r="G92" s="38"/>
      <x:c r="H92" s="24"/>
      <x:c r="I92" s="44" t="str">
        <x:f>IF(AND(F92="Map",G92&lt;&gt;"",H92&lt;&gt;""),G92,"")</x:f>
      </x:c>
    </x:row>
    <x:row r="93" ht="36" customHeight="1">
      <x:c r="A93" s="45" t="str">
        <x:f>IF(OR(B93="",C93="",D93=""),"",B93&amp;"|"&amp;C93&amp;"|"&amp;D93)</x:f>
      </x:c>
      <x:c r="B93" s="24"/>
      <x:c r="C93" s="38"/>
      <x:c r="D93" s="38"/>
      <x:c r="E93" s="46"/>
      <x:c r="F93" s="24"/>
      <x:c r="G93" s="38"/>
      <x:c r="H93" s="24"/>
      <x:c r="I93" s="44" t="str">
        <x:f>IF(AND(F93="Map",G93&lt;&gt;"",H93&lt;&gt;""),G93,"")</x:f>
      </x:c>
    </x:row>
    <x:row r="94" ht="36" customHeight="1">
      <x:c r="A94" s="45" t="str">
        <x:f>IF(OR(B94="",C94="",D94=""),"",B94&amp;"|"&amp;C94&amp;"|"&amp;D94)</x:f>
      </x:c>
      <x:c r="B94" s="24"/>
      <x:c r="C94" s="38"/>
      <x:c r="D94" s="38"/>
      <x:c r="E94" s="46"/>
      <x:c r="F94" s="24"/>
      <x:c r="G94" s="38"/>
      <x:c r="H94" s="24"/>
      <x:c r="I94" s="44" t="str">
        <x:f>IF(AND(F94="Map",G94&lt;&gt;"",H94&lt;&gt;""),G94,"")</x:f>
      </x:c>
    </x:row>
    <x:row r="95" ht="36" customHeight="1">
      <x:c r="A95" s="45" t="str">
        <x:f>IF(OR(B95="",C95="",D95=""),"",B95&amp;"|"&amp;C95&amp;"|"&amp;D95)</x:f>
      </x:c>
      <x:c r="B95" s="24"/>
      <x:c r="C95" s="38"/>
      <x:c r="D95" s="38"/>
      <x:c r="E95" s="46"/>
      <x:c r="F95" s="24"/>
      <x:c r="G95" s="38"/>
      <x:c r="H95" s="24"/>
      <x:c r="I95" s="44" t="str">
        <x:f>IF(AND(F95="Map",G95&lt;&gt;"",H95&lt;&gt;""),G95,"")</x:f>
      </x:c>
    </x:row>
    <x:row r="96" ht="36" customHeight="1">
      <x:c r="A96" s="45" t="str">
        <x:f>IF(OR(B96="",C96="",D96=""),"",B96&amp;"|"&amp;C96&amp;"|"&amp;D96)</x:f>
      </x:c>
      <x:c r="B96" s="24"/>
      <x:c r="C96" s="38"/>
      <x:c r="D96" s="38"/>
      <x:c r="E96" s="46"/>
      <x:c r="F96" s="24"/>
      <x:c r="G96" s="38"/>
      <x:c r="H96" s="24"/>
      <x:c r="I96" s="44" t="str">
        <x:f>IF(AND(F96="Map",G96&lt;&gt;"",H96&lt;&gt;""),G96,"")</x:f>
      </x:c>
    </x:row>
    <x:row r="97" ht="36" customHeight="1">
      <x:c r="A97" s="45" t="str">
        <x:f>IF(OR(B97="",C97="",D97=""),"",B97&amp;"|"&amp;C97&amp;"|"&amp;D97)</x:f>
      </x:c>
      <x:c r="B97" s="24"/>
      <x:c r="C97" s="38"/>
      <x:c r="D97" s="38"/>
      <x:c r="E97" s="46"/>
      <x:c r="F97" s="24"/>
      <x:c r="G97" s="38"/>
      <x:c r="H97" s="24"/>
      <x:c r="I97" s="44" t="str">
        <x:f>IF(AND(F97="Map",G97&lt;&gt;"",H97&lt;&gt;""),G97,"")</x:f>
      </x:c>
    </x:row>
    <x:row r="98" ht="36" customHeight="1">
      <x:c r="A98" s="45" t="str">
        <x:f>IF(OR(B98="",C98="",D98=""),"",B98&amp;"|"&amp;C98&amp;"|"&amp;D98)</x:f>
      </x:c>
      <x:c r="B98" s="24"/>
      <x:c r="C98" s="38"/>
      <x:c r="D98" s="38"/>
      <x:c r="E98" s="46"/>
      <x:c r="F98" s="24"/>
      <x:c r="G98" s="38"/>
      <x:c r="H98" s="24"/>
      <x:c r="I98" s="44" t="str">
        <x:f>IF(AND(F98="Map",G98&lt;&gt;"",H98&lt;&gt;""),G98,"")</x:f>
      </x:c>
    </x:row>
    <x:row r="99" ht="36" customHeight="1">
      <x:c r="A99" s="45" t="str">
        <x:f>IF(OR(B99="",C99="",D99=""),"",B99&amp;"|"&amp;C99&amp;"|"&amp;D99)</x:f>
      </x:c>
      <x:c r="B99" s="24"/>
      <x:c r="C99" s="38"/>
      <x:c r="D99" s="38"/>
      <x:c r="E99" s="46"/>
      <x:c r="F99" s="24"/>
      <x:c r="G99" s="38"/>
      <x:c r="H99" s="24"/>
      <x:c r="I99" s="44" t="str">
        <x:f>IF(AND(F99="Map",G99&lt;&gt;"",H99&lt;&gt;""),G99,"")</x:f>
      </x:c>
    </x:row>
    <x:row r="100" ht="36" customHeight="1">
      <x:c r="A100" s="45" t="str">
        <x:f>IF(OR(B100="",C100="",D100=""),"",B100&amp;"|"&amp;C100&amp;"|"&amp;D100)</x:f>
      </x:c>
      <x:c r="B100" s="24"/>
      <x:c r="C100" s="38"/>
      <x:c r="D100" s="38"/>
      <x:c r="E100" s="46"/>
      <x:c r="F100" s="24"/>
      <x:c r="G100" s="38"/>
      <x:c r="H100" s="24"/>
      <x:c r="I100" s="44" t="str">
        <x:f>IF(AND(F100="Map",G100&lt;&gt;"",H100&lt;&gt;""),G100,"")</x:f>
      </x:c>
    </x:row>
    <x:row r="101" ht="36" customHeight="1">
      <x:c r="A101" s="45" t="str">
        <x:f>IF(OR(B101="",C101="",D101=""),"",B101&amp;"|"&amp;C101&amp;"|"&amp;D101)</x:f>
      </x:c>
      <x:c r="B101" s="24"/>
      <x:c r="C101" s="38"/>
      <x:c r="D101" s="38"/>
      <x:c r="E101" s="46"/>
      <x:c r="F101" s="24"/>
      <x:c r="G101" s="38"/>
      <x:c r="H101" s="24"/>
      <x:c r="I101" s="44" t="str">
        <x:f>IF(AND(F101="Map",G101&lt;&gt;"",H101&lt;&gt;""),G101,"")</x:f>
      </x:c>
    </x:row>
    <x:row r="102" ht="36" customHeight="1">
      <x:c r="A102" s="45" t="str">
        <x:f>IF(OR(B102="",C102="",D102=""),"",B102&amp;"|"&amp;C102&amp;"|"&amp;D102)</x:f>
      </x:c>
      <x:c r="B102" s="24"/>
      <x:c r="C102" s="38"/>
      <x:c r="D102" s="38"/>
      <x:c r="E102" s="46"/>
      <x:c r="F102" s="24"/>
      <x:c r="G102" s="38"/>
      <x:c r="H102" s="24"/>
      <x:c r="I102" s="44" t="str">
        <x:f>IF(AND(F102="Map",G102&lt;&gt;"",H102&lt;&gt;""),G102,"")</x:f>
      </x:c>
    </x:row>
    <x:row r="103" ht="36" customHeight="1">
      <x:c r="A103" s="45" t="str">
        <x:f>IF(OR(B103="",C103="",D103=""),"",B103&amp;"|"&amp;C103&amp;"|"&amp;D103)</x:f>
      </x:c>
      <x:c r="B103" s="24"/>
      <x:c r="C103" s="38"/>
      <x:c r="D103" s="38"/>
      <x:c r="E103" s="46"/>
      <x:c r="F103" s="24"/>
      <x:c r="G103" s="38"/>
      <x:c r="H103" s="24"/>
      <x:c r="I103" s="44" t="str">
        <x:f>IF(AND(F103="Map",G103&lt;&gt;"",H103&lt;&gt;""),G103,"")</x:f>
      </x:c>
    </x:row>
    <x:row r="104" ht="36" customHeight="1">
      <x:c r="A104" s="45" t="str">
        <x:f>IF(OR(B104="",C104="",D104=""),"",B104&amp;"|"&amp;C104&amp;"|"&amp;D104)</x:f>
      </x:c>
      <x:c r="B104" s="24"/>
      <x:c r="C104" s="38"/>
      <x:c r="D104" s="38"/>
      <x:c r="E104" s="46"/>
      <x:c r="F104" s="24"/>
      <x:c r="G104" s="38"/>
      <x:c r="H104" s="24"/>
      <x:c r="I104" s="44" t="str">
        <x:f>IF(AND(F104="Map",G104&lt;&gt;"",H104&lt;&gt;""),G104,"")</x:f>
      </x:c>
    </x:row>
    <x:row r="105" ht="36" customHeight="1">
      <x:c r="A105" s="45" t="str">
        <x:f>IF(OR(B105="",C105="",D105=""),"",B105&amp;"|"&amp;C105&amp;"|"&amp;D105)</x:f>
      </x:c>
      <x:c r="B105" s="24"/>
      <x:c r="C105" s="38"/>
      <x:c r="D105" s="38"/>
      <x:c r="E105" s="46"/>
      <x:c r="F105" s="24"/>
      <x:c r="G105" s="38"/>
      <x:c r="H105" s="24"/>
      <x:c r="I105" s="44" t="str">
        <x:f>IF(AND(F105="Map",G105&lt;&gt;"",H105&lt;&gt;""),G105,"")</x:f>
      </x:c>
    </x:row>
    <x:row r="106" ht="36" customHeight="1">
      <x:c r="A106" s="45" t="str">
        <x:f>IF(OR(B106="",C106="",D106=""),"",B106&amp;"|"&amp;C106&amp;"|"&amp;D106)</x:f>
      </x:c>
      <x:c r="B106" s="24"/>
      <x:c r="C106" s="38"/>
      <x:c r="D106" s="38"/>
      <x:c r="E106" s="46"/>
      <x:c r="F106" s="24"/>
      <x:c r="G106" s="38"/>
      <x:c r="H106" s="24"/>
      <x:c r="I106" s="44" t="str">
        <x:f>IF(AND(F106="Map",G106&lt;&gt;"",H106&lt;&gt;""),G106,"")</x:f>
      </x:c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</x:row>
  </x:sheetData>
  <x:conditionalFormatting sqref="A7:A106">
    <x:cfRule type="expression" dxfId="5" priority="1">
      <x:formula>AND(A7&lt;&gt;"",COUNTIF($A$7:$A$106,A7)&gt;1)</x:formula>
    </x:cfRule>
  </x:conditionalFormatting>
  <x:dataValidations count="2">
    <x:dataValidation type="list" sqref="F7:F106">
      <x:formula1>"Review,Hold,Map"</x:formula1>
    </x:dataValidation>
    <x:dataValidation type="list" sqref="G7:G106">
      <x:formula1>'SOW register'!$A$7:$A$36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01d605e15948f4"/>
  </x:tableParts>
</x:worksheet>
</file>